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ariesview-my.sharepoint.com/personal/michelepalestro_ariesview_onmicrosoft_com/Documents/"/>
    </mc:Choice>
  </mc:AlternateContent>
  <xr:revisionPtr revIDLastSave="0" documentId="8_{2E585C56-8A76-4127-917F-6B157B14E63E}" xr6:coauthVersionLast="47" xr6:coauthVersionMax="47" xr10:uidLastSave="{00000000-0000-0000-0000-000000000000}"/>
  <bookViews>
    <workbookView xWindow="-98" yWindow="-98" windowWidth="24196" windowHeight="14476" tabRatio="707" firstSheet="2" activeTab="2" xr2:uid="{B7AF188B-28E0-40F4-84F9-408E7DDE02BE}"/>
  </bookViews>
  <sheets>
    <sheet name="Partnership Cash Flow" sheetId="5" r:id="rId1"/>
    <sheet name="5 commercial lease type" sheetId="6" r:id="rId2"/>
    <sheet name="Base (NNN)- Organized_" sheetId="4" r:id="rId3"/>
    <sheet name="Gross Lease" sheetId="11" r:id="rId4"/>
    <sheet name="NNN" sheetId="7" r:id="rId5"/>
    <sheet name="Absolute Net" sheetId="9" r:id="rId6"/>
    <sheet name="Modified Gross" sheetId="8" r:id="rId7"/>
    <sheet name="% Lease" sheetId="10" r:id="rId8"/>
    <sheet name="Sheet1" sheetId="12" r:id="rId9"/>
  </sheets>
  <externalReferences>
    <externalReference r:id="rId10"/>
  </externalReferences>
  <definedNames>
    <definedName name="Analysis_Period">'Base (NNN)- Organized_'!$C$10</definedName>
    <definedName name="Analysis_Start">'Base (NNN)- Organized_'!$C$8</definedName>
    <definedName name="Cap_Year">'Base (NNN)- Organized_'!$C$11</definedName>
    <definedName name="Debt">'Base (NNN)- Organized_'!$AA$29</definedName>
    <definedName name="Discount_Rate">'Base (NNN)- Organized_'!$C$14</definedName>
    <definedName name="Exit_Cap_Yr_1">'Base (NNN)- Organized_'!$C$13</definedName>
    <definedName name="Name">'Base (NNN)- Organized_'!$C$4</definedName>
    <definedName name="Property_SF">'Base (NNN)- Organized_'!$C$16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2" i="4" l="1"/>
  <c r="BG31" i="4"/>
  <c r="BD6" i="4"/>
  <c r="AO35" i="4"/>
  <c r="AB3" i="7"/>
  <c r="AJ46" i="4"/>
  <c r="AP10" i="4"/>
  <c r="AP12" i="4"/>
  <c r="AA63" i="4"/>
  <c r="BG32" i="4"/>
  <c r="AJ16" i="4"/>
  <c r="AJ10" i="4"/>
  <c r="BG26" i="4"/>
  <c r="BQ43" i="4"/>
  <c r="AL10" i="4"/>
  <c r="AA62" i="4"/>
  <c r="BH26" i="7"/>
  <c r="BG17" i="7"/>
  <c r="BG13" i="7"/>
  <c r="BG14" i="7"/>
  <c r="AA53" i="4"/>
  <c r="AA65" i="4"/>
  <c r="BG40" i="4"/>
  <c r="BF41" i="4"/>
  <c r="BG8" i="4"/>
  <c r="AM9" i="4"/>
  <c r="AA12" i="4"/>
  <c r="BF11" i="4" s="1"/>
  <c r="AO15" i="4"/>
  <c r="AQ16" i="10"/>
  <c r="AQ10" i="10"/>
  <c r="CX4" i="7"/>
  <c r="AA8" i="4"/>
  <c r="AM27" i="8"/>
  <c r="J15" i="8"/>
  <c r="J14" i="8"/>
  <c r="AL27" i="8"/>
  <c r="AM28" i="8"/>
  <c r="AL28" i="8"/>
  <c r="AL22" i="8"/>
  <c r="AL21" i="8"/>
  <c r="AQ27" i="8"/>
  <c r="AO27" i="8" s="1"/>
  <c r="AH34" i="8"/>
  <c r="AH35" i="8"/>
  <c r="AH36" i="8"/>
  <c r="AH37" i="8"/>
  <c r="AH38" i="8"/>
  <c r="AH43" i="8"/>
  <c r="AQ16" i="8"/>
  <c r="AH16" i="8"/>
  <c r="AQ14" i="8"/>
  <c r="AH12" i="8"/>
  <c r="AH10" i="8"/>
  <c r="AN29" i="8"/>
  <c r="AN28" i="8"/>
  <c r="AN27" i="8"/>
  <c r="AN24" i="8"/>
  <c r="AN23" i="8"/>
  <c r="AM23" i="8"/>
  <c r="AN21" i="8"/>
  <c r="AM21" i="8"/>
  <c r="AM22" i="8"/>
  <c r="AN22" i="8"/>
  <c r="AL14" i="8"/>
  <c r="AL12" i="8"/>
  <c r="AL10" i="8"/>
  <c r="AO24" i="8"/>
  <c r="AO23" i="8"/>
  <c r="AM29" i="8"/>
  <c r="G64" i="8"/>
  <c r="G59" i="8"/>
  <c r="AM24" i="8"/>
  <c r="AB42" i="8"/>
  <c r="M5" i="8"/>
  <c r="AM36" i="8"/>
  <c r="AL35" i="8"/>
  <c r="M7" i="8"/>
  <c r="M8" i="8"/>
  <c r="AB47" i="8"/>
  <c r="AB48" i="8"/>
  <c r="AB45" i="8"/>
  <c r="H5" i="8"/>
  <c r="AB46" i="8"/>
  <c r="AB44" i="8"/>
  <c r="AB43" i="8"/>
  <c r="L6" i="8" s="1"/>
  <c r="D37" i="8"/>
  <c r="AG18" i="9"/>
  <c r="AC46" i="8"/>
  <c r="AR34" i="8"/>
  <c r="AR35" i="8"/>
  <c r="AL36" i="8"/>
  <c r="AC47" i="8"/>
  <c r="AN12" i="8"/>
  <c r="AM12" i="8"/>
  <c r="D41" i="4"/>
  <c r="C41" i="4"/>
  <c r="B41" i="4"/>
  <c r="AA56" i="4"/>
  <c r="AL37" i="8"/>
  <c r="BI41" i="8"/>
  <c r="AG11" i="10"/>
  <c r="AR11" i="10"/>
  <c r="AS11" i="10"/>
  <c r="AT11" i="10"/>
  <c r="AU11" i="10"/>
  <c r="AV11" i="10"/>
  <c r="AW11" i="10"/>
  <c r="AX11" i="10"/>
  <c r="AY11" i="10"/>
  <c r="AZ11" i="10"/>
  <c r="AQ11" i="10"/>
  <c r="AM11" i="10"/>
  <c r="AJ83" i="10"/>
  <c r="AK83" i="10"/>
  <c r="AL83" i="10"/>
  <c r="AM83" i="10"/>
  <c r="AN83" i="10"/>
  <c r="AO83" i="10"/>
  <c r="AP83" i="10"/>
  <c r="AQ83" i="10"/>
  <c r="AR83" i="10"/>
  <c r="AS83" i="10"/>
  <c r="AT83" i="10"/>
  <c r="AJ81" i="10"/>
  <c r="AK81" i="10"/>
  <c r="AL81" i="10"/>
  <c r="AM81" i="10"/>
  <c r="AN81" i="10"/>
  <c r="AO81" i="10"/>
  <c r="AP81" i="10"/>
  <c r="AQ81" i="10"/>
  <c r="AR81" i="10"/>
  <c r="AS81" i="10"/>
  <c r="AT81" i="10"/>
  <c r="AI81" i="10"/>
  <c r="AI82" i="10"/>
  <c r="AI83" i="10"/>
  <c r="AJ80" i="10"/>
  <c r="AJ84" i="10" s="1"/>
  <c r="AK80" i="10"/>
  <c r="AK84" i="10" s="1"/>
  <c r="AL80" i="10"/>
  <c r="AL84" i="10" s="1"/>
  <c r="AM80" i="10"/>
  <c r="AM84" i="10" s="1"/>
  <c r="AN80" i="10"/>
  <c r="AN84" i="10" s="1"/>
  <c r="AO80" i="10"/>
  <c r="AO84" i="10" s="1"/>
  <c r="AP80" i="10"/>
  <c r="AP84" i="10" s="1"/>
  <c r="AQ80" i="10"/>
  <c r="AQ84" i="10" s="1"/>
  <c r="AR80" i="10"/>
  <c r="AR84" i="10" s="1"/>
  <c r="AS80" i="10"/>
  <c r="AS84" i="10" s="1"/>
  <c r="AT80" i="10"/>
  <c r="AT84" i="10" s="1"/>
  <c r="AI80" i="10"/>
  <c r="AI84" i="10" s="1"/>
  <c r="AJ74" i="10"/>
  <c r="AK74" i="10"/>
  <c r="AL74" i="10"/>
  <c r="AM74" i="10"/>
  <c r="AN74" i="10"/>
  <c r="AO74" i="10"/>
  <c r="AP74" i="10"/>
  <c r="AQ74" i="10"/>
  <c r="AR74" i="10"/>
  <c r="AS74" i="10"/>
  <c r="AT74" i="10"/>
  <c r="AI74" i="10"/>
  <c r="AJ73" i="10"/>
  <c r="AK73" i="10"/>
  <c r="AL73" i="10"/>
  <c r="AM73" i="10"/>
  <c r="AN73" i="10"/>
  <c r="AO73" i="10"/>
  <c r="AP73" i="10"/>
  <c r="AQ73" i="10"/>
  <c r="AR73" i="10"/>
  <c r="AS73" i="10"/>
  <c r="AT73" i="10"/>
  <c r="AI73" i="10"/>
  <c r="AJ72" i="10"/>
  <c r="AK72" i="10"/>
  <c r="AL72" i="10"/>
  <c r="AM72" i="10"/>
  <c r="AN72" i="10"/>
  <c r="AO72" i="10"/>
  <c r="AP72" i="10"/>
  <c r="AQ72" i="10"/>
  <c r="AR72" i="10"/>
  <c r="AS72" i="10"/>
  <c r="AT72" i="10"/>
  <c r="AI72" i="10"/>
  <c r="AJ71" i="10"/>
  <c r="AK71" i="10"/>
  <c r="AL71" i="10"/>
  <c r="AM71" i="10"/>
  <c r="AN71" i="10"/>
  <c r="AO71" i="10"/>
  <c r="AP71" i="10"/>
  <c r="AQ71" i="10"/>
  <c r="AR71" i="10"/>
  <c r="AS71" i="10"/>
  <c r="AT71" i="10"/>
  <c r="AI71" i="10"/>
  <c r="AJ82" i="10"/>
  <c r="AK82" i="10"/>
  <c r="AL82" i="10"/>
  <c r="AM82" i="10"/>
  <c r="AN82" i="10"/>
  <c r="AO82" i="10"/>
  <c r="AP82" i="10"/>
  <c r="AQ82" i="10"/>
  <c r="AR82" i="10"/>
  <c r="AS82" i="10"/>
  <c r="AT82" i="10"/>
  <c r="AI79" i="10"/>
  <c r="AH81" i="10"/>
  <c r="AH82" i="10"/>
  <c r="AH83" i="10"/>
  <c r="AH80" i="10"/>
  <c r="AG81" i="10"/>
  <c r="AG82" i="10"/>
  <c r="AG83" i="10"/>
  <c r="AG80" i="10"/>
  <c r="AU71" i="10"/>
  <c r="AH72" i="10"/>
  <c r="AH73" i="10"/>
  <c r="AH74" i="10"/>
  <c r="AH71" i="10"/>
  <c r="AG72" i="10"/>
  <c r="AG73" i="10"/>
  <c r="AG74" i="10"/>
  <c r="AG71" i="10"/>
  <c r="AK64" i="10"/>
  <c r="AL64" i="10"/>
  <c r="AM64" i="10"/>
  <c r="AN64" i="10"/>
  <c r="AO64" i="10"/>
  <c r="AP64" i="10"/>
  <c r="AQ64" i="10"/>
  <c r="AR64" i="10"/>
  <c r="AS64" i="10"/>
  <c r="AT64" i="10"/>
  <c r="AJ64" i="10"/>
  <c r="AK63" i="10"/>
  <c r="AL63" i="10"/>
  <c r="AM63" i="10"/>
  <c r="AN63" i="10"/>
  <c r="AO63" i="10"/>
  <c r="AP63" i="10"/>
  <c r="AQ63" i="10"/>
  <c r="AR63" i="10"/>
  <c r="AS63" i="10"/>
  <c r="AT63" i="10"/>
  <c r="AJ63" i="10"/>
  <c r="AK62" i="10"/>
  <c r="AL62" i="10"/>
  <c r="AM62" i="10"/>
  <c r="AN62" i="10"/>
  <c r="AO62" i="10"/>
  <c r="AP62" i="10"/>
  <c r="AQ62" i="10"/>
  <c r="AR62" i="10"/>
  <c r="AS62" i="10"/>
  <c r="AT62" i="10"/>
  <c r="AJ62" i="10"/>
  <c r="AK61" i="10"/>
  <c r="AL61" i="10"/>
  <c r="AM61" i="10"/>
  <c r="AN61" i="10"/>
  <c r="AO61" i="10"/>
  <c r="AP61" i="10"/>
  <c r="AQ61" i="10"/>
  <c r="AR61" i="10"/>
  <c r="AS61" i="10"/>
  <c r="AT61" i="10"/>
  <c r="AJ61" i="10"/>
  <c r="AI62" i="10"/>
  <c r="AI63" i="10"/>
  <c r="AI64" i="10"/>
  <c r="AI61" i="10"/>
  <c r="AH62" i="10"/>
  <c r="AH63" i="10"/>
  <c r="AH64" i="10"/>
  <c r="AH61" i="10"/>
  <c r="AG62" i="10"/>
  <c r="AG63" i="10"/>
  <c r="AG64" i="10"/>
  <c r="AG61" i="10"/>
  <c r="AP11" i="10"/>
  <c r="AN11" i="10"/>
  <c r="AL11" i="10"/>
  <c r="AK11" i="10"/>
  <c r="H112" i="10"/>
  <c r="F109" i="10"/>
  <c r="H109" i="10" s="1"/>
  <c r="F110" i="10"/>
  <c r="H110" i="10" s="1"/>
  <c r="F111" i="10"/>
  <c r="H111" i="10" s="1"/>
  <c r="F108" i="10"/>
  <c r="H108" i="10" s="1"/>
  <c r="AK11" i="9"/>
  <c r="AK10" i="11"/>
  <c r="AR15" i="9"/>
  <c r="AS15" i="9"/>
  <c r="AT15" i="9"/>
  <c r="AU15" i="9"/>
  <c r="AV15" i="9"/>
  <c r="AW15" i="9"/>
  <c r="AX15" i="9"/>
  <c r="AY15" i="9"/>
  <c r="AZ15" i="9"/>
  <c r="AQ15" i="9"/>
  <c r="AR17" i="9"/>
  <c r="AS17" i="9"/>
  <c r="AT17" i="9"/>
  <c r="AU17" i="9"/>
  <c r="AV17" i="9"/>
  <c r="AW17" i="9"/>
  <c r="AX17" i="9"/>
  <c r="AY17" i="9"/>
  <c r="AZ17" i="9"/>
  <c r="AQ17" i="9"/>
  <c r="AL17" i="9"/>
  <c r="AM17" i="9"/>
  <c r="AK17" i="9"/>
  <c r="AQ17" i="4"/>
  <c r="AR17" i="4"/>
  <c r="AS17" i="4"/>
  <c r="AT17" i="4"/>
  <c r="AU17" i="4"/>
  <c r="AV17" i="4"/>
  <c r="AW17" i="4"/>
  <c r="AX17" i="4"/>
  <c r="AY17" i="4"/>
  <c r="AP17" i="4"/>
  <c r="AK17" i="4"/>
  <c r="AL17" i="4"/>
  <c r="AO17" i="4" s="1"/>
  <c r="AJ17" i="4"/>
  <c r="BH26" i="9"/>
  <c r="AC42" i="8"/>
  <c r="AC45" i="8"/>
  <c r="AB51" i="8"/>
  <c r="AC43" i="8"/>
  <c r="AC44" i="8"/>
  <c r="K5" i="8"/>
  <c r="G103" i="8"/>
  <c r="K103" i="8"/>
  <c r="AP34" i="8"/>
  <c r="AJ15" i="4"/>
  <c r="AK15" i="4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Z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G103" i="10" s="1"/>
  <c r="CF100" i="10"/>
  <c r="CF103" i="10" s="1"/>
  <c r="CE100" i="10"/>
  <c r="CE103" i="10" s="1"/>
  <c r="CD100" i="10"/>
  <c r="CD102" i="10" s="1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V99" i="10"/>
  <c r="BU99" i="10"/>
  <c r="BT99" i="10"/>
  <c r="BS99" i="10"/>
  <c r="BR99" i="10"/>
  <c r="CS98" i="10"/>
  <c r="CR98" i="10"/>
  <c r="CQ98" i="10"/>
  <c r="CP98" i="10"/>
  <c r="BV98" i="10"/>
  <c r="BU98" i="10"/>
  <c r="BT98" i="10"/>
  <c r="BS98" i="10"/>
  <c r="BR98" i="10"/>
  <c r="BQ98" i="10"/>
  <c r="BV97" i="10"/>
  <c r="BU97" i="10"/>
  <c r="BT97" i="10"/>
  <c r="BS97" i="10"/>
  <c r="BR97" i="10"/>
  <c r="BQ97" i="10"/>
  <c r="BP97" i="10"/>
  <c r="BV96" i="10"/>
  <c r="BU96" i="10"/>
  <c r="BT96" i="10"/>
  <c r="BS96" i="10"/>
  <c r="BR96" i="10"/>
  <c r="BQ96" i="10"/>
  <c r="BP96" i="10"/>
  <c r="BO96" i="10"/>
  <c r="BZ95" i="10"/>
  <c r="BV95" i="10"/>
  <c r="BU95" i="10"/>
  <c r="BT95" i="10"/>
  <c r="BS95" i="10"/>
  <c r="BR95" i="10"/>
  <c r="BQ95" i="10"/>
  <c r="BP95" i="10"/>
  <c r="BO95" i="10"/>
  <c r="BN95" i="10"/>
  <c r="BV94" i="10"/>
  <c r="BU94" i="10"/>
  <c r="BT94" i="10"/>
  <c r="BS94" i="10"/>
  <c r="BR94" i="10"/>
  <c r="BQ94" i="10"/>
  <c r="BP94" i="10"/>
  <c r="BO94" i="10"/>
  <c r="BN94" i="10"/>
  <c r="BM94" i="10"/>
  <c r="BV93" i="10"/>
  <c r="BU93" i="10"/>
  <c r="BT93" i="10"/>
  <c r="BS93" i="10"/>
  <c r="BR93" i="10"/>
  <c r="BQ93" i="10"/>
  <c r="BP93" i="10"/>
  <c r="BO93" i="10"/>
  <c r="BN93" i="10"/>
  <c r="BM93" i="10"/>
  <c r="BL93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G92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G91" i="10"/>
  <c r="H91" i="10" s="1"/>
  <c r="I91" i="10" s="1"/>
  <c r="J91" i="10" s="1"/>
  <c r="BV90" i="10"/>
  <c r="BU90" i="10"/>
  <c r="BT90" i="10"/>
  <c r="BS90" i="10"/>
  <c r="BR90" i="10"/>
  <c r="BQ90" i="10"/>
  <c r="BP90" i="10"/>
  <c r="BO90" i="10"/>
  <c r="BN90" i="10"/>
  <c r="BM90" i="10"/>
  <c r="G90" i="10"/>
  <c r="BZ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G89" i="10"/>
  <c r="CA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CS83" i="10"/>
  <c r="CR83" i="10"/>
  <c r="CQ83" i="10"/>
  <c r="CP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Z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V79" i="10"/>
  <c r="BU79" i="10"/>
  <c r="BT79" i="10"/>
  <c r="BS79" i="10"/>
  <c r="BR79" i="10"/>
  <c r="AB79" i="10"/>
  <c r="BV78" i="10"/>
  <c r="BU78" i="10"/>
  <c r="BT78" i="10"/>
  <c r="BS78" i="10"/>
  <c r="BR78" i="10"/>
  <c r="AB78" i="10"/>
  <c r="BV77" i="10"/>
  <c r="BU77" i="10"/>
  <c r="BT77" i="10"/>
  <c r="BS77" i="10"/>
  <c r="BR77" i="10"/>
  <c r="AB77" i="10"/>
  <c r="BV76" i="10"/>
  <c r="BU76" i="10"/>
  <c r="BT76" i="10"/>
  <c r="BS76" i="10"/>
  <c r="BR76" i="10"/>
  <c r="AB76" i="10"/>
  <c r="BV75" i="10"/>
  <c r="BU75" i="10"/>
  <c r="BT75" i="10"/>
  <c r="BS75" i="10"/>
  <c r="BR75" i="10"/>
  <c r="BZ74" i="10"/>
  <c r="BV74" i="10"/>
  <c r="BU74" i="10"/>
  <c r="BT74" i="10"/>
  <c r="BS74" i="10"/>
  <c r="BR74" i="10"/>
  <c r="BV73" i="10"/>
  <c r="BU73" i="10"/>
  <c r="BT73" i="10"/>
  <c r="BS73" i="10"/>
  <c r="BR73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AB71" i="10"/>
  <c r="BV70" i="10"/>
  <c r="BU70" i="10"/>
  <c r="BT70" i="10"/>
  <c r="BS70" i="10"/>
  <c r="BR70" i="10"/>
  <c r="AB70" i="10"/>
  <c r="CA69" i="10"/>
  <c r="BZ76" i="10" s="1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AB69" i="10"/>
  <c r="CO68" i="10"/>
  <c r="AB68" i="10"/>
  <c r="AB67" i="10"/>
  <c r="AB66" i="10"/>
  <c r="BZ65" i="10"/>
  <c r="AB65" i="10"/>
  <c r="AB64" i="10"/>
  <c r="AB72" i="10" s="1"/>
  <c r="BZ63" i="10"/>
  <c r="AB61" i="10"/>
  <c r="AB60" i="10"/>
  <c r="AB59" i="10"/>
  <c r="AB57" i="10"/>
  <c r="AB56" i="10"/>
  <c r="BZ55" i="10"/>
  <c r="AB55" i="10"/>
  <c r="BG54" i="10"/>
  <c r="AB54" i="10"/>
  <c r="BT53" i="10"/>
  <c r="BG53" i="10"/>
  <c r="AB22" i="10" s="1"/>
  <c r="AB53" i="10"/>
  <c r="CO50" i="10"/>
  <c r="CN50" i="10"/>
  <c r="CM50" i="10"/>
  <c r="CL50" i="10"/>
  <c r="CK50" i="10"/>
  <c r="CJ50" i="10"/>
  <c r="CI50" i="10"/>
  <c r="CH50" i="10"/>
  <c r="CG50" i="10"/>
  <c r="CF50" i="10"/>
  <c r="AB50" i="10"/>
  <c r="CO49" i="10"/>
  <c r="CN49" i="10"/>
  <c r="CM49" i="10"/>
  <c r="CL49" i="10"/>
  <c r="CK49" i="10"/>
  <c r="CJ49" i="10"/>
  <c r="CI49" i="10"/>
  <c r="CH49" i="10"/>
  <c r="CG49" i="10"/>
  <c r="CF49" i="10"/>
  <c r="CE49" i="10"/>
  <c r="AB49" i="10"/>
  <c r="CS48" i="10"/>
  <c r="CS68" i="10" s="1"/>
  <c r="CR48" i="10"/>
  <c r="CR68" i="10" s="1"/>
  <c r="CQ48" i="10"/>
  <c r="CQ68" i="10" s="1"/>
  <c r="CP48" i="10"/>
  <c r="CP68" i="10" s="1"/>
  <c r="CN48" i="10"/>
  <c r="CN68" i="10" s="1"/>
  <c r="CN83" i="10" s="1"/>
  <c r="CM48" i="10"/>
  <c r="CM68" i="10" s="1"/>
  <c r="CM83" i="10" s="1"/>
  <c r="CL48" i="10"/>
  <c r="CL68" i="10" s="1"/>
  <c r="CL83" i="10" s="1"/>
  <c r="CK48" i="10"/>
  <c r="CK68" i="10" s="1"/>
  <c r="CK83" i="10" s="1"/>
  <c r="CJ48" i="10"/>
  <c r="CJ68" i="10" s="1"/>
  <c r="CJ83" i="10" s="1"/>
  <c r="CI48" i="10"/>
  <c r="CI68" i="10" s="1"/>
  <c r="CI83" i="10" s="1"/>
  <c r="CH48" i="10"/>
  <c r="CH68" i="10" s="1"/>
  <c r="CH83" i="10" s="1"/>
  <c r="CG48" i="10"/>
  <c r="CG68" i="10" s="1"/>
  <c r="CG83" i="10" s="1"/>
  <c r="CF48" i="10"/>
  <c r="CF68" i="10" s="1"/>
  <c r="CF83" i="10" s="1"/>
  <c r="CE48" i="10"/>
  <c r="CE68" i="10" s="1"/>
  <c r="CE83" i="10" s="1"/>
  <c r="CD48" i="10"/>
  <c r="CD68" i="10" s="1"/>
  <c r="CD83" i="10" s="1"/>
  <c r="CA48" i="10"/>
  <c r="AB48" i="10"/>
  <c r="BV47" i="10"/>
  <c r="AB47" i="10"/>
  <c r="BV46" i="10"/>
  <c r="AB46" i="10"/>
  <c r="AB44" i="10"/>
  <c r="BG43" i="10"/>
  <c r="BG87" i="10" s="1"/>
  <c r="BE89" i="10" s="1"/>
  <c r="AB43" i="10"/>
  <c r="BG42" i="10"/>
  <c r="AB42" i="10"/>
  <c r="CD41" i="10"/>
  <c r="BH41" i="10"/>
  <c r="AB41" i="10"/>
  <c r="CN40" i="10"/>
  <c r="CM40" i="10"/>
  <c r="CL40" i="10"/>
  <c r="CK40" i="10"/>
  <c r="CJ40" i="10"/>
  <c r="CI40" i="10"/>
  <c r="CH40" i="10"/>
  <c r="CG40" i="10"/>
  <c r="CF40" i="10"/>
  <c r="CE40" i="10"/>
  <c r="AB40" i="10"/>
  <c r="BV38" i="10"/>
  <c r="AZ37" i="10"/>
  <c r="AY37" i="10"/>
  <c r="AX37" i="10"/>
  <c r="AW37" i="10"/>
  <c r="AV37" i="10"/>
  <c r="AU37" i="10"/>
  <c r="AT37" i="10"/>
  <c r="AS37" i="10"/>
  <c r="AR37" i="10"/>
  <c r="AQ37" i="10"/>
  <c r="AM37" i="10"/>
  <c r="AP37" i="10" s="1"/>
  <c r="AN37" i="10" s="1"/>
  <c r="AL37" i="10"/>
  <c r="AK37" i="10"/>
  <c r="AM36" i="10"/>
  <c r="AP36" i="10" s="1"/>
  <c r="AL36" i="10"/>
  <c r="AK36" i="10"/>
  <c r="AZ35" i="10"/>
  <c r="AY35" i="10"/>
  <c r="AX35" i="10"/>
  <c r="AW35" i="10"/>
  <c r="AV35" i="10"/>
  <c r="AU35" i="10"/>
  <c r="AT35" i="10"/>
  <c r="AS35" i="10"/>
  <c r="AR35" i="10"/>
  <c r="AQ35" i="10"/>
  <c r="AM35" i="10"/>
  <c r="AP35" i="10" s="1"/>
  <c r="AL35" i="10"/>
  <c r="AK35" i="10"/>
  <c r="AZ34" i="10"/>
  <c r="AY34" i="10"/>
  <c r="AX34" i="10"/>
  <c r="AW34" i="10"/>
  <c r="AV34" i="10"/>
  <c r="AU34" i="10"/>
  <c r="AT34" i="10"/>
  <c r="AS34" i="10"/>
  <c r="AR34" i="10"/>
  <c r="AQ34" i="10"/>
  <c r="AO34" i="10"/>
  <c r="AN34" i="10"/>
  <c r="AM34" i="10"/>
  <c r="AM38" i="10" s="1"/>
  <c r="AL34" i="10"/>
  <c r="AK34" i="10"/>
  <c r="BH32" i="10"/>
  <c r="BI32" i="10" s="1"/>
  <c r="BJ32" i="10" s="1"/>
  <c r="BK32" i="10" s="1"/>
  <c r="BL32" i="10" s="1"/>
  <c r="BM32" i="10" s="1"/>
  <c r="BN32" i="10" s="1"/>
  <c r="BO32" i="10" s="1"/>
  <c r="BP32" i="10" s="1"/>
  <c r="BQ32" i="10" s="1"/>
  <c r="BV29" i="10"/>
  <c r="BV53" i="10" s="1"/>
  <c r="AM29" i="10"/>
  <c r="AL29" i="10"/>
  <c r="AK29" i="10"/>
  <c r="AQ28" i="10"/>
  <c r="AR28" i="10" s="1"/>
  <c r="AS28" i="10" s="1"/>
  <c r="AT28" i="10" s="1"/>
  <c r="AU28" i="10" s="1"/>
  <c r="AV28" i="10" s="1"/>
  <c r="AW28" i="10" s="1"/>
  <c r="AX28" i="10" s="1"/>
  <c r="AY28" i="10" s="1"/>
  <c r="AZ28" i="10" s="1"/>
  <c r="D28" i="10"/>
  <c r="BV27" i="10"/>
  <c r="BQ27" i="10"/>
  <c r="BP27" i="10"/>
  <c r="BO27" i="10"/>
  <c r="BN27" i="10"/>
  <c r="BM27" i="10"/>
  <c r="BL27" i="10"/>
  <c r="BK27" i="10"/>
  <c r="BJ27" i="10"/>
  <c r="BI27" i="10"/>
  <c r="BH27" i="10"/>
  <c r="AM27" i="10"/>
  <c r="AP27" i="10" s="1"/>
  <c r="AL27" i="10"/>
  <c r="AK27" i="10"/>
  <c r="BV26" i="10"/>
  <c r="BV25" i="10"/>
  <c r="AM25" i="10"/>
  <c r="AP25" i="10" s="1"/>
  <c r="AL25" i="10"/>
  <c r="AK25" i="10"/>
  <c r="AM24" i="10"/>
  <c r="AP24" i="10" s="1"/>
  <c r="AL24" i="10"/>
  <c r="AK24" i="10"/>
  <c r="CN23" i="10"/>
  <c r="CM23" i="10"/>
  <c r="CL23" i="10"/>
  <c r="CK23" i="10"/>
  <c r="CJ23" i="10"/>
  <c r="CI23" i="10"/>
  <c r="CH23" i="10"/>
  <c r="CG23" i="10"/>
  <c r="CF23" i="10"/>
  <c r="CE23" i="10"/>
  <c r="BV23" i="10"/>
  <c r="BU23" i="10"/>
  <c r="BT23" i="10"/>
  <c r="BS23" i="10"/>
  <c r="AM23" i="10"/>
  <c r="AP23" i="10" s="1"/>
  <c r="AQ23" i="10" s="1"/>
  <c r="AR23" i="10" s="1"/>
  <c r="AS23" i="10" s="1"/>
  <c r="AT23" i="10" s="1"/>
  <c r="AU23" i="10" s="1"/>
  <c r="AV23" i="10" s="1"/>
  <c r="AW23" i="10" s="1"/>
  <c r="AX23" i="10" s="1"/>
  <c r="AY23" i="10" s="1"/>
  <c r="AZ23" i="10" s="1"/>
  <c r="AL23" i="10"/>
  <c r="AK23" i="10"/>
  <c r="BV22" i="10"/>
  <c r="BU22" i="10"/>
  <c r="BT22" i="10"/>
  <c r="BS22" i="10"/>
  <c r="AM22" i="10"/>
  <c r="AP22" i="10" s="1"/>
  <c r="AL22" i="10"/>
  <c r="AK22" i="10"/>
  <c r="AM21" i="10"/>
  <c r="AP21" i="10" s="1"/>
  <c r="AL21" i="10"/>
  <c r="AK21" i="10"/>
  <c r="CD20" i="10"/>
  <c r="AP18" i="10"/>
  <c r="AN18" i="10" s="1"/>
  <c r="CC17" i="10"/>
  <c r="BG17" i="10"/>
  <c r="BG18" i="10" s="1"/>
  <c r="BG19" i="10" s="1"/>
  <c r="B17" i="10"/>
  <c r="CC16" i="10"/>
  <c r="AZ16" i="10"/>
  <c r="AY16" i="10"/>
  <c r="AX16" i="10"/>
  <c r="AW16" i="10"/>
  <c r="AV16" i="10"/>
  <c r="AU16" i="10"/>
  <c r="AT16" i="10"/>
  <c r="AS16" i="10"/>
  <c r="AR16" i="10"/>
  <c r="AP16" i="10"/>
  <c r="AN16" i="10"/>
  <c r="AL16" i="10"/>
  <c r="AK16" i="10"/>
  <c r="CF15" i="10"/>
  <c r="CG15" i="10" s="1"/>
  <c r="CC15" i="10"/>
  <c r="AB15" i="10"/>
  <c r="BG14" i="10"/>
  <c r="BG13" i="10"/>
  <c r="AM13" i="10"/>
  <c r="AP13" i="10" s="1"/>
  <c r="AL13" i="10"/>
  <c r="AK13" i="10"/>
  <c r="AB13" i="10"/>
  <c r="AB30" i="10" s="1"/>
  <c r="AB35" i="10" s="1"/>
  <c r="BG12" i="10"/>
  <c r="AM12" i="10"/>
  <c r="AL12" i="10"/>
  <c r="AK12" i="10"/>
  <c r="CA9" i="10"/>
  <c r="BH9" i="10"/>
  <c r="BG9" i="10"/>
  <c r="AN9" i="10"/>
  <c r="AL9" i="10"/>
  <c r="AK9" i="10"/>
  <c r="AH9" i="10"/>
  <c r="BH8" i="10"/>
  <c r="AL8" i="10"/>
  <c r="AB8" i="10"/>
  <c r="BE7" i="10" a="1"/>
  <c r="BE7" i="10" s="1"/>
  <c r="AG7" i="10"/>
  <c r="CY6" i="10"/>
  <c r="CX6" i="10"/>
  <c r="BE6" i="10"/>
  <c r="AB5" i="10"/>
  <c r="BZ2" i="10"/>
  <c r="H121" i="9"/>
  <c r="I121" i="9" s="1"/>
  <c r="D116" i="9"/>
  <c r="D115" i="9"/>
  <c r="D117" i="9" s="1"/>
  <c r="CS102" i="9"/>
  <c r="CR102" i="9"/>
  <c r="CQ102" i="9"/>
  <c r="CP102" i="9"/>
  <c r="CO102" i="9"/>
  <c r="CN102" i="9"/>
  <c r="CM102" i="9"/>
  <c r="CJ102" i="9"/>
  <c r="CI102" i="9"/>
  <c r="CH102" i="9"/>
  <c r="CS101" i="9"/>
  <c r="CR101" i="9"/>
  <c r="CQ101" i="9"/>
  <c r="CJ101" i="9"/>
  <c r="CI101" i="9"/>
  <c r="CH101" i="9"/>
  <c r="CD101" i="9"/>
  <c r="BZ101" i="9"/>
  <c r="CS100" i="9"/>
  <c r="CR100" i="9"/>
  <c r="CQ100" i="9"/>
  <c r="CP100" i="9"/>
  <c r="CO100" i="9"/>
  <c r="CN100" i="9"/>
  <c r="CM100" i="9"/>
  <c r="CL100" i="9"/>
  <c r="CK100" i="9"/>
  <c r="CJ100" i="9"/>
  <c r="CI100" i="9"/>
  <c r="CH100" i="9"/>
  <c r="CS99" i="9"/>
  <c r="CR99" i="9"/>
  <c r="CQ99" i="9"/>
  <c r="CP99" i="9"/>
  <c r="CP101" i="9" s="1"/>
  <c r="CO99" i="9"/>
  <c r="CO101" i="9" s="1"/>
  <c r="CN99" i="9"/>
  <c r="CN101" i="9" s="1"/>
  <c r="CM99" i="9"/>
  <c r="CM101" i="9" s="1"/>
  <c r="CL99" i="9"/>
  <c r="CL101" i="9" s="1"/>
  <c r="CK99" i="9"/>
  <c r="CK101" i="9" s="1"/>
  <c r="CJ99" i="9"/>
  <c r="CI99" i="9"/>
  <c r="CH99" i="9"/>
  <c r="CG99" i="9"/>
  <c r="CF99" i="9"/>
  <c r="CE99" i="9"/>
  <c r="CE102" i="9" s="1"/>
  <c r="CD99" i="9"/>
  <c r="CA98" i="9"/>
  <c r="BV98" i="9"/>
  <c r="BU98" i="9"/>
  <c r="BT98" i="9"/>
  <c r="BS98" i="9"/>
  <c r="BR98" i="9"/>
  <c r="CS97" i="9"/>
  <c r="CR97" i="9"/>
  <c r="CQ97" i="9"/>
  <c r="CP97" i="9"/>
  <c r="BV97" i="9"/>
  <c r="BU97" i="9"/>
  <c r="BT97" i="9"/>
  <c r="BS97" i="9"/>
  <c r="BR97" i="9"/>
  <c r="BQ97" i="9"/>
  <c r="BV96" i="9"/>
  <c r="BU96" i="9"/>
  <c r="BT96" i="9"/>
  <c r="BS96" i="9"/>
  <c r="BR96" i="9"/>
  <c r="BQ96" i="9"/>
  <c r="BP96" i="9"/>
  <c r="BV95" i="9"/>
  <c r="BU95" i="9"/>
  <c r="BT95" i="9"/>
  <c r="BS95" i="9"/>
  <c r="BR95" i="9"/>
  <c r="BQ95" i="9"/>
  <c r="BP95" i="9"/>
  <c r="BO95" i="9"/>
  <c r="BZ94" i="9"/>
  <c r="BV94" i="9"/>
  <c r="BU94" i="9"/>
  <c r="BT94" i="9"/>
  <c r="BS94" i="9"/>
  <c r="BR94" i="9"/>
  <c r="BQ94" i="9"/>
  <c r="BP94" i="9"/>
  <c r="BO94" i="9"/>
  <c r="BN94" i="9"/>
  <c r="BV93" i="9"/>
  <c r="BU93" i="9"/>
  <c r="BT93" i="9"/>
  <c r="BS93" i="9"/>
  <c r="BR93" i="9"/>
  <c r="BQ93" i="9"/>
  <c r="BP93" i="9"/>
  <c r="BO93" i="9"/>
  <c r="BN93" i="9"/>
  <c r="BM93" i="9"/>
  <c r="J93" i="9"/>
  <c r="BV92" i="9"/>
  <c r="BU92" i="9"/>
  <c r="BT92" i="9"/>
  <c r="BS92" i="9"/>
  <c r="BR92" i="9"/>
  <c r="BQ92" i="9"/>
  <c r="BP92" i="9"/>
  <c r="BO92" i="9"/>
  <c r="BN92" i="9"/>
  <c r="BM92" i="9"/>
  <c r="BL92" i="9"/>
  <c r="BV91" i="9"/>
  <c r="BU91" i="9"/>
  <c r="BT91" i="9"/>
  <c r="BS91" i="9"/>
  <c r="BR91" i="9"/>
  <c r="BQ91" i="9"/>
  <c r="BP91" i="9"/>
  <c r="BO91" i="9"/>
  <c r="BN91" i="9"/>
  <c r="BM91" i="9"/>
  <c r="BL91" i="9"/>
  <c r="BK91" i="9"/>
  <c r="P91" i="9"/>
  <c r="K91" i="9"/>
  <c r="CZ7" i="9" s="1"/>
  <c r="I91" i="9"/>
  <c r="CY7" i="9" s="1"/>
  <c r="G91" i="9"/>
  <c r="CX7" i="9" s="1"/>
  <c r="BZ90" i="9"/>
  <c r="BV90" i="9"/>
  <c r="BU90" i="9"/>
  <c r="BT90" i="9"/>
  <c r="BS90" i="9"/>
  <c r="BR90" i="9"/>
  <c r="BQ90" i="9"/>
  <c r="BP90" i="9"/>
  <c r="BO90" i="9"/>
  <c r="BN90" i="9"/>
  <c r="BM90" i="9"/>
  <c r="BL90" i="9"/>
  <c r="BK90" i="9"/>
  <c r="BJ90" i="9"/>
  <c r="P90" i="9"/>
  <c r="K90" i="9"/>
  <c r="CZ6" i="9" s="1"/>
  <c r="I90" i="9"/>
  <c r="CY6" i="9" s="1"/>
  <c r="G90" i="9"/>
  <c r="CX6" i="9" s="1"/>
  <c r="BV89" i="9"/>
  <c r="BU89" i="9"/>
  <c r="BT89" i="9"/>
  <c r="BS89" i="9"/>
  <c r="BR89" i="9"/>
  <c r="BQ89" i="9"/>
  <c r="BP89" i="9"/>
  <c r="BO89" i="9"/>
  <c r="BN89" i="9"/>
  <c r="BM89" i="9"/>
  <c r="P89" i="9"/>
  <c r="K89" i="9"/>
  <c r="I89" i="9"/>
  <c r="G89" i="9"/>
  <c r="BZ88" i="9"/>
  <c r="BV88" i="9"/>
  <c r="BU88" i="9"/>
  <c r="BT88" i="9"/>
  <c r="BS88" i="9"/>
  <c r="BR88" i="9"/>
  <c r="BQ88" i="9"/>
  <c r="BP88" i="9"/>
  <c r="BO88" i="9"/>
  <c r="BN88" i="9"/>
  <c r="BM88" i="9"/>
  <c r="BL88" i="9"/>
  <c r="BK88" i="9"/>
  <c r="BJ88" i="9"/>
  <c r="BI88" i="9"/>
  <c r="BH88" i="9"/>
  <c r="P88" i="9"/>
  <c r="K88" i="9"/>
  <c r="K93" i="9" s="1"/>
  <c r="I88" i="9"/>
  <c r="G88" i="9"/>
  <c r="CX4" i="9" s="1"/>
  <c r="CA83" i="9"/>
  <c r="CS82" i="9"/>
  <c r="CR82" i="9"/>
  <c r="CQ82" i="9"/>
  <c r="CP82" i="9"/>
  <c r="CK82" i="9"/>
  <c r="CJ82" i="9"/>
  <c r="BZ79" i="9"/>
  <c r="BV78" i="9"/>
  <c r="BU78" i="9"/>
  <c r="BT78" i="9"/>
  <c r="BS78" i="9"/>
  <c r="BR78" i="9"/>
  <c r="AB78" i="9"/>
  <c r="BV77" i="9"/>
  <c r="BU77" i="9"/>
  <c r="BT77" i="9"/>
  <c r="BS77" i="9"/>
  <c r="BR77" i="9"/>
  <c r="AB77" i="9"/>
  <c r="BV76" i="9"/>
  <c r="BU76" i="9"/>
  <c r="BT76" i="9"/>
  <c r="BS76" i="9"/>
  <c r="BR76" i="9"/>
  <c r="AB76" i="9"/>
  <c r="BZ75" i="9"/>
  <c r="BV75" i="9"/>
  <c r="BU75" i="9"/>
  <c r="BT75" i="9"/>
  <c r="BS75" i="9"/>
  <c r="BR75" i="9"/>
  <c r="AB75" i="9"/>
  <c r="AB79" i="9" s="1"/>
  <c r="BV74" i="9"/>
  <c r="BU74" i="9"/>
  <c r="BT74" i="9"/>
  <c r="BS74" i="9"/>
  <c r="BR74" i="9"/>
  <c r="BZ73" i="9"/>
  <c r="BV73" i="9"/>
  <c r="BU73" i="9"/>
  <c r="BT73" i="9"/>
  <c r="BS73" i="9"/>
  <c r="BR73" i="9"/>
  <c r="BV72" i="9"/>
  <c r="BU72" i="9"/>
  <c r="BT72" i="9"/>
  <c r="BS72" i="9"/>
  <c r="BR72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AB70" i="9"/>
  <c r="BV69" i="9"/>
  <c r="BU69" i="9"/>
  <c r="BT69" i="9"/>
  <c r="BS69" i="9"/>
  <c r="BR69" i="9"/>
  <c r="AB69" i="9"/>
  <c r="CA68" i="9"/>
  <c r="BV68" i="9"/>
  <c r="BU68" i="9"/>
  <c r="BT68" i="9"/>
  <c r="BS68" i="9"/>
  <c r="BR68" i="9"/>
  <c r="BQ68" i="9"/>
  <c r="BP68" i="9"/>
  <c r="BO68" i="9"/>
  <c r="BN68" i="9"/>
  <c r="BM68" i="9"/>
  <c r="BL68" i="9"/>
  <c r="BK68" i="9"/>
  <c r="BJ68" i="9"/>
  <c r="BI68" i="9"/>
  <c r="AB68" i="9"/>
  <c r="CO67" i="9"/>
  <c r="CM67" i="9"/>
  <c r="CM82" i="9" s="1"/>
  <c r="CK67" i="9"/>
  <c r="CJ67" i="9"/>
  <c r="CI67" i="9"/>
  <c r="CI82" i="9" s="1"/>
  <c r="CH67" i="9"/>
  <c r="CH82" i="9" s="1"/>
  <c r="CG67" i="9"/>
  <c r="CG82" i="9" s="1"/>
  <c r="CF67" i="9"/>
  <c r="CF82" i="9" s="1"/>
  <c r="CE67" i="9"/>
  <c r="CE82" i="9" s="1"/>
  <c r="CD67" i="9"/>
  <c r="CD82" i="9" s="1"/>
  <c r="AB67" i="9"/>
  <c r="AB66" i="9"/>
  <c r="AB65" i="9"/>
  <c r="BZ64" i="9"/>
  <c r="AB64" i="9"/>
  <c r="AB63" i="9"/>
  <c r="BZ62" i="9"/>
  <c r="AB61" i="9"/>
  <c r="AB60" i="9"/>
  <c r="AB59" i="9"/>
  <c r="AB58" i="9"/>
  <c r="AB56" i="9"/>
  <c r="AB55" i="9"/>
  <c r="BZ54" i="9"/>
  <c r="AB54" i="9"/>
  <c r="BG53" i="9"/>
  <c r="AB53" i="9"/>
  <c r="BT52" i="9"/>
  <c r="BG52" i="9"/>
  <c r="AB52" i="9"/>
  <c r="CO49" i="9"/>
  <c r="CN49" i="9"/>
  <c r="CM49" i="9"/>
  <c r="CL49" i="9"/>
  <c r="CK49" i="9"/>
  <c r="CJ49" i="9"/>
  <c r="CI49" i="9"/>
  <c r="CH49" i="9"/>
  <c r="CG49" i="9"/>
  <c r="CF49" i="9"/>
  <c r="AB49" i="9"/>
  <c r="CO48" i="9"/>
  <c r="CN48" i="9"/>
  <c r="CM48" i="9"/>
  <c r="CL48" i="9"/>
  <c r="CK48" i="9"/>
  <c r="CJ48" i="9"/>
  <c r="CI48" i="9"/>
  <c r="CH48" i="9"/>
  <c r="CG48" i="9"/>
  <c r="CF48" i="9"/>
  <c r="CE48" i="9"/>
  <c r="AB48" i="9"/>
  <c r="CS47" i="9"/>
  <c r="CS67" i="9" s="1"/>
  <c r="CR47" i="9"/>
  <c r="CR67" i="9" s="1"/>
  <c r="CQ47" i="9"/>
  <c r="CQ67" i="9" s="1"/>
  <c r="CP47" i="9"/>
  <c r="CP67" i="9" s="1"/>
  <c r="CN47" i="9"/>
  <c r="CN67" i="9" s="1"/>
  <c r="CN82" i="9" s="1"/>
  <c r="CM47" i="9"/>
  <c r="CL47" i="9"/>
  <c r="CL67" i="9" s="1"/>
  <c r="CL82" i="9" s="1"/>
  <c r="CK47" i="9"/>
  <c r="CJ47" i="9"/>
  <c r="CI47" i="9"/>
  <c r="CH47" i="9"/>
  <c r="CG47" i="9"/>
  <c r="CF47" i="9"/>
  <c r="CE47" i="9"/>
  <c r="CD47" i="9"/>
  <c r="CA47" i="9"/>
  <c r="AB47" i="9"/>
  <c r="BV46" i="9"/>
  <c r="AB46" i="9"/>
  <c r="BV45" i="9"/>
  <c r="AB45" i="9"/>
  <c r="AB43" i="9"/>
  <c r="BG42" i="9"/>
  <c r="BG86" i="9" s="1"/>
  <c r="BE88" i="9" s="1"/>
  <c r="AM42" i="9"/>
  <c r="AB42" i="9"/>
  <c r="BG41" i="9"/>
  <c r="AB41" i="9"/>
  <c r="CD40" i="9"/>
  <c r="BH40" i="9"/>
  <c r="AB40" i="9"/>
  <c r="CN39" i="9"/>
  <c r="CM39" i="9"/>
  <c r="CL39" i="9"/>
  <c r="CK39" i="9"/>
  <c r="CJ39" i="9"/>
  <c r="CI39" i="9"/>
  <c r="CH39" i="9"/>
  <c r="CG39" i="9"/>
  <c r="CF39" i="9"/>
  <c r="CE39" i="9"/>
  <c r="AB39" i="9"/>
  <c r="BV37" i="9"/>
  <c r="AZ36" i="9"/>
  <c r="AY36" i="9"/>
  <c r="AX36" i="9"/>
  <c r="AW36" i="9"/>
  <c r="AV36" i="9"/>
  <c r="AU36" i="9"/>
  <c r="AT36" i="9"/>
  <c r="AS36" i="9"/>
  <c r="AR36" i="9"/>
  <c r="AQ36" i="9"/>
  <c r="AP36" i="9"/>
  <c r="AN36" i="9" s="1"/>
  <c r="AM36" i="9"/>
  <c r="AL36" i="9"/>
  <c r="AK36" i="9"/>
  <c r="AM35" i="9"/>
  <c r="AL35" i="9"/>
  <c r="AK35" i="9"/>
  <c r="AZ34" i="9"/>
  <c r="AY34" i="9"/>
  <c r="AX34" i="9"/>
  <c r="AW34" i="9"/>
  <c r="AV34" i="9"/>
  <c r="AU34" i="9"/>
  <c r="AT34" i="9"/>
  <c r="AS34" i="9"/>
  <c r="AR34" i="9"/>
  <c r="AQ34" i="9"/>
  <c r="AP34" i="9"/>
  <c r="AM34" i="9"/>
  <c r="AL34" i="9"/>
  <c r="AK34" i="9"/>
  <c r="AZ33" i="9"/>
  <c r="AY33" i="9"/>
  <c r="AX33" i="9"/>
  <c r="AW33" i="9"/>
  <c r="AV33" i="9"/>
  <c r="AU33" i="9"/>
  <c r="AT33" i="9"/>
  <c r="AS33" i="9"/>
  <c r="AR33" i="9"/>
  <c r="AQ33" i="9"/>
  <c r="AO33" i="9"/>
  <c r="AN33" i="9"/>
  <c r="AM33" i="9"/>
  <c r="AL33" i="9"/>
  <c r="AL37" i="9" s="1"/>
  <c r="AK33" i="9"/>
  <c r="AK37" i="9" s="1"/>
  <c r="BH31" i="9"/>
  <c r="BI31" i="9" s="1"/>
  <c r="BJ31" i="9" s="1"/>
  <c r="BK31" i="9" s="1"/>
  <c r="BL31" i="9" s="1"/>
  <c r="BM31" i="9" s="1"/>
  <c r="BN31" i="9" s="1"/>
  <c r="BO31" i="9" s="1"/>
  <c r="BP31" i="9" s="1"/>
  <c r="BQ31" i="9" s="1"/>
  <c r="BV28" i="9"/>
  <c r="BV52" i="9" s="1"/>
  <c r="AM28" i="9"/>
  <c r="AP28" i="9" s="1"/>
  <c r="AL28" i="9"/>
  <c r="AK28" i="9"/>
  <c r="AQ27" i="9"/>
  <c r="AR27" i="9" s="1"/>
  <c r="AS27" i="9" s="1"/>
  <c r="AT27" i="9" s="1"/>
  <c r="AU27" i="9" s="1"/>
  <c r="AV27" i="9" s="1"/>
  <c r="AW27" i="9" s="1"/>
  <c r="AX27" i="9" s="1"/>
  <c r="AY27" i="9" s="1"/>
  <c r="AZ27" i="9" s="1"/>
  <c r="D27" i="9"/>
  <c r="BV26" i="9"/>
  <c r="BQ26" i="9"/>
  <c r="BP26" i="9"/>
  <c r="BO26" i="9"/>
  <c r="BN26" i="9"/>
  <c r="BM26" i="9"/>
  <c r="BL26" i="9"/>
  <c r="BK26" i="9"/>
  <c r="BJ26" i="9"/>
  <c r="BI26" i="9"/>
  <c r="AM26" i="9"/>
  <c r="AP26" i="9" s="1"/>
  <c r="AL26" i="9"/>
  <c r="AK26" i="9"/>
  <c r="BV25" i="9"/>
  <c r="BV24" i="9"/>
  <c r="AM24" i="9"/>
  <c r="AP24" i="9" s="1"/>
  <c r="AL24" i="9"/>
  <c r="AK24" i="9"/>
  <c r="AM23" i="9"/>
  <c r="AP23" i="9" s="1"/>
  <c r="AL23" i="9"/>
  <c r="AK23" i="9"/>
  <c r="CN22" i="9"/>
  <c r="CM22" i="9"/>
  <c r="CL22" i="9"/>
  <c r="CK22" i="9"/>
  <c r="CJ22" i="9"/>
  <c r="CI22" i="9"/>
  <c r="CH22" i="9"/>
  <c r="CG22" i="9"/>
  <c r="CF22" i="9"/>
  <c r="CE22" i="9"/>
  <c r="BV22" i="9"/>
  <c r="BU22" i="9"/>
  <c r="BT22" i="9"/>
  <c r="BS22" i="9"/>
  <c r="AM22" i="9"/>
  <c r="AP22" i="9" s="1"/>
  <c r="AL22" i="9"/>
  <c r="AK22" i="9"/>
  <c r="BV21" i="9"/>
  <c r="BU21" i="9"/>
  <c r="BT21" i="9"/>
  <c r="BS21" i="9"/>
  <c r="AM21" i="9"/>
  <c r="AP21" i="9" s="1"/>
  <c r="AL21" i="9"/>
  <c r="AK21" i="9"/>
  <c r="AB21" i="9"/>
  <c r="AM20" i="9"/>
  <c r="AP20" i="9" s="1"/>
  <c r="AL20" i="9"/>
  <c r="AK20" i="9"/>
  <c r="CD19" i="9"/>
  <c r="AP17" i="9"/>
  <c r="AN17" i="9" s="1"/>
  <c r="CC16" i="9"/>
  <c r="BG16" i="9"/>
  <c r="BG17" i="9" s="1"/>
  <c r="BG18" i="9" s="1"/>
  <c r="B16" i="9"/>
  <c r="CF15" i="9"/>
  <c r="CG15" i="9" s="1"/>
  <c r="CC15" i="9"/>
  <c r="AP15" i="9"/>
  <c r="AN15" i="9"/>
  <c r="AL15" i="9"/>
  <c r="AK15" i="9"/>
  <c r="CF14" i="9"/>
  <c r="CG14" i="9" s="1"/>
  <c r="CC14" i="9"/>
  <c r="AB14" i="9"/>
  <c r="BG13" i="9"/>
  <c r="BG12" i="9"/>
  <c r="AM12" i="9"/>
  <c r="AP12" i="9" s="1"/>
  <c r="AL12" i="9"/>
  <c r="AK12" i="9"/>
  <c r="AB12" i="9"/>
  <c r="BG11" i="9"/>
  <c r="AM11" i="9"/>
  <c r="AL11" i="9"/>
  <c r="CA9" i="9"/>
  <c r="BH9" i="9"/>
  <c r="BG9" i="9"/>
  <c r="AN9" i="9"/>
  <c r="AL9" i="9"/>
  <c r="AK9" i="9"/>
  <c r="AH9" i="9"/>
  <c r="BH8" i="9"/>
  <c r="AL8" i="9"/>
  <c r="AB8" i="9"/>
  <c r="BE7" i="9" a="1"/>
  <c r="BE7" i="9" s="1"/>
  <c r="AG7" i="9"/>
  <c r="BE6" i="9"/>
  <c r="CZ5" i="9"/>
  <c r="CY5" i="9"/>
  <c r="CX5" i="9"/>
  <c r="AB5" i="9"/>
  <c r="CZ4" i="9"/>
  <c r="CZ19" i="9" s="1"/>
  <c r="AM10" i="9" s="1"/>
  <c r="CY4" i="9"/>
  <c r="CY19" i="9" s="1"/>
  <c r="AL10" i="9" s="1"/>
  <c r="AL42" i="9" s="1"/>
  <c r="BZ2" i="9"/>
  <c r="BW113" i="8"/>
  <c r="BV113" i="8"/>
  <c r="BU113" i="8"/>
  <c r="BT113" i="8"/>
  <c r="BS113" i="8"/>
  <c r="BR113" i="8"/>
  <c r="BQ113" i="8"/>
  <c r="BP113" i="8"/>
  <c r="BO113" i="8"/>
  <c r="BN113" i="8"/>
  <c r="BM113" i="8"/>
  <c r="BL113" i="8"/>
  <c r="BK113" i="8"/>
  <c r="BJ113" i="8"/>
  <c r="BI113" i="8"/>
  <c r="BH113" i="8"/>
  <c r="BW112" i="8"/>
  <c r="BV112" i="8"/>
  <c r="BU112" i="8"/>
  <c r="BT112" i="8"/>
  <c r="BS112" i="8"/>
  <c r="BR112" i="8"/>
  <c r="BQ112" i="8"/>
  <c r="BP112" i="8"/>
  <c r="BO112" i="8"/>
  <c r="BN112" i="8"/>
  <c r="BM112" i="8"/>
  <c r="BL112" i="8"/>
  <c r="BK112" i="8"/>
  <c r="BJ112" i="8"/>
  <c r="BI112" i="8"/>
  <c r="BH112" i="8"/>
  <c r="CA111" i="8"/>
  <c r="BW111" i="8"/>
  <c r="BV111" i="8"/>
  <c r="BU111" i="8"/>
  <c r="BT111" i="8"/>
  <c r="BS111" i="8"/>
  <c r="BR111" i="8"/>
  <c r="BQ111" i="8"/>
  <c r="BP111" i="8"/>
  <c r="BO111" i="8"/>
  <c r="BN111" i="8"/>
  <c r="BM111" i="8"/>
  <c r="BL111" i="8"/>
  <c r="BK111" i="8"/>
  <c r="BJ111" i="8"/>
  <c r="BI111" i="8"/>
  <c r="BH111" i="8"/>
  <c r="BW110" i="8"/>
  <c r="BV110" i="8"/>
  <c r="BU110" i="8"/>
  <c r="BT110" i="8"/>
  <c r="BS110" i="8"/>
  <c r="BR110" i="8"/>
  <c r="BQ110" i="8"/>
  <c r="BP110" i="8"/>
  <c r="BO110" i="8"/>
  <c r="BN110" i="8"/>
  <c r="BM110" i="8"/>
  <c r="BL110" i="8"/>
  <c r="BK110" i="8"/>
  <c r="BJ110" i="8"/>
  <c r="BI110" i="8"/>
  <c r="BH110" i="8"/>
  <c r="CT109" i="8"/>
  <c r="CS109" i="8"/>
  <c r="CR109" i="8"/>
  <c r="CQ109" i="8"/>
  <c r="CP109" i="8"/>
  <c r="CO109" i="8"/>
  <c r="CN109" i="8"/>
  <c r="CM109" i="8"/>
  <c r="CL109" i="8"/>
  <c r="CK109" i="8"/>
  <c r="CJ109" i="8"/>
  <c r="CI109" i="8"/>
  <c r="CH109" i="8"/>
  <c r="CG109" i="8"/>
  <c r="CF109" i="8"/>
  <c r="CE109" i="8"/>
  <c r="CE111" i="8" s="1"/>
  <c r="BW109" i="8"/>
  <c r="BV109" i="8"/>
  <c r="BU109" i="8"/>
  <c r="BT109" i="8"/>
  <c r="BS109" i="8"/>
  <c r="BR109" i="8"/>
  <c r="BQ109" i="8"/>
  <c r="BP109" i="8"/>
  <c r="BO109" i="8"/>
  <c r="BN109" i="8"/>
  <c r="BM109" i="8"/>
  <c r="BL109" i="8"/>
  <c r="BK109" i="8"/>
  <c r="BJ109" i="8"/>
  <c r="BI109" i="8"/>
  <c r="BH109" i="8"/>
  <c r="BW108" i="8"/>
  <c r="BV108" i="8"/>
  <c r="BU108" i="8"/>
  <c r="BT108" i="8"/>
  <c r="BS108" i="8"/>
  <c r="CT107" i="8"/>
  <c r="CS107" i="8"/>
  <c r="CR107" i="8"/>
  <c r="CQ107" i="8"/>
  <c r="BW107" i="8"/>
  <c r="BV107" i="8"/>
  <c r="BU107" i="8"/>
  <c r="BT107" i="8"/>
  <c r="BS107" i="8"/>
  <c r="BR107" i="8"/>
  <c r="BW106" i="8"/>
  <c r="BV106" i="8"/>
  <c r="BU106" i="8"/>
  <c r="BT106" i="8"/>
  <c r="BS106" i="8"/>
  <c r="BR106" i="8"/>
  <c r="BQ106" i="8"/>
  <c r="BW105" i="8"/>
  <c r="BV105" i="8"/>
  <c r="BU105" i="8"/>
  <c r="BT105" i="8"/>
  <c r="BS105" i="8"/>
  <c r="BR105" i="8"/>
  <c r="BQ105" i="8"/>
  <c r="BP105" i="8"/>
  <c r="CA104" i="8"/>
  <c r="BW104" i="8"/>
  <c r="BV104" i="8"/>
  <c r="BU104" i="8"/>
  <c r="BT104" i="8"/>
  <c r="BS104" i="8"/>
  <c r="BR104" i="8"/>
  <c r="BQ104" i="8"/>
  <c r="BP104" i="8"/>
  <c r="BO104" i="8"/>
  <c r="BW103" i="8"/>
  <c r="BV103" i="8"/>
  <c r="BU103" i="8"/>
  <c r="BT103" i="8"/>
  <c r="BS103" i="8"/>
  <c r="BR103" i="8"/>
  <c r="BQ103" i="8"/>
  <c r="BP103" i="8"/>
  <c r="BO103" i="8"/>
  <c r="BN103" i="8"/>
  <c r="BW102" i="8"/>
  <c r="BV102" i="8"/>
  <c r="BU102" i="8"/>
  <c r="BT102" i="8"/>
  <c r="BS102" i="8"/>
  <c r="BR102" i="8"/>
  <c r="BQ102" i="8"/>
  <c r="BP102" i="8"/>
  <c r="BO102" i="8"/>
  <c r="BN102" i="8"/>
  <c r="BM102" i="8"/>
  <c r="BW101" i="8"/>
  <c r="BV101" i="8"/>
  <c r="BU101" i="8"/>
  <c r="BT101" i="8"/>
  <c r="BS101" i="8"/>
  <c r="BR101" i="8"/>
  <c r="BQ101" i="8"/>
  <c r="BP101" i="8"/>
  <c r="BO101" i="8"/>
  <c r="BN101" i="8"/>
  <c r="BM101" i="8"/>
  <c r="BL101" i="8"/>
  <c r="Q101" i="8"/>
  <c r="L101" i="8"/>
  <c r="DA7" i="8" s="1"/>
  <c r="J101" i="8"/>
  <c r="H101" i="8"/>
  <c r="BW100" i="8"/>
  <c r="BV100" i="8"/>
  <c r="BU100" i="8"/>
  <c r="BT100" i="8"/>
  <c r="BS100" i="8"/>
  <c r="BR100" i="8"/>
  <c r="BQ100" i="8"/>
  <c r="BP100" i="8"/>
  <c r="BO100" i="8"/>
  <c r="BN100" i="8"/>
  <c r="BM100" i="8"/>
  <c r="BL100" i="8"/>
  <c r="BK100" i="8"/>
  <c r="Q100" i="8"/>
  <c r="L100" i="8"/>
  <c r="J100" i="8"/>
  <c r="H100" i="8"/>
  <c r="BW99" i="8"/>
  <c r="BV99" i="8"/>
  <c r="BU99" i="8"/>
  <c r="BT99" i="8"/>
  <c r="BS99" i="8"/>
  <c r="BR99" i="8"/>
  <c r="BQ99" i="8"/>
  <c r="BP99" i="8"/>
  <c r="BO99" i="8"/>
  <c r="BN99" i="8"/>
  <c r="Q99" i="8"/>
  <c r="L99" i="8"/>
  <c r="DA5" i="8" s="1"/>
  <c r="J99" i="8"/>
  <c r="CZ5" i="8" s="1"/>
  <c r="H99" i="8"/>
  <c r="CY5" i="8" s="1"/>
  <c r="CA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Q98" i="8"/>
  <c r="L98" i="8"/>
  <c r="L103" i="8" s="1"/>
  <c r="J98" i="8"/>
  <c r="CZ4" i="8" s="1"/>
  <c r="H98" i="8"/>
  <c r="CB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CT92" i="8"/>
  <c r="CS92" i="8"/>
  <c r="CR92" i="8"/>
  <c r="CQ92" i="8"/>
  <c r="BW92" i="8"/>
  <c r="BV92" i="8"/>
  <c r="BU92" i="8"/>
  <c r="BT92" i="8"/>
  <c r="BS92" i="8"/>
  <c r="BR92" i="8"/>
  <c r="BQ92" i="8"/>
  <c r="BP92" i="8"/>
  <c r="BO92" i="8"/>
  <c r="BN92" i="8"/>
  <c r="BM92" i="8"/>
  <c r="BL92" i="8"/>
  <c r="BK92" i="8"/>
  <c r="BJ92" i="8"/>
  <c r="BI92" i="8"/>
  <c r="BH92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CA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W88" i="8"/>
  <c r="BV88" i="8"/>
  <c r="BU88" i="8"/>
  <c r="BT88" i="8"/>
  <c r="BS88" i="8"/>
  <c r="AC99" i="8"/>
  <c r="BW87" i="8"/>
  <c r="BV87" i="8"/>
  <c r="BU87" i="8"/>
  <c r="BT87" i="8"/>
  <c r="BS87" i="8"/>
  <c r="AC98" i="8"/>
  <c r="BW86" i="8"/>
  <c r="BV86" i="8"/>
  <c r="BU86" i="8"/>
  <c r="BT86" i="8"/>
  <c r="BS86" i="8"/>
  <c r="AC97" i="8"/>
  <c r="BW85" i="8"/>
  <c r="BV85" i="8"/>
  <c r="BU85" i="8"/>
  <c r="BT85" i="8"/>
  <c r="BS85" i="8"/>
  <c r="AC96" i="8"/>
  <c r="BW84" i="8"/>
  <c r="BV84" i="8"/>
  <c r="BU84" i="8"/>
  <c r="BT84" i="8"/>
  <c r="BS84" i="8"/>
  <c r="CA83" i="8"/>
  <c r="BW83" i="8"/>
  <c r="BV83" i="8"/>
  <c r="BU83" i="8"/>
  <c r="BT83" i="8"/>
  <c r="BS83" i="8"/>
  <c r="BW82" i="8"/>
  <c r="BV82" i="8"/>
  <c r="BU82" i="8"/>
  <c r="BT82" i="8"/>
  <c r="BS82" i="8"/>
  <c r="BW81" i="8"/>
  <c r="BV81" i="8"/>
  <c r="BU81" i="8"/>
  <c r="BT81" i="8"/>
  <c r="BS81" i="8"/>
  <c r="BR81" i="8"/>
  <c r="BQ81" i="8"/>
  <c r="BP81" i="8"/>
  <c r="BO81" i="8"/>
  <c r="BN81" i="8"/>
  <c r="BM81" i="8"/>
  <c r="BL81" i="8"/>
  <c r="BW80" i="8"/>
  <c r="BV80" i="8"/>
  <c r="BU80" i="8"/>
  <c r="BT80" i="8"/>
  <c r="BS80" i="8"/>
  <c r="BR80" i="8"/>
  <c r="BQ80" i="8"/>
  <c r="BP80" i="8"/>
  <c r="BO80" i="8"/>
  <c r="BN80" i="8"/>
  <c r="BM80" i="8"/>
  <c r="BL80" i="8"/>
  <c r="AC91" i="8"/>
  <c r="BW79" i="8"/>
  <c r="BV79" i="8"/>
  <c r="BU79" i="8"/>
  <c r="BT79" i="8"/>
  <c r="BS79" i="8"/>
  <c r="AC90" i="8"/>
  <c r="CB78" i="8"/>
  <c r="CA85" i="8" s="1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AC89" i="8"/>
  <c r="CP77" i="8"/>
  <c r="AC88" i="8"/>
  <c r="AC87" i="8"/>
  <c r="AC86" i="8"/>
  <c r="CA74" i="8"/>
  <c r="AC85" i="8"/>
  <c r="AC84" i="8"/>
  <c r="AC92" i="8" s="1"/>
  <c r="CA72" i="8"/>
  <c r="AC81" i="8"/>
  <c r="AC80" i="8"/>
  <c r="AC79" i="8"/>
  <c r="AC77" i="8"/>
  <c r="AC76" i="8"/>
  <c r="CA64" i="8"/>
  <c r="AC75" i="8"/>
  <c r="BH63" i="8"/>
  <c r="AC74" i="8"/>
  <c r="BU62" i="8"/>
  <c r="BH62" i="8"/>
  <c r="AC24" i="8" s="1"/>
  <c r="AC73" i="8"/>
  <c r="CP59" i="8"/>
  <c r="CO59" i="8"/>
  <c r="CN59" i="8"/>
  <c r="CM59" i="8"/>
  <c r="CL59" i="8"/>
  <c r="CK59" i="8"/>
  <c r="CJ59" i="8"/>
  <c r="CI59" i="8"/>
  <c r="CH59" i="8"/>
  <c r="CG59" i="8"/>
  <c r="AC70" i="8"/>
  <c r="CP58" i="8"/>
  <c r="CO58" i="8"/>
  <c r="CN58" i="8"/>
  <c r="CM58" i="8"/>
  <c r="CL58" i="8"/>
  <c r="CK58" i="8"/>
  <c r="CJ58" i="8"/>
  <c r="CI58" i="8"/>
  <c r="CH58" i="8"/>
  <c r="CG58" i="8"/>
  <c r="CF58" i="8"/>
  <c r="AC69" i="8"/>
  <c r="CT57" i="8"/>
  <c r="CT77" i="8" s="1"/>
  <c r="CS57" i="8"/>
  <c r="CS77" i="8" s="1"/>
  <c r="CR57" i="8"/>
  <c r="CR77" i="8" s="1"/>
  <c r="CQ57" i="8"/>
  <c r="CQ77" i="8" s="1"/>
  <c r="CO57" i="8"/>
  <c r="CO77" i="8" s="1"/>
  <c r="CO92" i="8" s="1"/>
  <c r="CN57" i="8"/>
  <c r="CN77" i="8" s="1"/>
  <c r="CN92" i="8" s="1"/>
  <c r="CM57" i="8"/>
  <c r="CM77" i="8" s="1"/>
  <c r="CM92" i="8" s="1"/>
  <c r="CL57" i="8"/>
  <c r="CL77" i="8" s="1"/>
  <c r="CL92" i="8" s="1"/>
  <c r="CK57" i="8"/>
  <c r="CK77" i="8" s="1"/>
  <c r="CK92" i="8" s="1"/>
  <c r="CJ57" i="8"/>
  <c r="CJ77" i="8" s="1"/>
  <c r="CJ92" i="8" s="1"/>
  <c r="CI57" i="8"/>
  <c r="CI77" i="8" s="1"/>
  <c r="CI92" i="8" s="1"/>
  <c r="CH57" i="8"/>
  <c r="CH77" i="8" s="1"/>
  <c r="CH92" i="8" s="1"/>
  <c r="CG57" i="8"/>
  <c r="CG77" i="8" s="1"/>
  <c r="CG92" i="8" s="1"/>
  <c r="CF57" i="8"/>
  <c r="CF77" i="8" s="1"/>
  <c r="CF92" i="8" s="1"/>
  <c r="CE57" i="8"/>
  <c r="CE77" i="8" s="1"/>
  <c r="CE92" i="8" s="1"/>
  <c r="CB57" i="8"/>
  <c r="AC68" i="8"/>
  <c r="BW56" i="8"/>
  <c r="AC67" i="8"/>
  <c r="BW55" i="8"/>
  <c r="AC66" i="8"/>
  <c r="AC64" i="8"/>
  <c r="BH52" i="8"/>
  <c r="AC63" i="8"/>
  <c r="BH51" i="8"/>
  <c r="AC62" i="8"/>
  <c r="CE50" i="8"/>
  <c r="AC61" i="8"/>
  <c r="CO49" i="8"/>
  <c r="CN49" i="8"/>
  <c r="CM49" i="8"/>
  <c r="CL49" i="8"/>
  <c r="CK49" i="8"/>
  <c r="CJ49" i="8"/>
  <c r="CI49" i="8"/>
  <c r="CH49" i="8"/>
  <c r="CG49" i="8"/>
  <c r="CF49" i="8"/>
  <c r="AC60" i="8"/>
  <c r="BW47" i="8"/>
  <c r="BA37" i="8"/>
  <c r="AZ37" i="8"/>
  <c r="AY37" i="8"/>
  <c r="AX37" i="8"/>
  <c r="AW37" i="8"/>
  <c r="AV37" i="8"/>
  <c r="AU37" i="8"/>
  <c r="AT37" i="8"/>
  <c r="AS37" i="8"/>
  <c r="AR37" i="8"/>
  <c r="AN37" i="8"/>
  <c r="AM37" i="8"/>
  <c r="AN36" i="8"/>
  <c r="BA35" i="8"/>
  <c r="AZ35" i="8"/>
  <c r="AY35" i="8"/>
  <c r="AX35" i="8"/>
  <c r="AW35" i="8"/>
  <c r="AV35" i="8"/>
  <c r="AU35" i="8"/>
  <c r="AT35" i="8"/>
  <c r="AS35" i="8"/>
  <c r="AN35" i="8"/>
  <c r="AQ35" i="8" s="1"/>
  <c r="AM35" i="8"/>
  <c r="BA34" i="8"/>
  <c r="AZ34" i="8"/>
  <c r="AY34" i="8"/>
  <c r="AX34" i="8"/>
  <c r="AW34" i="8"/>
  <c r="AV34" i="8"/>
  <c r="AU34" i="8"/>
  <c r="AT34" i="8"/>
  <c r="AS34" i="8"/>
  <c r="AO34" i="8"/>
  <c r="AN34" i="8"/>
  <c r="AM34" i="8"/>
  <c r="AM38" i="8" s="1"/>
  <c r="AL34" i="8"/>
  <c r="AL38" i="8" s="1"/>
  <c r="BJ41" i="8"/>
  <c r="BK41" i="8" s="1"/>
  <c r="BL41" i="8" s="1"/>
  <c r="BM41" i="8" s="1"/>
  <c r="BN41" i="8" s="1"/>
  <c r="BO41" i="8" s="1"/>
  <c r="BP41" i="8" s="1"/>
  <c r="BQ41" i="8" s="1"/>
  <c r="BR41" i="8" s="1"/>
  <c r="BW38" i="8"/>
  <c r="BW62" i="8" s="1"/>
  <c r="BW36" i="8"/>
  <c r="BR36" i="8"/>
  <c r="BQ36" i="8"/>
  <c r="BP36" i="8"/>
  <c r="BO36" i="8"/>
  <c r="BN36" i="8"/>
  <c r="BM36" i="8"/>
  <c r="BL36" i="8"/>
  <c r="BK36" i="8"/>
  <c r="BJ36" i="8"/>
  <c r="BI36" i="8"/>
  <c r="BW35" i="8"/>
  <c r="BW34" i="8"/>
  <c r="CO32" i="8"/>
  <c r="CN32" i="8"/>
  <c r="CM32" i="8"/>
  <c r="CL32" i="8"/>
  <c r="CK32" i="8"/>
  <c r="CJ32" i="8"/>
  <c r="CI32" i="8"/>
  <c r="CH32" i="8"/>
  <c r="CG32" i="8"/>
  <c r="CF32" i="8"/>
  <c r="BW32" i="8"/>
  <c r="BV32" i="8"/>
  <c r="BU32" i="8"/>
  <c r="BT32" i="8"/>
  <c r="BW31" i="8"/>
  <c r="BV31" i="8"/>
  <c r="BU31" i="8"/>
  <c r="BT31" i="8"/>
  <c r="CE29" i="8"/>
  <c r="CE40" i="8" s="1"/>
  <c r="AO16" i="8"/>
  <c r="CD25" i="8"/>
  <c r="BH25" i="8"/>
  <c r="BH26" i="8" s="1"/>
  <c r="BH28" i="8" s="1"/>
  <c r="B22" i="8"/>
  <c r="CD24" i="8"/>
  <c r="BA14" i="8"/>
  <c r="AZ14" i="8"/>
  <c r="AY14" i="8"/>
  <c r="AX14" i="8"/>
  <c r="AW14" i="8"/>
  <c r="AV14" i="8"/>
  <c r="AU14" i="8"/>
  <c r="AT14" i="8"/>
  <c r="AS14" i="8"/>
  <c r="AR14" i="8"/>
  <c r="AO14" i="8"/>
  <c r="AM14" i="8"/>
  <c r="CG23" i="8"/>
  <c r="CH23" i="8" s="1"/>
  <c r="CD23" i="8"/>
  <c r="AC16" i="8"/>
  <c r="BH22" i="8"/>
  <c r="BH21" i="8"/>
  <c r="AQ12" i="8"/>
  <c r="AC14" i="8"/>
  <c r="BH20" i="8"/>
  <c r="CB9" i="8"/>
  <c r="CG25" i="8" s="1"/>
  <c r="CH25" i="8" s="1"/>
  <c r="BI9" i="8"/>
  <c r="BH9" i="8"/>
  <c r="AO9" i="8"/>
  <c r="AM9" i="8"/>
  <c r="AL9" i="8"/>
  <c r="AI9" i="8"/>
  <c r="BI8" i="8"/>
  <c r="AM8" i="8"/>
  <c r="AC8" i="8"/>
  <c r="CZ7" i="8"/>
  <c r="CY7" i="8"/>
  <c r="BF7" i="8" a="1"/>
  <c r="BF7" i="8" s="1"/>
  <c r="AH7" i="8"/>
  <c r="DA6" i="8"/>
  <c r="CZ6" i="8"/>
  <c r="CY6" i="8"/>
  <c r="BF6" i="8"/>
  <c r="AC5" i="8"/>
  <c r="DA4" i="8"/>
  <c r="CA2" i="8"/>
  <c r="I121" i="7"/>
  <c r="H121" i="7"/>
  <c r="D117" i="7"/>
  <c r="D116" i="7"/>
  <c r="D115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CS102" i="7"/>
  <c r="CR102" i="7"/>
  <c r="CQ102" i="7"/>
  <c r="CP102" i="7"/>
  <c r="CO102" i="7"/>
  <c r="CN102" i="7"/>
  <c r="CM102" i="7"/>
  <c r="CL102" i="7"/>
  <c r="CK102" i="7"/>
  <c r="CJ102" i="7"/>
  <c r="CI102" i="7"/>
  <c r="CG102" i="7"/>
  <c r="CF102" i="7"/>
  <c r="CE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CS101" i="7"/>
  <c r="CR101" i="7"/>
  <c r="CQ101" i="7"/>
  <c r="CJ101" i="7"/>
  <c r="CE101" i="7"/>
  <c r="CD101" i="7"/>
  <c r="BZ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CS100" i="7"/>
  <c r="CR100" i="7"/>
  <c r="CQ100" i="7"/>
  <c r="CP100" i="7"/>
  <c r="CO100" i="7"/>
  <c r="CN100" i="7"/>
  <c r="CM100" i="7"/>
  <c r="CL100" i="7"/>
  <c r="CK100" i="7"/>
  <c r="CJ100" i="7"/>
  <c r="CI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CS99" i="7"/>
  <c r="CR99" i="7"/>
  <c r="CQ99" i="7"/>
  <c r="CP99" i="7"/>
  <c r="CP101" i="7" s="1"/>
  <c r="CO99" i="7"/>
  <c r="CO101" i="7" s="1"/>
  <c r="CN99" i="7"/>
  <c r="CN101" i="7" s="1"/>
  <c r="CM99" i="7"/>
  <c r="CM101" i="7" s="1"/>
  <c r="CL99" i="7"/>
  <c r="CL101" i="7" s="1"/>
  <c r="CK99" i="7"/>
  <c r="CK101" i="7" s="1"/>
  <c r="CJ99" i="7"/>
  <c r="CI99" i="7"/>
  <c r="CI101" i="7" s="1"/>
  <c r="CH99" i="7"/>
  <c r="CH101" i="7" s="1"/>
  <c r="CG99" i="7"/>
  <c r="CF99" i="7"/>
  <c r="CE99" i="7"/>
  <c r="CE100" i="7" s="1"/>
  <c r="CD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CA98" i="7"/>
  <c r="BV98" i="7"/>
  <c r="BU98" i="7"/>
  <c r="BT98" i="7"/>
  <c r="BS98" i="7"/>
  <c r="BR98" i="7"/>
  <c r="CS97" i="7"/>
  <c r="CR97" i="7"/>
  <c r="CQ97" i="7"/>
  <c r="CP97" i="7"/>
  <c r="BV97" i="7"/>
  <c r="BU97" i="7"/>
  <c r="BT97" i="7"/>
  <c r="BS97" i="7"/>
  <c r="BR97" i="7"/>
  <c r="BQ97" i="7"/>
  <c r="BV96" i="7"/>
  <c r="BU96" i="7"/>
  <c r="BT96" i="7"/>
  <c r="BS96" i="7"/>
  <c r="BR96" i="7"/>
  <c r="BQ96" i="7"/>
  <c r="BP96" i="7"/>
  <c r="BV95" i="7"/>
  <c r="BU95" i="7"/>
  <c r="BT95" i="7"/>
  <c r="BS95" i="7"/>
  <c r="BR95" i="7"/>
  <c r="BQ95" i="7"/>
  <c r="BP95" i="7"/>
  <c r="BO95" i="7"/>
  <c r="BZ94" i="7"/>
  <c r="BV94" i="7"/>
  <c r="BU94" i="7"/>
  <c r="BT94" i="7"/>
  <c r="BS94" i="7"/>
  <c r="BR94" i="7"/>
  <c r="BQ94" i="7"/>
  <c r="BP94" i="7"/>
  <c r="BO94" i="7"/>
  <c r="BN94" i="7"/>
  <c r="BV93" i="7"/>
  <c r="BU93" i="7"/>
  <c r="BT93" i="7"/>
  <c r="BS93" i="7"/>
  <c r="BR93" i="7"/>
  <c r="BQ93" i="7"/>
  <c r="BP93" i="7"/>
  <c r="BO93" i="7"/>
  <c r="BN93" i="7"/>
  <c r="BM93" i="7"/>
  <c r="J93" i="7"/>
  <c r="BV92" i="7"/>
  <c r="BU92" i="7"/>
  <c r="BT92" i="7"/>
  <c r="BS92" i="7"/>
  <c r="BR92" i="7"/>
  <c r="BQ92" i="7"/>
  <c r="BP92" i="7"/>
  <c r="BO92" i="7"/>
  <c r="BN92" i="7"/>
  <c r="BM92" i="7"/>
  <c r="BL92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P91" i="7"/>
  <c r="K91" i="7"/>
  <c r="CZ7" i="7" s="1"/>
  <c r="I91" i="7"/>
  <c r="CY7" i="7" s="1"/>
  <c r="G91" i="7"/>
  <c r="CX7" i="7" s="1"/>
  <c r="BZ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P90" i="7"/>
  <c r="K90" i="7"/>
  <c r="CZ6" i="7" s="1"/>
  <c r="I90" i="7"/>
  <c r="CY6" i="7" s="1"/>
  <c r="G90" i="7"/>
  <c r="CX6" i="7" s="1"/>
  <c r="BV89" i="7"/>
  <c r="BU89" i="7"/>
  <c r="BT89" i="7"/>
  <c r="BS89" i="7"/>
  <c r="BR89" i="7"/>
  <c r="BQ89" i="7"/>
  <c r="BP89" i="7"/>
  <c r="BO89" i="7"/>
  <c r="BN89" i="7"/>
  <c r="BM89" i="7"/>
  <c r="P89" i="7"/>
  <c r="K89" i="7"/>
  <c r="I89" i="7"/>
  <c r="G89" i="7"/>
  <c r="BZ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P88" i="7"/>
  <c r="K88" i="7"/>
  <c r="I88" i="7"/>
  <c r="G88" i="7"/>
  <c r="CA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CS82" i="7"/>
  <c r="CR82" i="7"/>
  <c r="CQ82" i="7"/>
  <c r="CP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Z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V78" i="7"/>
  <c r="BU78" i="7"/>
  <c r="BT78" i="7"/>
  <c r="BS78" i="7"/>
  <c r="BR78" i="7"/>
  <c r="AB78" i="7"/>
  <c r="BV77" i="7"/>
  <c r="BU77" i="7"/>
  <c r="BT77" i="7"/>
  <c r="BS77" i="7"/>
  <c r="BR77" i="7"/>
  <c r="AB77" i="7"/>
  <c r="BV76" i="7"/>
  <c r="BU76" i="7"/>
  <c r="BT76" i="7"/>
  <c r="BS76" i="7"/>
  <c r="BR76" i="7"/>
  <c r="AB76" i="7"/>
  <c r="BZ75" i="7"/>
  <c r="BV75" i="7"/>
  <c r="BU75" i="7"/>
  <c r="BT75" i="7"/>
  <c r="BS75" i="7"/>
  <c r="BR75" i="7"/>
  <c r="AB75" i="7"/>
  <c r="BV74" i="7"/>
  <c r="BU74" i="7"/>
  <c r="BT74" i="7"/>
  <c r="BS74" i="7"/>
  <c r="BR74" i="7"/>
  <c r="BZ73" i="7"/>
  <c r="BV73" i="7"/>
  <c r="BU73" i="7"/>
  <c r="BT73" i="7"/>
  <c r="BS73" i="7"/>
  <c r="BR73" i="7"/>
  <c r="BV72" i="7"/>
  <c r="BU72" i="7"/>
  <c r="BT72" i="7"/>
  <c r="BS72" i="7"/>
  <c r="BR72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AB71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AB70" i="7"/>
  <c r="BV69" i="7"/>
  <c r="BU69" i="7"/>
  <c r="BT69" i="7"/>
  <c r="BS69" i="7"/>
  <c r="BR69" i="7"/>
  <c r="AB69" i="7"/>
  <c r="CA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AB68" i="7"/>
  <c r="CO67" i="7"/>
  <c r="CM67" i="7"/>
  <c r="CM82" i="7" s="1"/>
  <c r="CL67" i="7"/>
  <c r="CL82" i="7" s="1"/>
  <c r="CK67" i="7"/>
  <c r="CK82" i="7" s="1"/>
  <c r="CJ67" i="7"/>
  <c r="CJ82" i="7" s="1"/>
  <c r="CI67" i="7"/>
  <c r="CI82" i="7" s="1"/>
  <c r="CH67" i="7"/>
  <c r="CH82" i="7" s="1"/>
  <c r="CG67" i="7"/>
  <c r="CG82" i="7" s="1"/>
  <c r="CF67" i="7"/>
  <c r="CF82" i="7" s="1"/>
  <c r="CE67" i="7"/>
  <c r="CE82" i="7" s="1"/>
  <c r="CD67" i="7"/>
  <c r="CD82" i="7" s="1"/>
  <c r="AB67" i="7"/>
  <c r="AB66" i="7"/>
  <c r="AB65" i="7"/>
  <c r="BZ64" i="7"/>
  <c r="AB64" i="7"/>
  <c r="AB63" i="7"/>
  <c r="BZ62" i="7"/>
  <c r="AB60" i="7"/>
  <c r="AB59" i="7"/>
  <c r="AB58" i="7"/>
  <c r="AB56" i="7"/>
  <c r="AB61" i="7" s="1"/>
  <c r="AB73" i="7" s="1"/>
  <c r="AB55" i="7"/>
  <c r="BZ54" i="7"/>
  <c r="AB54" i="7"/>
  <c r="BG53" i="7"/>
  <c r="AB53" i="7"/>
  <c r="BT52" i="7"/>
  <c r="BG52" i="7"/>
  <c r="AB52" i="7"/>
  <c r="CO49" i="7"/>
  <c r="CN49" i="7"/>
  <c r="CM49" i="7"/>
  <c r="CL49" i="7"/>
  <c r="CK49" i="7"/>
  <c r="CJ49" i="7"/>
  <c r="CI49" i="7"/>
  <c r="CH49" i="7"/>
  <c r="CG49" i="7"/>
  <c r="CF49" i="7"/>
  <c r="AB49" i="7"/>
  <c r="CO48" i="7"/>
  <c r="CN48" i="7"/>
  <c r="CM48" i="7"/>
  <c r="CL48" i="7"/>
  <c r="CK48" i="7"/>
  <c r="CJ48" i="7"/>
  <c r="CI48" i="7"/>
  <c r="CH48" i="7"/>
  <c r="CG48" i="7"/>
  <c r="CF48" i="7"/>
  <c r="CE48" i="7"/>
  <c r="AB48" i="7"/>
  <c r="CS47" i="7"/>
  <c r="CS67" i="7" s="1"/>
  <c r="CR47" i="7"/>
  <c r="CR67" i="7" s="1"/>
  <c r="CQ47" i="7"/>
  <c r="CQ67" i="7" s="1"/>
  <c r="CP47" i="7"/>
  <c r="CP67" i="7" s="1"/>
  <c r="CN47" i="7"/>
  <c r="CN67" i="7" s="1"/>
  <c r="CN82" i="7" s="1"/>
  <c r="CM47" i="7"/>
  <c r="CL47" i="7"/>
  <c r="CK47" i="7"/>
  <c r="CJ47" i="7"/>
  <c r="CI47" i="7"/>
  <c r="CH47" i="7"/>
  <c r="CG47" i="7"/>
  <c r="CF47" i="7"/>
  <c r="CE47" i="7"/>
  <c r="CD47" i="7"/>
  <c r="CA47" i="7"/>
  <c r="AB47" i="7"/>
  <c r="BV46" i="7"/>
  <c r="AB46" i="7"/>
  <c r="BV45" i="7"/>
  <c r="AB45" i="7"/>
  <c r="AB43" i="7"/>
  <c r="BG42" i="7"/>
  <c r="BG86" i="7" s="1"/>
  <c r="BE88" i="7" s="1"/>
  <c r="AB42" i="7"/>
  <c r="BG41" i="7"/>
  <c r="AB41" i="7"/>
  <c r="CD40" i="7"/>
  <c r="BH40" i="7"/>
  <c r="AB40" i="7"/>
  <c r="CN39" i="7"/>
  <c r="CM39" i="7"/>
  <c r="CL39" i="7"/>
  <c r="CK39" i="7"/>
  <c r="CJ39" i="7"/>
  <c r="CI39" i="7"/>
  <c r="CH39" i="7"/>
  <c r="CG39" i="7"/>
  <c r="CF39" i="7"/>
  <c r="CE39" i="7"/>
  <c r="AB39" i="7"/>
  <c r="BV37" i="7"/>
  <c r="AM37" i="7"/>
  <c r="AZ36" i="7"/>
  <c r="AY36" i="7"/>
  <c r="AX36" i="7"/>
  <c r="AW36" i="7"/>
  <c r="AV36" i="7"/>
  <c r="AU36" i="7"/>
  <c r="AT36" i="7"/>
  <c r="AS36" i="7"/>
  <c r="AR36" i="7"/>
  <c r="AQ36" i="7"/>
  <c r="AM36" i="7"/>
  <c r="AP36" i="7" s="1"/>
  <c r="AN36" i="7" s="1"/>
  <c r="AL36" i="7"/>
  <c r="AK36" i="7"/>
  <c r="AM35" i="7"/>
  <c r="AP35" i="7" s="1"/>
  <c r="AL35" i="7"/>
  <c r="AK35" i="7"/>
  <c r="AZ34" i="7"/>
  <c r="AY34" i="7"/>
  <c r="AX34" i="7"/>
  <c r="AW34" i="7"/>
  <c r="AV34" i="7"/>
  <c r="AU34" i="7"/>
  <c r="AT34" i="7"/>
  <c r="AS34" i="7"/>
  <c r="AR34" i="7"/>
  <c r="AQ34" i="7"/>
  <c r="AP34" i="7"/>
  <c r="AM34" i="7"/>
  <c r="AL34" i="7"/>
  <c r="AK34" i="7"/>
  <c r="AK37" i="7" s="1"/>
  <c r="AZ33" i="7"/>
  <c r="AY33" i="7"/>
  <c r="AX33" i="7"/>
  <c r="AW33" i="7"/>
  <c r="AV33" i="7"/>
  <c r="AU33" i="7"/>
  <c r="AT33" i="7"/>
  <c r="AS33" i="7"/>
  <c r="AR33" i="7"/>
  <c r="AQ33" i="7"/>
  <c r="AO33" i="7"/>
  <c r="AN33" i="7"/>
  <c r="AM33" i="7"/>
  <c r="AL33" i="7"/>
  <c r="AK33" i="7"/>
  <c r="BH31" i="7"/>
  <c r="BI31" i="7" s="1"/>
  <c r="BJ31" i="7" s="1"/>
  <c r="BK31" i="7" s="1"/>
  <c r="BL31" i="7" s="1"/>
  <c r="BM31" i="7" s="1"/>
  <c r="BN31" i="7" s="1"/>
  <c r="BO31" i="7" s="1"/>
  <c r="BP31" i="7" s="1"/>
  <c r="BQ31" i="7" s="1"/>
  <c r="BV28" i="7"/>
  <c r="BV52" i="7" s="1"/>
  <c r="AP28" i="7"/>
  <c r="AM28" i="7"/>
  <c r="AL28" i="7"/>
  <c r="AK28" i="7"/>
  <c r="AQ27" i="7"/>
  <c r="AR27" i="7" s="1"/>
  <c r="AS27" i="7" s="1"/>
  <c r="AT27" i="7" s="1"/>
  <c r="AU27" i="7" s="1"/>
  <c r="AV27" i="7" s="1"/>
  <c r="AW27" i="7" s="1"/>
  <c r="AX27" i="7" s="1"/>
  <c r="AY27" i="7" s="1"/>
  <c r="AZ27" i="7" s="1"/>
  <c r="D27" i="7"/>
  <c r="BV26" i="7"/>
  <c r="BQ26" i="7"/>
  <c r="BP26" i="7"/>
  <c r="BO26" i="7"/>
  <c r="BN26" i="7"/>
  <c r="BM26" i="7"/>
  <c r="BL26" i="7"/>
  <c r="BK26" i="7"/>
  <c r="BJ26" i="7"/>
  <c r="BI26" i="7"/>
  <c r="AM26" i="7"/>
  <c r="AP26" i="7" s="1"/>
  <c r="AN26" i="7" s="1"/>
  <c r="AL26" i="7"/>
  <c r="AK26" i="7"/>
  <c r="BV25" i="7"/>
  <c r="BV24" i="7"/>
  <c r="AM24" i="7"/>
  <c r="AP24" i="7" s="1"/>
  <c r="AL24" i="7"/>
  <c r="AK24" i="7"/>
  <c r="AM23" i="7"/>
  <c r="AP23" i="7" s="1"/>
  <c r="AL23" i="7"/>
  <c r="AK23" i="7"/>
  <c r="CN22" i="7"/>
  <c r="CM22" i="7"/>
  <c r="CL22" i="7"/>
  <c r="CK22" i="7"/>
  <c r="CJ22" i="7"/>
  <c r="CI22" i="7"/>
  <c r="CH22" i="7"/>
  <c r="CG22" i="7"/>
  <c r="CF22" i="7"/>
  <c r="CE22" i="7"/>
  <c r="BV22" i="7"/>
  <c r="BU22" i="7"/>
  <c r="BT22" i="7"/>
  <c r="BS22" i="7"/>
  <c r="AM22" i="7"/>
  <c r="AP22" i="7" s="1"/>
  <c r="AL22" i="7"/>
  <c r="AK22" i="7"/>
  <c r="BV21" i="7"/>
  <c r="BU21" i="7"/>
  <c r="BT21" i="7"/>
  <c r="BS21" i="7"/>
  <c r="AT21" i="7"/>
  <c r="AU21" i="7" s="1"/>
  <c r="AV21" i="7" s="1"/>
  <c r="AW21" i="7" s="1"/>
  <c r="AX21" i="7" s="1"/>
  <c r="AY21" i="7" s="1"/>
  <c r="AZ21" i="7" s="1"/>
  <c r="AP21" i="7"/>
  <c r="AQ21" i="7" s="1"/>
  <c r="AR21" i="7" s="1"/>
  <c r="AS21" i="7" s="1"/>
  <c r="AM21" i="7"/>
  <c r="AL21" i="7"/>
  <c r="AK21" i="7"/>
  <c r="AB21" i="7"/>
  <c r="AM20" i="7"/>
  <c r="AP20" i="7" s="1"/>
  <c r="AL20" i="7"/>
  <c r="AK20" i="7"/>
  <c r="CD19" i="7"/>
  <c r="AP17" i="7"/>
  <c r="AN17" i="7"/>
  <c r="CC16" i="7"/>
  <c r="BG16" i="7"/>
  <c r="BG18" i="7" s="1"/>
  <c r="B16" i="7"/>
  <c r="CG15" i="7"/>
  <c r="CF15" i="7"/>
  <c r="CC15" i="7"/>
  <c r="AZ15" i="7"/>
  <c r="AY15" i="7"/>
  <c r="AX15" i="7"/>
  <c r="AW15" i="7"/>
  <c r="AV15" i="7"/>
  <c r="AU15" i="7"/>
  <c r="AT15" i="7"/>
  <c r="AS15" i="7"/>
  <c r="AR15" i="7"/>
  <c r="AQ15" i="7"/>
  <c r="AP15" i="7"/>
  <c r="AN15" i="7"/>
  <c r="AL15" i="7"/>
  <c r="AK15" i="7"/>
  <c r="CF14" i="7"/>
  <c r="CG14" i="7" s="1"/>
  <c r="CC14" i="7"/>
  <c r="AB14" i="7"/>
  <c r="BG12" i="7"/>
  <c r="BG40" i="7" s="1"/>
  <c r="BG43" i="7" s="1"/>
  <c r="BG72" i="7" s="1"/>
  <c r="AM12" i="7"/>
  <c r="AP12" i="7" s="1"/>
  <c r="AL12" i="7"/>
  <c r="AK12" i="7"/>
  <c r="AB12" i="7"/>
  <c r="BG11" i="7"/>
  <c r="AM11" i="7"/>
  <c r="AL11" i="7"/>
  <c r="AK11" i="7"/>
  <c r="CA9" i="7"/>
  <c r="BH9" i="7"/>
  <c r="BG9" i="7"/>
  <c r="AN9" i="7"/>
  <c r="AL9" i="7"/>
  <c r="AK9" i="7"/>
  <c r="AH9" i="7"/>
  <c r="BH8" i="7"/>
  <c r="AL8" i="7"/>
  <c r="AB8" i="7"/>
  <c r="BE7" i="7" a="1"/>
  <c r="BE7" i="7" s="1"/>
  <c r="AG7" i="7"/>
  <c r="BE6" i="7"/>
  <c r="CZ5" i="7"/>
  <c r="CY5" i="7"/>
  <c r="CX5" i="7"/>
  <c r="AB5" i="7"/>
  <c r="CZ4" i="7"/>
  <c r="CZ19" i="7" s="1"/>
  <c r="AM10" i="7" s="1"/>
  <c r="CY4" i="7"/>
  <c r="CY19" i="7" s="1"/>
  <c r="AL10" i="7" s="1"/>
  <c r="BZ2" i="7"/>
  <c r="H121" i="11"/>
  <c r="I121" i="11" s="1"/>
  <c r="D116" i="11"/>
  <c r="D115" i="11"/>
  <c r="D117" i="11" s="1"/>
  <c r="BV103" i="11"/>
  <c r="BU103" i="11"/>
  <c r="BT103" i="11"/>
  <c r="BS103" i="11"/>
  <c r="BR103" i="11"/>
  <c r="BQ103" i="11"/>
  <c r="BP103" i="11"/>
  <c r="BO103" i="11"/>
  <c r="BN103" i="11"/>
  <c r="BM103" i="11"/>
  <c r="BL103" i="11"/>
  <c r="BK103" i="11"/>
  <c r="BJ103" i="11"/>
  <c r="BI103" i="11"/>
  <c r="BH103" i="11"/>
  <c r="BG103" i="11"/>
  <c r="CS102" i="11"/>
  <c r="CR102" i="11"/>
  <c r="CQ102" i="11"/>
  <c r="CP102" i="11"/>
  <c r="CO102" i="11"/>
  <c r="CN102" i="11"/>
  <c r="CM102" i="11"/>
  <c r="CL102" i="11"/>
  <c r="CK102" i="11"/>
  <c r="CJ102" i="11"/>
  <c r="CH102" i="11"/>
  <c r="CG102" i="11"/>
  <c r="CF102" i="11"/>
  <c r="CE102" i="11"/>
  <c r="BV102" i="11"/>
  <c r="BU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H102" i="11"/>
  <c r="BG102" i="11"/>
  <c r="CS101" i="11"/>
  <c r="CR101" i="11"/>
  <c r="CQ101" i="11"/>
  <c r="CF101" i="11"/>
  <c r="CE101" i="11"/>
  <c r="CD101" i="11"/>
  <c r="BZ101" i="11"/>
  <c r="BV101" i="11"/>
  <c r="BU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H101" i="11"/>
  <c r="BG101" i="11"/>
  <c r="CS100" i="11"/>
  <c r="CR100" i="11"/>
  <c r="CQ100" i="11"/>
  <c r="CP100" i="11"/>
  <c r="CO100" i="11"/>
  <c r="CN100" i="11"/>
  <c r="CM100" i="11"/>
  <c r="CL100" i="11"/>
  <c r="CK100" i="11"/>
  <c r="CJ100" i="11"/>
  <c r="CI100" i="11"/>
  <c r="CH100" i="11"/>
  <c r="BV100" i="11"/>
  <c r="BU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H100" i="11"/>
  <c r="BG100" i="11"/>
  <c r="CS99" i="11"/>
  <c r="CR99" i="11"/>
  <c r="CQ99" i="11"/>
  <c r="CP99" i="11"/>
  <c r="CP101" i="11" s="1"/>
  <c r="CO99" i="11"/>
  <c r="CO101" i="11" s="1"/>
  <c r="CN99" i="11"/>
  <c r="CN101" i="11" s="1"/>
  <c r="CM99" i="11"/>
  <c r="CM101" i="11" s="1"/>
  <c r="CL99" i="11"/>
  <c r="CL101" i="11" s="1"/>
  <c r="CK99" i="11"/>
  <c r="CK101" i="11" s="1"/>
  <c r="CJ99" i="11"/>
  <c r="CJ101" i="11" s="1"/>
  <c r="CI99" i="11"/>
  <c r="CI101" i="11" s="1"/>
  <c r="CH99" i="11"/>
  <c r="CH101" i="11" s="1"/>
  <c r="CG99" i="11"/>
  <c r="CF99" i="11"/>
  <c r="CF100" i="11" s="1"/>
  <c r="CE99" i="11"/>
  <c r="CE100" i="11" s="1"/>
  <c r="CD99" i="11"/>
  <c r="BV99" i="11"/>
  <c r="BU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H99" i="11"/>
  <c r="BG99" i="11"/>
  <c r="CA98" i="11"/>
  <c r="BV98" i="11"/>
  <c r="BU98" i="11"/>
  <c r="BT98" i="11"/>
  <c r="BS98" i="11"/>
  <c r="BR98" i="11"/>
  <c r="CS97" i="11"/>
  <c r="CR97" i="11"/>
  <c r="CQ97" i="11"/>
  <c r="CP97" i="11"/>
  <c r="BV97" i="11"/>
  <c r="BU97" i="11"/>
  <c r="BT97" i="11"/>
  <c r="BS97" i="11"/>
  <c r="BR97" i="11"/>
  <c r="BQ97" i="11"/>
  <c r="BV96" i="11"/>
  <c r="BU96" i="11"/>
  <c r="BT96" i="11"/>
  <c r="BS96" i="11"/>
  <c r="BR96" i="11"/>
  <c r="BQ96" i="11"/>
  <c r="BP96" i="11"/>
  <c r="BV95" i="11"/>
  <c r="BU95" i="11"/>
  <c r="BT95" i="11"/>
  <c r="BS95" i="11"/>
  <c r="BR95" i="11"/>
  <c r="BQ95" i="11"/>
  <c r="BP95" i="11"/>
  <c r="BO95" i="11"/>
  <c r="BZ94" i="11"/>
  <c r="BV94" i="11"/>
  <c r="BU94" i="11"/>
  <c r="BT94" i="11"/>
  <c r="BS94" i="11"/>
  <c r="BR94" i="11"/>
  <c r="BQ94" i="11"/>
  <c r="BP94" i="11"/>
  <c r="BO94" i="11"/>
  <c r="BN94" i="11"/>
  <c r="BV93" i="11"/>
  <c r="BU93" i="11"/>
  <c r="BT93" i="11"/>
  <c r="BS93" i="11"/>
  <c r="BR93" i="11"/>
  <c r="BQ93" i="11"/>
  <c r="BP93" i="11"/>
  <c r="BO93" i="11"/>
  <c r="BN93" i="11"/>
  <c r="BM93" i="11"/>
  <c r="J93" i="11"/>
  <c r="BV92" i="11"/>
  <c r="BU92" i="11"/>
  <c r="BT92" i="11"/>
  <c r="BS92" i="11"/>
  <c r="BR92" i="11"/>
  <c r="BQ92" i="11"/>
  <c r="BP92" i="11"/>
  <c r="BO92" i="11"/>
  <c r="BN92" i="11"/>
  <c r="BM92" i="11"/>
  <c r="BL92" i="11"/>
  <c r="BV91" i="11"/>
  <c r="BU91" i="11"/>
  <c r="BT91" i="11"/>
  <c r="BS91" i="11"/>
  <c r="BR91" i="11"/>
  <c r="BQ91" i="11"/>
  <c r="BP91" i="11"/>
  <c r="BO91" i="11"/>
  <c r="BN91" i="11"/>
  <c r="BM91" i="11"/>
  <c r="BL91" i="11"/>
  <c r="BK91" i="11"/>
  <c r="P91" i="11"/>
  <c r="K91" i="11"/>
  <c r="CZ7" i="11" s="1"/>
  <c r="I91" i="11"/>
  <c r="CY7" i="11" s="1"/>
  <c r="G91" i="11"/>
  <c r="CX7" i="11" s="1"/>
  <c r="BZ90" i="11"/>
  <c r="BV90" i="11"/>
  <c r="BU90" i="11"/>
  <c r="BT90" i="11"/>
  <c r="BS90" i="11"/>
  <c r="BR90" i="11"/>
  <c r="BQ90" i="11"/>
  <c r="BP90" i="11"/>
  <c r="BO90" i="11"/>
  <c r="BN90" i="11"/>
  <c r="BM90" i="11"/>
  <c r="BL90" i="11"/>
  <c r="BK90" i="11"/>
  <c r="BJ90" i="11"/>
  <c r="P90" i="11"/>
  <c r="K90" i="11"/>
  <c r="I90" i="11"/>
  <c r="G90" i="11"/>
  <c r="BV89" i="11"/>
  <c r="BU89" i="11"/>
  <c r="BT89" i="11"/>
  <c r="BS89" i="11"/>
  <c r="BR89" i="11"/>
  <c r="BQ89" i="11"/>
  <c r="BP89" i="11"/>
  <c r="BO89" i="11"/>
  <c r="BN89" i="11"/>
  <c r="BM89" i="11"/>
  <c r="P89" i="11"/>
  <c r="K89" i="11"/>
  <c r="I89" i="11"/>
  <c r="G89" i="11"/>
  <c r="BZ88" i="11"/>
  <c r="BV88" i="11"/>
  <c r="BU88" i="11"/>
  <c r="BT88" i="11"/>
  <c r="BS88" i="11"/>
  <c r="BR88" i="11"/>
  <c r="BQ88" i="11"/>
  <c r="BP88" i="11"/>
  <c r="BO88" i="11"/>
  <c r="BN88" i="11"/>
  <c r="BM88" i="11"/>
  <c r="BL88" i="11"/>
  <c r="BK88" i="11"/>
  <c r="BJ88" i="11"/>
  <c r="BI88" i="11"/>
  <c r="BH88" i="11"/>
  <c r="P88" i="11"/>
  <c r="K88" i="11"/>
  <c r="K93" i="11" s="1"/>
  <c r="I88" i="11"/>
  <c r="G88" i="11"/>
  <c r="CX4" i="11" s="1"/>
  <c r="CA83" i="11"/>
  <c r="BV83" i="11"/>
  <c r="BU83" i="11"/>
  <c r="BT83" i="11"/>
  <c r="BS83" i="11"/>
  <c r="BR83" i="11"/>
  <c r="BQ83" i="11"/>
  <c r="BP83" i="11"/>
  <c r="BO83" i="11"/>
  <c r="BN83" i="11"/>
  <c r="BM83" i="11"/>
  <c r="BL83" i="11"/>
  <c r="BK83" i="11"/>
  <c r="BJ83" i="11"/>
  <c r="BI83" i="11"/>
  <c r="BH83" i="11"/>
  <c r="BG83" i="11"/>
  <c r="CS82" i="11"/>
  <c r="CR82" i="11"/>
  <c r="CQ82" i="11"/>
  <c r="CP82" i="11"/>
  <c r="BV82" i="11"/>
  <c r="BU82" i="11"/>
  <c r="BT82" i="11"/>
  <c r="BS82" i="11"/>
  <c r="BR82" i="11"/>
  <c r="BQ82" i="11"/>
  <c r="BP82" i="11"/>
  <c r="BO82" i="11"/>
  <c r="BN82" i="11"/>
  <c r="BM82" i="11"/>
  <c r="BL82" i="11"/>
  <c r="BK82" i="11"/>
  <c r="BJ82" i="11"/>
  <c r="BI82" i="11"/>
  <c r="BH82" i="11"/>
  <c r="BG82" i="11"/>
  <c r="BV81" i="11"/>
  <c r="BU81" i="11"/>
  <c r="BT81" i="11"/>
  <c r="BS81" i="11"/>
  <c r="BR81" i="11"/>
  <c r="BQ81" i="11"/>
  <c r="BP81" i="11"/>
  <c r="BO81" i="11"/>
  <c r="BN81" i="11"/>
  <c r="BM81" i="11"/>
  <c r="BL81" i="11"/>
  <c r="BK81" i="11"/>
  <c r="BJ81" i="11"/>
  <c r="BI81" i="11"/>
  <c r="BH81" i="11"/>
  <c r="BG81" i="11"/>
  <c r="BV80" i="11"/>
  <c r="BU80" i="11"/>
  <c r="BT80" i="11"/>
  <c r="BS80" i="11"/>
  <c r="BR80" i="11"/>
  <c r="BQ80" i="11"/>
  <c r="BP80" i="11"/>
  <c r="BO80" i="11"/>
  <c r="BN80" i="11"/>
  <c r="BM80" i="11"/>
  <c r="BL80" i="11"/>
  <c r="BK80" i="11"/>
  <c r="BJ80" i="11"/>
  <c r="BI80" i="11"/>
  <c r="BH80" i="11"/>
  <c r="BG80" i="11"/>
  <c r="BZ79" i="11"/>
  <c r="BV79" i="11"/>
  <c r="BU79" i="11"/>
  <c r="BT79" i="11"/>
  <c r="BS79" i="11"/>
  <c r="BR79" i="11"/>
  <c r="BQ79" i="11"/>
  <c r="BP79" i="11"/>
  <c r="BO79" i="11"/>
  <c r="BN79" i="11"/>
  <c r="BM79" i="11"/>
  <c r="BL79" i="11"/>
  <c r="BK79" i="11"/>
  <c r="BJ79" i="11"/>
  <c r="BI79" i="11"/>
  <c r="BH79" i="11"/>
  <c r="BG79" i="11"/>
  <c r="BV78" i="11"/>
  <c r="BU78" i="11"/>
  <c r="BT78" i="11"/>
  <c r="BS78" i="11"/>
  <c r="BR78" i="11"/>
  <c r="AB78" i="11"/>
  <c r="BV77" i="11"/>
  <c r="BU77" i="11"/>
  <c r="BT77" i="11"/>
  <c r="BS77" i="11"/>
  <c r="BR77" i="11"/>
  <c r="AB77" i="11"/>
  <c r="BV76" i="11"/>
  <c r="BU76" i="11"/>
  <c r="BT76" i="11"/>
  <c r="BS76" i="11"/>
  <c r="BR76" i="11"/>
  <c r="AB76" i="11"/>
  <c r="BZ75" i="11"/>
  <c r="BV75" i="11"/>
  <c r="BU75" i="11"/>
  <c r="BT75" i="11"/>
  <c r="BS75" i="11"/>
  <c r="BR75" i="11"/>
  <c r="AB75" i="11"/>
  <c r="BV74" i="11"/>
  <c r="BU74" i="11"/>
  <c r="BT74" i="11"/>
  <c r="BS74" i="11"/>
  <c r="BR74" i="11"/>
  <c r="BZ73" i="11"/>
  <c r="BV73" i="11"/>
  <c r="BU73" i="11"/>
  <c r="BT73" i="11"/>
  <c r="BS73" i="11"/>
  <c r="BR73" i="11"/>
  <c r="BV72" i="11"/>
  <c r="BU72" i="11"/>
  <c r="BT72" i="11"/>
  <c r="BS72" i="11"/>
  <c r="BR72" i="11"/>
  <c r="BV71" i="11"/>
  <c r="BU71" i="11"/>
  <c r="BT71" i="11"/>
  <c r="BS71" i="11"/>
  <c r="BR71" i="11"/>
  <c r="BQ71" i="11"/>
  <c r="BP71" i="11"/>
  <c r="BO71" i="11"/>
  <c r="BN71" i="11"/>
  <c r="BM71" i="11"/>
  <c r="BL71" i="11"/>
  <c r="BK71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AB70" i="11"/>
  <c r="BV69" i="11"/>
  <c r="BU69" i="11"/>
  <c r="BT69" i="11"/>
  <c r="BS69" i="11"/>
  <c r="BR69" i="11"/>
  <c r="AB69" i="11"/>
  <c r="CA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AB68" i="11"/>
  <c r="CO67" i="11"/>
  <c r="CL67" i="11"/>
  <c r="CL82" i="11" s="1"/>
  <c r="CK67" i="11"/>
  <c r="CK82" i="11" s="1"/>
  <c r="CJ67" i="11"/>
  <c r="CJ82" i="11" s="1"/>
  <c r="CI67" i="11"/>
  <c r="CI82" i="11" s="1"/>
  <c r="CH67" i="11"/>
  <c r="CH82" i="11" s="1"/>
  <c r="CG67" i="11"/>
  <c r="CG82" i="11" s="1"/>
  <c r="CF67" i="11"/>
  <c r="CF82" i="11" s="1"/>
  <c r="CE67" i="11"/>
  <c r="CE82" i="11" s="1"/>
  <c r="CD67" i="11"/>
  <c r="CD82" i="11" s="1"/>
  <c r="AB67" i="11"/>
  <c r="AB66" i="11"/>
  <c r="AB65" i="11"/>
  <c r="BZ64" i="11"/>
  <c r="AB64" i="11"/>
  <c r="AB63" i="11"/>
  <c r="AB71" i="11" s="1"/>
  <c r="BZ62" i="11"/>
  <c r="AB60" i="11"/>
  <c r="AB61" i="11" s="1"/>
  <c r="AB59" i="11"/>
  <c r="AB58" i="11"/>
  <c r="AB56" i="11"/>
  <c r="AB55" i="11"/>
  <c r="BZ54" i="11"/>
  <c r="AB54" i="11"/>
  <c r="BG53" i="11"/>
  <c r="AB53" i="11"/>
  <c r="BT52" i="11"/>
  <c r="BG52" i="11"/>
  <c r="AB21" i="11" s="1"/>
  <c r="AB52" i="11"/>
  <c r="CO49" i="11"/>
  <c r="CN49" i="11"/>
  <c r="CM49" i="11"/>
  <c r="CL49" i="11"/>
  <c r="CK49" i="11"/>
  <c r="CJ49" i="11"/>
  <c r="CI49" i="11"/>
  <c r="CH49" i="11"/>
  <c r="CG49" i="11"/>
  <c r="CF49" i="11"/>
  <c r="AB49" i="11"/>
  <c r="CO48" i="11"/>
  <c r="CN48" i="11"/>
  <c r="CM48" i="11"/>
  <c r="CL48" i="11"/>
  <c r="CK48" i="11"/>
  <c r="CJ48" i="11"/>
  <c r="CI48" i="11"/>
  <c r="CH48" i="11"/>
  <c r="CG48" i="11"/>
  <c r="CF48" i="11"/>
  <c r="CE48" i="11"/>
  <c r="AB48" i="11"/>
  <c r="CS47" i="11"/>
  <c r="CS67" i="11" s="1"/>
  <c r="CR47" i="11"/>
  <c r="CR67" i="11" s="1"/>
  <c r="CQ47" i="11"/>
  <c r="CQ67" i="11" s="1"/>
  <c r="CP47" i="11"/>
  <c r="CP67" i="11" s="1"/>
  <c r="CN47" i="11"/>
  <c r="CN67" i="11" s="1"/>
  <c r="CN82" i="11" s="1"/>
  <c r="CM47" i="11"/>
  <c r="CM67" i="11" s="1"/>
  <c r="CM82" i="11" s="1"/>
  <c r="CL47" i="11"/>
  <c r="CK47" i="11"/>
  <c r="CJ47" i="11"/>
  <c r="CI47" i="11"/>
  <c r="CH47" i="11"/>
  <c r="CG47" i="11"/>
  <c r="CF47" i="11"/>
  <c r="CE47" i="11"/>
  <c r="CD47" i="11"/>
  <c r="CA47" i="11"/>
  <c r="AB47" i="11"/>
  <c r="BV46" i="11"/>
  <c r="AB46" i="11"/>
  <c r="BV45" i="11"/>
  <c r="AB45" i="11"/>
  <c r="AB43" i="11"/>
  <c r="BG42" i="11"/>
  <c r="BG86" i="11" s="1"/>
  <c r="BE88" i="11" s="1"/>
  <c r="AB42" i="11"/>
  <c r="BG41" i="11"/>
  <c r="AB41" i="11"/>
  <c r="CD40" i="11"/>
  <c r="BH40" i="11"/>
  <c r="AB40" i="11"/>
  <c r="CN39" i="11"/>
  <c r="CM39" i="11"/>
  <c r="CL39" i="11"/>
  <c r="CK39" i="11"/>
  <c r="CJ39" i="11"/>
  <c r="CI39" i="11"/>
  <c r="CH39" i="11"/>
  <c r="CG39" i="11"/>
  <c r="CF39" i="11"/>
  <c r="CE39" i="11"/>
  <c r="AB39" i="11"/>
  <c r="BV37" i="11"/>
  <c r="AK37" i="11"/>
  <c r="AZ36" i="11"/>
  <c r="AY36" i="11"/>
  <c r="AX36" i="11"/>
  <c r="AW36" i="11"/>
  <c r="AV36" i="11"/>
  <c r="AU36" i="11"/>
  <c r="AT36" i="11"/>
  <c r="AS36" i="11"/>
  <c r="AR36" i="11"/>
  <c r="AQ36" i="11"/>
  <c r="AP36" i="11"/>
  <c r="AN36" i="11" s="1"/>
  <c r="AM36" i="11"/>
  <c r="AL36" i="11"/>
  <c r="AK36" i="11"/>
  <c r="AM35" i="11"/>
  <c r="AP35" i="11" s="1"/>
  <c r="AL35" i="11"/>
  <c r="AK35" i="11"/>
  <c r="AZ34" i="11"/>
  <c r="AY34" i="11"/>
  <c r="AX34" i="11"/>
  <c r="AW34" i="11"/>
  <c r="AV34" i="11"/>
  <c r="AU34" i="11"/>
  <c r="AT34" i="11"/>
  <c r="AS34" i="11"/>
  <c r="AR34" i="11"/>
  <c r="AQ34" i="11"/>
  <c r="AM34" i="11"/>
  <c r="AL34" i="11"/>
  <c r="AL37" i="11" s="1"/>
  <c r="AK34" i="11"/>
  <c r="AZ33" i="11"/>
  <c r="AY33" i="11"/>
  <c r="AX33" i="11"/>
  <c r="AW33" i="11"/>
  <c r="AV33" i="11"/>
  <c r="AU33" i="11"/>
  <c r="AT33" i="11"/>
  <c r="AS33" i="11"/>
  <c r="AR33" i="11"/>
  <c r="AQ33" i="11"/>
  <c r="AO33" i="11"/>
  <c r="AN33" i="11"/>
  <c r="AM33" i="11"/>
  <c r="AL33" i="11"/>
  <c r="AK33" i="11"/>
  <c r="BH31" i="11"/>
  <c r="BI31" i="11" s="1"/>
  <c r="BJ31" i="11" s="1"/>
  <c r="BK31" i="11" s="1"/>
  <c r="BL31" i="11" s="1"/>
  <c r="BM31" i="11" s="1"/>
  <c r="BN31" i="11" s="1"/>
  <c r="BO31" i="11" s="1"/>
  <c r="BP31" i="11" s="1"/>
  <c r="BQ31" i="11" s="1"/>
  <c r="BV28" i="11"/>
  <c r="BV52" i="11" s="1"/>
  <c r="AM28" i="11"/>
  <c r="AP28" i="11" s="1"/>
  <c r="AL28" i="11"/>
  <c r="AK28" i="11"/>
  <c r="AR27" i="11"/>
  <c r="AS27" i="11" s="1"/>
  <c r="AT27" i="11" s="1"/>
  <c r="AU27" i="11" s="1"/>
  <c r="AV27" i="11" s="1"/>
  <c r="AW27" i="11" s="1"/>
  <c r="AX27" i="11" s="1"/>
  <c r="AY27" i="11" s="1"/>
  <c r="AZ27" i="11" s="1"/>
  <c r="AQ27" i="11"/>
  <c r="D27" i="11"/>
  <c r="BV26" i="11"/>
  <c r="BQ26" i="11"/>
  <c r="BP26" i="11"/>
  <c r="BO26" i="11"/>
  <c r="BN26" i="11"/>
  <c r="BM26" i="11"/>
  <c r="BL26" i="11"/>
  <c r="BK26" i="11"/>
  <c r="BJ26" i="11"/>
  <c r="BI26" i="11"/>
  <c r="BH26" i="11"/>
  <c r="AM26" i="11"/>
  <c r="AP26" i="11" s="1"/>
  <c r="AL26" i="11"/>
  <c r="AK26" i="11"/>
  <c r="BV25" i="11"/>
  <c r="BV24" i="11"/>
  <c r="AM24" i="11"/>
  <c r="AP24" i="11" s="1"/>
  <c r="AL24" i="11"/>
  <c r="AK24" i="11"/>
  <c r="AM23" i="11"/>
  <c r="AP23" i="11" s="1"/>
  <c r="AL23" i="11"/>
  <c r="AK23" i="11"/>
  <c r="CN22" i="11"/>
  <c r="CM22" i="11"/>
  <c r="CL22" i="11"/>
  <c r="CK22" i="11"/>
  <c r="CJ22" i="11"/>
  <c r="CI22" i="11"/>
  <c r="CH22" i="11"/>
  <c r="CG22" i="11"/>
  <c r="CF22" i="11"/>
  <c r="CE22" i="11"/>
  <c r="BV22" i="11"/>
  <c r="BU22" i="11"/>
  <c r="BT22" i="11"/>
  <c r="BS22" i="11"/>
  <c r="AM22" i="11"/>
  <c r="AP22" i="11" s="1"/>
  <c r="AL22" i="11"/>
  <c r="AK22" i="11"/>
  <c r="BV21" i="11"/>
  <c r="BU21" i="11"/>
  <c r="BT21" i="11"/>
  <c r="BS21" i="11"/>
  <c r="AT21" i="11"/>
  <c r="AU21" i="11" s="1"/>
  <c r="AV21" i="11" s="1"/>
  <c r="AW21" i="11" s="1"/>
  <c r="AX21" i="11" s="1"/>
  <c r="AY21" i="11" s="1"/>
  <c r="AZ21" i="11" s="1"/>
  <c r="AS21" i="11"/>
  <c r="AR21" i="11"/>
  <c r="AQ21" i="11"/>
  <c r="AP21" i="11"/>
  <c r="AN21" i="11" s="1"/>
  <c r="AM21" i="11"/>
  <c r="AL21" i="11"/>
  <c r="AK21" i="11"/>
  <c r="AP20" i="11"/>
  <c r="AQ20" i="11" s="1"/>
  <c r="AN20" i="11"/>
  <c r="AM20" i="11"/>
  <c r="AL20" i="11"/>
  <c r="AK20" i="11"/>
  <c r="CD19" i="11"/>
  <c r="BG18" i="11"/>
  <c r="BG94" i="11" s="1"/>
  <c r="AP17" i="11"/>
  <c r="AN17" i="11" s="1"/>
  <c r="CC16" i="11"/>
  <c r="BG16" i="11"/>
  <c r="BG17" i="11" s="1"/>
  <c r="B16" i="11"/>
  <c r="CC15" i="11"/>
  <c r="AZ15" i="11"/>
  <c r="AY15" i="11"/>
  <c r="AX15" i="11"/>
  <c r="AW15" i="11"/>
  <c r="AV15" i="11"/>
  <c r="AU15" i="11"/>
  <c r="AT15" i="11"/>
  <c r="AS15" i="11"/>
  <c r="AR15" i="11"/>
  <c r="AQ15" i="11"/>
  <c r="AP15" i="11"/>
  <c r="AN15" i="11"/>
  <c r="AL15" i="11"/>
  <c r="AK15" i="11"/>
  <c r="CF14" i="11"/>
  <c r="CG14" i="11" s="1"/>
  <c r="CC14" i="11"/>
  <c r="AB14" i="11"/>
  <c r="BG13" i="11"/>
  <c r="BG12" i="11"/>
  <c r="BG14" i="11" s="1"/>
  <c r="AM12" i="11"/>
  <c r="AP12" i="11" s="1"/>
  <c r="AL12" i="11"/>
  <c r="AK12" i="11"/>
  <c r="AB12" i="11"/>
  <c r="AB29" i="11" s="1"/>
  <c r="BG11" i="11"/>
  <c r="AM11" i="11"/>
  <c r="AP11" i="11" s="1"/>
  <c r="AL11" i="11"/>
  <c r="AK11" i="11"/>
  <c r="CA9" i="11"/>
  <c r="BH9" i="11"/>
  <c r="BG9" i="11"/>
  <c r="AN9" i="11"/>
  <c r="AL9" i="11"/>
  <c r="AK9" i="11"/>
  <c r="AH9" i="11"/>
  <c r="BH8" i="11"/>
  <c r="AL8" i="11"/>
  <c r="AB8" i="11"/>
  <c r="BE7" i="11" a="1"/>
  <c r="BE7" i="11" s="1"/>
  <c r="AG7" i="11"/>
  <c r="CZ6" i="11"/>
  <c r="CY6" i="11"/>
  <c r="CX6" i="11"/>
  <c r="BE6" i="11"/>
  <c r="CZ5" i="11"/>
  <c r="CY5" i="11"/>
  <c r="CX5" i="11"/>
  <c r="AB5" i="11"/>
  <c r="CZ4" i="11"/>
  <c r="CZ19" i="11" s="1"/>
  <c r="AM10" i="11" s="1"/>
  <c r="CY4" i="11"/>
  <c r="BZ2" i="11"/>
  <c r="H4" i="6"/>
  <c r="H5" i="6"/>
  <c r="H6" i="6"/>
  <c r="H7" i="6"/>
  <c r="H3" i="6"/>
  <c r="AA40" i="4"/>
  <c r="AA41" i="4"/>
  <c r="C118" i="4"/>
  <c r="C117" i="4"/>
  <c r="C119" i="4" s="1"/>
  <c r="AA39" i="4"/>
  <c r="AA42" i="4"/>
  <c r="AA43" i="4"/>
  <c r="AA45" i="4"/>
  <c r="AA46" i="4"/>
  <c r="AA47" i="4"/>
  <c r="AA48" i="4"/>
  <c r="AA49" i="4"/>
  <c r="H91" i="4"/>
  <c r="CX5" i="4" s="1"/>
  <c r="H92" i="4"/>
  <c r="CX6" i="4" s="1"/>
  <c r="H93" i="4"/>
  <c r="CX7" i="4" s="1"/>
  <c r="H90" i="4"/>
  <c r="CX4" i="4" s="1"/>
  <c r="CX19" i="4" s="1"/>
  <c r="AK10" i="4" s="1"/>
  <c r="F91" i="4"/>
  <c r="CW5" i="4" s="1"/>
  <c r="F92" i="4"/>
  <c r="CW6" i="4" s="1"/>
  <c r="F93" i="4"/>
  <c r="CW7" i="4" s="1"/>
  <c r="F90" i="4"/>
  <c r="CW4" i="4" s="1"/>
  <c r="I95" i="4"/>
  <c r="O90" i="4"/>
  <c r="J90" i="4"/>
  <c r="CY4" i="4" s="1"/>
  <c r="CD22" i="4"/>
  <c r="CE22" i="4"/>
  <c r="CF22" i="4"/>
  <c r="CG22" i="4"/>
  <c r="CH22" i="4"/>
  <c r="CI22" i="4"/>
  <c r="CJ22" i="4"/>
  <c r="CK22" i="4"/>
  <c r="CL22" i="4"/>
  <c r="CM22" i="4"/>
  <c r="CC19" i="4"/>
  <c r="CB14" i="4"/>
  <c r="CB15" i="4"/>
  <c r="CB16" i="4"/>
  <c r="CC40" i="4"/>
  <c r="BZ9" i="4"/>
  <c r="CE15" i="4" s="1"/>
  <c r="CD48" i="4"/>
  <c r="CE48" i="4"/>
  <c r="CF48" i="4"/>
  <c r="CG48" i="4"/>
  <c r="CH48" i="4"/>
  <c r="CI48" i="4"/>
  <c r="CJ48" i="4"/>
  <c r="CK48" i="4"/>
  <c r="CL48" i="4"/>
  <c r="CM48" i="4"/>
  <c r="CN48" i="4"/>
  <c r="CE49" i="4"/>
  <c r="CF49" i="4"/>
  <c r="CG49" i="4"/>
  <c r="CH49" i="4"/>
  <c r="CI49" i="4"/>
  <c r="CJ49" i="4"/>
  <c r="CK49" i="4"/>
  <c r="CL49" i="4"/>
  <c r="CM49" i="4"/>
  <c r="CN49" i="4"/>
  <c r="BZ47" i="4"/>
  <c r="AK33" i="4"/>
  <c r="AK20" i="4"/>
  <c r="CE39" i="4"/>
  <c r="CF39" i="4"/>
  <c r="CG39" i="4"/>
  <c r="CH39" i="4"/>
  <c r="CI39" i="4"/>
  <c r="CJ39" i="4"/>
  <c r="CK39" i="4"/>
  <c r="CL39" i="4"/>
  <c r="CM39" i="4"/>
  <c r="CD39" i="4"/>
  <c r="CN69" i="4"/>
  <c r="CD47" i="4"/>
  <c r="CD69" i="4" s="1"/>
  <c r="CD84" i="4" s="1"/>
  <c r="CE47" i="4"/>
  <c r="CE69" i="4" s="1"/>
  <c r="CE84" i="4" s="1"/>
  <c r="CF47" i="4"/>
  <c r="CF69" i="4" s="1"/>
  <c r="CF84" i="4" s="1"/>
  <c r="CG47" i="4"/>
  <c r="CG69" i="4" s="1"/>
  <c r="CG84" i="4" s="1"/>
  <c r="CH47" i="4"/>
  <c r="CH69" i="4" s="1"/>
  <c r="CH84" i="4" s="1"/>
  <c r="CI47" i="4"/>
  <c r="CI69" i="4" s="1"/>
  <c r="CI84" i="4" s="1"/>
  <c r="CJ47" i="4"/>
  <c r="CJ69" i="4" s="1"/>
  <c r="CJ84" i="4" s="1"/>
  <c r="CK47" i="4"/>
  <c r="CK69" i="4" s="1"/>
  <c r="CK84" i="4" s="1"/>
  <c r="CL47" i="4"/>
  <c r="CL69" i="4" s="1"/>
  <c r="CL84" i="4" s="1"/>
  <c r="CM47" i="4"/>
  <c r="CM69" i="4" s="1"/>
  <c r="CM84" i="4" s="1"/>
  <c r="CC47" i="4"/>
  <c r="CC69" i="4" s="1"/>
  <c r="CC84" i="4" s="1"/>
  <c r="G123" i="4"/>
  <c r="H123" i="4" s="1"/>
  <c r="AJ28" i="4"/>
  <c r="O93" i="4"/>
  <c r="O92" i="4"/>
  <c r="O91" i="4"/>
  <c r="J93" i="4"/>
  <c r="CY7" i="4" s="1"/>
  <c r="J92" i="4"/>
  <c r="CY6" i="4" s="1"/>
  <c r="J91" i="4"/>
  <c r="CY5" i="4" s="1"/>
  <c r="J95" i="4"/>
  <c r="BN101" i="4"/>
  <c r="BD7" i="4" a="1"/>
  <c r="BD7" i="4"/>
  <c r="AP27" i="4"/>
  <c r="AQ27" i="4"/>
  <c r="AR27" i="4"/>
  <c r="AS27" i="4"/>
  <c r="AT27" i="4"/>
  <c r="AU27" i="4"/>
  <c r="AV27" i="4"/>
  <c r="AW27" i="4"/>
  <c r="AX27" i="4"/>
  <c r="AY27" i="4"/>
  <c r="AJ35" i="4"/>
  <c r="AJ21" i="4"/>
  <c r="AJ20" i="4"/>
  <c r="AA58" i="4"/>
  <c r="BF53" i="4"/>
  <c r="AK11" i="4"/>
  <c r="AK8" i="4"/>
  <c r="AR33" i="4"/>
  <c r="AK12" i="4"/>
  <c r="AJ12" i="4"/>
  <c r="AK13" i="4"/>
  <c r="AK16" i="4" s="1"/>
  <c r="AJ11" i="4"/>
  <c r="AK9" i="4"/>
  <c r="AJ9" i="4"/>
  <c r="A16" i="4"/>
  <c r="C27" i="4"/>
  <c r="AA52" i="4"/>
  <c r="AA78" i="4"/>
  <c r="AA80" i="4"/>
  <c r="AA77" i="4"/>
  <c r="AA66" i="4"/>
  <c r="AA67" i="4"/>
  <c r="AA68" i="4"/>
  <c r="AA69" i="4"/>
  <c r="AA70" i="4"/>
  <c r="AA71" i="4"/>
  <c r="AA72" i="4"/>
  <c r="AA73" i="4"/>
  <c r="AA54" i="4"/>
  <c r="AA55" i="4"/>
  <c r="AA14" i="4"/>
  <c r="BF52" i="4"/>
  <c r="AJ33" i="4"/>
  <c r="AS36" i="4"/>
  <c r="AR36" i="4"/>
  <c r="AA79" i="4"/>
  <c r="AA81" i="4" s="1"/>
  <c r="AP36" i="4"/>
  <c r="AQ36" i="4"/>
  <c r="AT36" i="4"/>
  <c r="AU36" i="4"/>
  <c r="AV36" i="4"/>
  <c r="AW36" i="4"/>
  <c r="AX36" i="4"/>
  <c r="AY36" i="4"/>
  <c r="AP34" i="4"/>
  <c r="AQ34" i="4"/>
  <c r="AR34" i="4"/>
  <c r="AS34" i="4"/>
  <c r="AT34" i="4"/>
  <c r="AU34" i="4"/>
  <c r="AV34" i="4"/>
  <c r="AW34" i="4"/>
  <c r="AX34" i="4"/>
  <c r="AY34" i="4"/>
  <c r="AQ33" i="4"/>
  <c r="AS33" i="4"/>
  <c r="AT33" i="4"/>
  <c r="AU33" i="4"/>
  <c r="AV33" i="4"/>
  <c r="AW33" i="4"/>
  <c r="AX33" i="4"/>
  <c r="AY33" i="4"/>
  <c r="AP33" i="4"/>
  <c r="AL36" i="4"/>
  <c r="AO36" i="4" s="1"/>
  <c r="AM36" i="4" s="1"/>
  <c r="AL35" i="4"/>
  <c r="AK36" i="4"/>
  <c r="AK35" i="4"/>
  <c r="AJ36" i="4"/>
  <c r="AM33" i="4"/>
  <c r="AL33" i="4"/>
  <c r="AJ34" i="4"/>
  <c r="AK34" i="4"/>
  <c r="AL34" i="4"/>
  <c r="AK37" i="4"/>
  <c r="AJ37" i="4"/>
  <c r="BI26" i="4"/>
  <c r="BH26" i="4"/>
  <c r="BF42" i="4"/>
  <c r="CO47" i="4"/>
  <c r="CO69" i="4" s="1"/>
  <c r="CP47" i="4"/>
  <c r="CP69" i="4" s="1"/>
  <c r="CQ47" i="4"/>
  <c r="CQ69" i="4" s="1"/>
  <c r="CR47" i="4"/>
  <c r="CR69" i="4" s="1"/>
  <c r="CC101" i="4"/>
  <c r="CD101" i="4"/>
  <c r="CD102" i="4" s="1"/>
  <c r="CE101" i="4"/>
  <c r="CE102" i="4" s="1"/>
  <c r="CF101" i="4"/>
  <c r="CF104" i="4" s="1"/>
  <c r="CG101" i="4"/>
  <c r="CG104" i="4" s="1"/>
  <c r="CH101" i="4"/>
  <c r="CH102" i="4" s="1"/>
  <c r="CI101" i="4"/>
  <c r="CI102" i="4" s="1"/>
  <c r="CJ101" i="4"/>
  <c r="CJ102" i="4" s="1"/>
  <c r="CK101" i="4"/>
  <c r="CL101" i="4"/>
  <c r="CM101" i="4"/>
  <c r="CM103" i="4" s="1"/>
  <c r="CN101" i="4"/>
  <c r="CN103" i="4" s="1"/>
  <c r="CO101" i="4"/>
  <c r="CO103" i="4" s="1"/>
  <c r="CP101" i="4"/>
  <c r="CP103" i="4" s="1"/>
  <c r="CQ101" i="4"/>
  <c r="CQ103" i="4" s="1"/>
  <c r="CR101" i="4"/>
  <c r="CR103" i="4" s="1"/>
  <c r="CC102" i="4"/>
  <c r="CG102" i="4"/>
  <c r="CK102" i="4"/>
  <c r="CL102" i="4"/>
  <c r="CM102" i="4"/>
  <c r="CN102" i="4"/>
  <c r="CO102" i="4"/>
  <c r="CP102" i="4"/>
  <c r="BY103" i="4"/>
  <c r="CC103" i="4"/>
  <c r="CD103" i="4"/>
  <c r="CE103" i="4"/>
  <c r="CF103" i="4"/>
  <c r="CG103" i="4"/>
  <c r="CH103" i="4"/>
  <c r="CK103" i="4"/>
  <c r="CL103" i="4"/>
  <c r="CC104" i="4"/>
  <c r="CD104" i="4"/>
  <c r="CE104" i="4"/>
  <c r="CK104" i="4"/>
  <c r="CL104" i="4"/>
  <c r="CM104" i="4"/>
  <c r="CN104" i="4"/>
  <c r="CQ104" i="4"/>
  <c r="CR104" i="4"/>
  <c r="CO99" i="4"/>
  <c r="CP99" i="4"/>
  <c r="CQ99" i="4"/>
  <c r="CR99" i="4"/>
  <c r="BZ85" i="4"/>
  <c r="BY90" i="4"/>
  <c r="BY96" i="4"/>
  <c r="CO84" i="4"/>
  <c r="CP84" i="4"/>
  <c r="CQ84" i="4"/>
  <c r="CR84" i="4"/>
  <c r="BZ70" i="4"/>
  <c r="BY75" i="4"/>
  <c r="BY77" i="4"/>
  <c r="BY81" i="4"/>
  <c r="BY66" i="4"/>
  <c r="BY64" i="4"/>
  <c r="BY54" i="4"/>
  <c r="BF13" i="4" l="1"/>
  <c r="BF16" i="4"/>
  <c r="BF17" i="4" s="1"/>
  <c r="BF14" i="4"/>
  <c r="BG37" i="4"/>
  <c r="BG95" i="7"/>
  <c r="BG94" i="7"/>
  <c r="BG92" i="7"/>
  <c r="AO34" i="4"/>
  <c r="AP35" i="4"/>
  <c r="AQ35" i="4" s="1"/>
  <c r="AR35" i="4" s="1"/>
  <c r="AS35" i="4" s="1"/>
  <c r="AT35" i="4" s="1"/>
  <c r="AU35" i="4" s="1"/>
  <c r="AV35" i="4" s="1"/>
  <c r="AW35" i="4" s="1"/>
  <c r="AX35" i="4" s="1"/>
  <c r="AY35" i="4" s="1"/>
  <c r="CY19" i="4"/>
  <c r="CW19" i="4"/>
  <c r="AJ13" i="4" s="1"/>
  <c r="AH14" i="8"/>
  <c r="J5" i="8"/>
  <c r="J8" i="8"/>
  <c r="J7" i="8"/>
  <c r="J6" i="8"/>
  <c r="I6" i="8"/>
  <c r="I5" i="8"/>
  <c r="H8" i="8"/>
  <c r="H6" i="8"/>
  <c r="M6" i="8"/>
  <c r="M9" i="8" s="1"/>
  <c r="L5" i="8"/>
  <c r="L7" i="8"/>
  <c r="L8" i="8"/>
  <c r="H7" i="8"/>
  <c r="AC48" i="8"/>
  <c r="H34" i="8" s="1"/>
  <c r="AQ37" i="8"/>
  <c r="AO37" i="8" s="1"/>
  <c r="N6" i="8"/>
  <c r="N7" i="8"/>
  <c r="N8" i="8"/>
  <c r="N5" i="8"/>
  <c r="K6" i="8"/>
  <c r="K7" i="8"/>
  <c r="K8" i="8"/>
  <c r="J9" i="8"/>
  <c r="AL24" i="8" s="1"/>
  <c r="AQ24" i="8" s="1"/>
  <c r="I7" i="8"/>
  <c r="I8" i="8"/>
  <c r="AN13" i="10"/>
  <c r="AQ13" i="10"/>
  <c r="AR13" i="10" s="1"/>
  <c r="AS13" i="10" s="1"/>
  <c r="AT13" i="10" s="1"/>
  <c r="AU13" i="10" s="1"/>
  <c r="AV13" i="10" s="1"/>
  <c r="AW13" i="10" s="1"/>
  <c r="AX13" i="10" s="1"/>
  <c r="AY13" i="10" s="1"/>
  <c r="BG15" i="10"/>
  <c r="BG41" i="10" s="1"/>
  <c r="BG44" i="10" s="1"/>
  <c r="BG95" i="10"/>
  <c r="BG94" i="10"/>
  <c r="AN22" i="10"/>
  <c r="AQ22" i="10"/>
  <c r="AR22" i="10" s="1"/>
  <c r="AS22" i="10" s="1"/>
  <c r="AT22" i="10" s="1"/>
  <c r="AU22" i="10" s="1"/>
  <c r="AV22" i="10" s="1"/>
  <c r="AW22" i="10" s="1"/>
  <c r="AX22" i="10" s="1"/>
  <c r="AY22" i="10" s="1"/>
  <c r="AZ22" i="10" s="1"/>
  <c r="AL38" i="10"/>
  <c r="AB62" i="10"/>
  <c r="AB74" i="10" s="1"/>
  <c r="CA99" i="10"/>
  <c r="BZ91" i="10"/>
  <c r="CX4" i="10"/>
  <c r="H89" i="10"/>
  <c r="I89" i="10" s="1"/>
  <c r="CX5" i="10"/>
  <c r="H90" i="10"/>
  <c r="I90" i="10" s="1"/>
  <c r="P91" i="10"/>
  <c r="K91" i="10"/>
  <c r="CZ6" i="10" s="1"/>
  <c r="CX7" i="10"/>
  <c r="H92" i="10"/>
  <c r="I92" i="10" s="1"/>
  <c r="CH102" i="10"/>
  <c r="CH103" i="10"/>
  <c r="CH101" i="10"/>
  <c r="CI102" i="10"/>
  <c r="CI103" i="10"/>
  <c r="CI101" i="10"/>
  <c r="CJ102" i="10"/>
  <c r="CJ103" i="10"/>
  <c r="CJ101" i="10"/>
  <c r="CK102" i="10"/>
  <c r="CK103" i="10"/>
  <c r="CK101" i="10"/>
  <c r="CL102" i="10"/>
  <c r="CL103" i="10"/>
  <c r="CL101" i="10"/>
  <c r="CM102" i="10"/>
  <c r="CM103" i="10"/>
  <c r="CM101" i="10"/>
  <c r="CN102" i="10"/>
  <c r="CN103" i="10"/>
  <c r="CN101" i="10"/>
  <c r="CO103" i="10"/>
  <c r="CO102" i="10"/>
  <c r="CO101" i="10"/>
  <c r="CP102" i="10"/>
  <c r="CP103" i="10"/>
  <c r="CP101" i="10"/>
  <c r="CQ103" i="10"/>
  <c r="CQ102" i="10"/>
  <c r="CQ101" i="10"/>
  <c r="CR103" i="10"/>
  <c r="CR102" i="10"/>
  <c r="CR101" i="10"/>
  <c r="CS103" i="10"/>
  <c r="CS102" i="10"/>
  <c r="CS101" i="10"/>
  <c r="BG14" i="9"/>
  <c r="BG89" i="9"/>
  <c r="BG95" i="9"/>
  <c r="BG94" i="9"/>
  <c r="BG91" i="9"/>
  <c r="BG90" i="9"/>
  <c r="AP35" i="9"/>
  <c r="AM37" i="9"/>
  <c r="AQ28" i="9"/>
  <c r="AR28" i="9" s="1"/>
  <c r="AS28" i="9" s="1"/>
  <c r="AT28" i="9" s="1"/>
  <c r="AU28" i="9" s="1"/>
  <c r="AN28" i="9"/>
  <c r="AQ23" i="9"/>
  <c r="AR23" i="9" s="1"/>
  <c r="AS23" i="9" s="1"/>
  <c r="AT23" i="9" s="1"/>
  <c r="AU23" i="9" s="1"/>
  <c r="AV23" i="9" s="1"/>
  <c r="AW23" i="9" s="1"/>
  <c r="AX23" i="9" s="1"/>
  <c r="AY23" i="9" s="1"/>
  <c r="AZ23" i="9" s="1"/>
  <c r="AN23" i="9"/>
  <c r="AB71" i="9"/>
  <c r="AB73" i="9" s="1"/>
  <c r="AB81" i="9" s="1"/>
  <c r="CY4" i="8"/>
  <c r="CY29" i="8" s="1"/>
  <c r="H103" i="8"/>
  <c r="BH23" i="8"/>
  <c r="BH108" i="8"/>
  <c r="BH107" i="8"/>
  <c r="BH105" i="8"/>
  <c r="BH104" i="8"/>
  <c r="BH101" i="8"/>
  <c r="BH100" i="8"/>
  <c r="BH99" i="8"/>
  <c r="AC82" i="8"/>
  <c r="AC94" i="8" s="1"/>
  <c r="CB108" i="8"/>
  <c r="CA100" i="8"/>
  <c r="CI112" i="8"/>
  <c r="CI111" i="8"/>
  <c r="CI110" i="8"/>
  <c r="CJ112" i="8"/>
  <c r="CJ111" i="8"/>
  <c r="CJ110" i="8"/>
  <c r="CK112" i="8"/>
  <c r="CK111" i="8"/>
  <c r="CK110" i="8"/>
  <c r="CL111" i="8"/>
  <c r="CL110" i="8"/>
  <c r="CM111" i="8"/>
  <c r="CM110" i="8"/>
  <c r="CN111" i="8"/>
  <c r="CN110" i="8"/>
  <c r="CO111" i="8"/>
  <c r="CO112" i="8"/>
  <c r="CO110" i="8"/>
  <c r="CP111" i="8"/>
  <c r="CP112" i="8"/>
  <c r="CP110" i="8"/>
  <c r="CQ111" i="8"/>
  <c r="CQ110" i="8"/>
  <c r="CR112" i="8"/>
  <c r="CR111" i="8"/>
  <c r="CR110" i="8"/>
  <c r="CS112" i="8"/>
  <c r="CS111" i="8"/>
  <c r="CS110" i="8"/>
  <c r="CT112" i="8"/>
  <c r="CT111" i="8"/>
  <c r="CT110" i="8"/>
  <c r="CD19" i="4"/>
  <c r="BG12" i="4"/>
  <c r="BG13" i="4"/>
  <c r="BH86" i="11"/>
  <c r="BH37" i="11"/>
  <c r="CE19" i="11"/>
  <c r="CE29" i="11" s="1"/>
  <c r="BH12" i="11"/>
  <c r="BI8" i="11"/>
  <c r="BH86" i="7"/>
  <c r="BH37" i="7"/>
  <c r="CE19" i="7"/>
  <c r="CE21" i="7" s="1"/>
  <c r="BH13" i="7"/>
  <c r="BH12" i="7"/>
  <c r="BH11" i="7"/>
  <c r="AB29" i="7"/>
  <c r="BI96" i="8"/>
  <c r="BI47" i="8"/>
  <c r="CF29" i="8"/>
  <c r="BI22" i="8"/>
  <c r="BI21" i="8"/>
  <c r="BI20" i="8"/>
  <c r="BI23" i="8" s="1"/>
  <c r="BI50" i="8" s="1"/>
  <c r="BJ8" i="8"/>
  <c r="AC32" i="8"/>
  <c r="BH86" i="9"/>
  <c r="BH37" i="9"/>
  <c r="CE19" i="9"/>
  <c r="BH12" i="9"/>
  <c r="AB29" i="9"/>
  <c r="AB3" i="9" s="1"/>
  <c r="BH87" i="10"/>
  <c r="BH38" i="10"/>
  <c r="CE20" i="10"/>
  <c r="BH13" i="10"/>
  <c r="AP9" i="10"/>
  <c r="AJ60" i="10" s="1"/>
  <c r="AJ70" i="10" s="1"/>
  <c r="AJ79" i="10" s="1"/>
  <c r="AQ25" i="10"/>
  <c r="AR25" i="10" s="1"/>
  <c r="AS25" i="10" s="1"/>
  <c r="AT25" i="10" s="1"/>
  <c r="AU25" i="10" s="1"/>
  <c r="AV25" i="10" s="1"/>
  <c r="AW25" i="10" s="1"/>
  <c r="AX25" i="10" s="1"/>
  <c r="AY25" i="10" s="1"/>
  <c r="AZ25" i="10" s="1"/>
  <c r="AN25" i="10"/>
  <c r="AG13" i="10"/>
  <c r="AZ13" i="10"/>
  <c r="AQ27" i="10"/>
  <c r="AR27" i="10" s="1"/>
  <c r="AS27" i="10" s="1"/>
  <c r="AT27" i="10" s="1"/>
  <c r="AU27" i="10" s="1"/>
  <c r="AV27" i="10" s="1"/>
  <c r="AW27" i="10" s="1"/>
  <c r="AX27" i="10" s="1"/>
  <c r="AY27" i="10" s="1"/>
  <c r="AZ27" i="10" s="1"/>
  <c r="AN27" i="10"/>
  <c r="AN21" i="10"/>
  <c r="AQ21" i="10"/>
  <c r="BG96" i="10"/>
  <c r="BG74" i="10"/>
  <c r="BG70" i="10"/>
  <c r="BG76" i="10"/>
  <c r="BG75" i="10"/>
  <c r="BG77" i="10"/>
  <c r="AB80" i="10"/>
  <c r="AB82" i="10" s="1"/>
  <c r="CD103" i="10"/>
  <c r="CD101" i="10"/>
  <c r="CE101" i="10"/>
  <c r="CE102" i="10"/>
  <c r="CF18" i="10"/>
  <c r="CG18" i="10" s="1"/>
  <c r="CF17" i="10"/>
  <c r="CG17" i="10" s="1"/>
  <c r="AQ24" i="10"/>
  <c r="AR24" i="10" s="1"/>
  <c r="AS24" i="10" s="1"/>
  <c r="AT24" i="10" s="1"/>
  <c r="AU24" i="10" s="1"/>
  <c r="AV24" i="10" s="1"/>
  <c r="AW24" i="10" s="1"/>
  <c r="AX24" i="10" s="1"/>
  <c r="AY24" i="10" s="1"/>
  <c r="AZ24" i="10" s="1"/>
  <c r="AN24" i="10"/>
  <c r="BG73" i="10"/>
  <c r="CG101" i="10"/>
  <c r="CG102" i="10"/>
  <c r="CF101" i="10"/>
  <c r="CF102" i="10"/>
  <c r="BG97" i="10"/>
  <c r="BG91" i="10"/>
  <c r="BG90" i="10"/>
  <c r="BG99" i="10"/>
  <c r="BG98" i="10"/>
  <c r="BG92" i="10"/>
  <c r="BG89" i="10"/>
  <c r="BG93" i="10"/>
  <c r="BG79" i="10"/>
  <c r="CX20" i="10"/>
  <c r="AK10" i="10" s="1"/>
  <c r="AP38" i="10"/>
  <c r="AB34" i="10"/>
  <c r="AB3" i="10"/>
  <c r="AB32" i="10" s="1"/>
  <c r="AB31" i="10"/>
  <c r="BE90" i="10"/>
  <c r="BG52" i="10"/>
  <c r="BG55" i="10" s="1"/>
  <c r="AQ36" i="10"/>
  <c r="AR36" i="10" s="1"/>
  <c r="AS36" i="10" s="1"/>
  <c r="AT36" i="10" s="1"/>
  <c r="AU36" i="10" s="1"/>
  <c r="AV36" i="10" s="1"/>
  <c r="AW36" i="10" s="1"/>
  <c r="AN36" i="10"/>
  <c r="AP12" i="10"/>
  <c r="CF16" i="10"/>
  <c r="CG16" i="10" s="1"/>
  <c r="CD31" i="10"/>
  <c r="BG72" i="10"/>
  <c r="AP29" i="10"/>
  <c r="CE31" i="10"/>
  <c r="AK38" i="10"/>
  <c r="BG69" i="10"/>
  <c r="AN35" i="10"/>
  <c r="AN23" i="10"/>
  <c r="BG67" i="10"/>
  <c r="BE69" i="10" s="1"/>
  <c r="BH67" i="10"/>
  <c r="BH12" i="10"/>
  <c r="BH14" i="10"/>
  <c r="BI8" i="10"/>
  <c r="AQ20" i="9"/>
  <c r="AN20" i="9"/>
  <c r="AQ22" i="9"/>
  <c r="AR22" i="9" s="1"/>
  <c r="AS22" i="9" s="1"/>
  <c r="AT22" i="9" s="1"/>
  <c r="AU22" i="9" s="1"/>
  <c r="AV22" i="9" s="1"/>
  <c r="AW22" i="9" s="1"/>
  <c r="AX22" i="9" s="1"/>
  <c r="AY22" i="9" s="1"/>
  <c r="AZ22" i="9" s="1"/>
  <c r="AN22" i="9"/>
  <c r="AL13" i="9"/>
  <c r="AQ12" i="9"/>
  <c r="AR12" i="9" s="1"/>
  <c r="AS12" i="9" s="1"/>
  <c r="AT12" i="9" s="1"/>
  <c r="AU12" i="9" s="1"/>
  <c r="AV12" i="9" s="1"/>
  <c r="AW12" i="9" s="1"/>
  <c r="AX12" i="9" s="1"/>
  <c r="AY12" i="9" s="1"/>
  <c r="AZ12" i="9" s="1"/>
  <c r="AN12" i="9"/>
  <c r="AG12" i="9"/>
  <c r="AM13" i="9"/>
  <c r="AP10" i="9"/>
  <c r="AV28" i="9"/>
  <c r="AP11" i="9"/>
  <c r="AQ26" i="9"/>
  <c r="AR26" i="9" s="1"/>
  <c r="AS26" i="9" s="1"/>
  <c r="AT26" i="9" s="1"/>
  <c r="AU26" i="9" s="1"/>
  <c r="AV26" i="9" s="1"/>
  <c r="AW26" i="9" s="1"/>
  <c r="AX26" i="9" s="1"/>
  <c r="AY26" i="9" s="1"/>
  <c r="AZ26" i="9" s="1"/>
  <c r="AN26" i="9"/>
  <c r="AN24" i="9"/>
  <c r="AQ24" i="9"/>
  <c r="AR24" i="9" s="1"/>
  <c r="AS24" i="9" s="1"/>
  <c r="AT24" i="9" s="1"/>
  <c r="AU24" i="9" s="1"/>
  <c r="AV24" i="9" s="1"/>
  <c r="AW24" i="9" s="1"/>
  <c r="AX24" i="9" s="1"/>
  <c r="AY24" i="9" s="1"/>
  <c r="AZ24" i="9" s="1"/>
  <c r="H124" i="9"/>
  <c r="I124" i="9" s="1"/>
  <c r="H123" i="9"/>
  <c r="I123" i="9" s="1"/>
  <c r="CF16" i="9"/>
  <c r="CG16" i="9" s="1"/>
  <c r="H122" i="9"/>
  <c r="I122" i="9" s="1"/>
  <c r="CF100" i="9"/>
  <c r="CF101" i="9"/>
  <c r="AP37" i="9"/>
  <c r="AN34" i="9"/>
  <c r="AQ35" i="9"/>
  <c r="AR35" i="9" s="1"/>
  <c r="AS35" i="9" s="1"/>
  <c r="AT35" i="9" s="1"/>
  <c r="AU35" i="9" s="1"/>
  <c r="AV35" i="9" s="1"/>
  <c r="AW35" i="9" s="1"/>
  <c r="AX35" i="9" s="1"/>
  <c r="AY35" i="9" s="1"/>
  <c r="AZ35" i="9" s="1"/>
  <c r="AZ37" i="9" s="1"/>
  <c r="AN35" i="9"/>
  <c r="CG100" i="9"/>
  <c r="CG101" i="9"/>
  <c r="CG102" i="9"/>
  <c r="CX19" i="9"/>
  <c r="AK10" i="9" s="1"/>
  <c r="BG51" i="9"/>
  <c r="BG54" i="9" s="1"/>
  <c r="BG40" i="9"/>
  <c r="BG43" i="9" s="1"/>
  <c r="CF102" i="9"/>
  <c r="BG96" i="9"/>
  <c r="BG98" i="9"/>
  <c r="BG97" i="9"/>
  <c r="BG88" i="9"/>
  <c r="BG92" i="9"/>
  <c r="BG93" i="9"/>
  <c r="CE100" i="9"/>
  <c r="CE101" i="9"/>
  <c r="CE30" i="9"/>
  <c r="CL102" i="9"/>
  <c r="CF17" i="9"/>
  <c r="CG17" i="9" s="1"/>
  <c r="AQ21" i="9"/>
  <c r="AR21" i="9" s="1"/>
  <c r="AS21" i="9" s="1"/>
  <c r="AT21" i="9" s="1"/>
  <c r="AU21" i="9" s="1"/>
  <c r="AV21" i="9" s="1"/>
  <c r="AW21" i="9" s="1"/>
  <c r="AX21" i="9" s="1"/>
  <c r="AY21" i="9" s="1"/>
  <c r="AZ21" i="9" s="1"/>
  <c r="AN21" i="9"/>
  <c r="CD30" i="9"/>
  <c r="BE89" i="9"/>
  <c r="CD102" i="9"/>
  <c r="CD100" i="9"/>
  <c r="CD21" i="9" s="1"/>
  <c r="CB21" i="9" s="1"/>
  <c r="CK102" i="9"/>
  <c r="BG66" i="9"/>
  <c r="BE68" i="9" s="1"/>
  <c r="BH66" i="9"/>
  <c r="BH11" i="9"/>
  <c r="BH13" i="9"/>
  <c r="AP9" i="9"/>
  <c r="BI8" i="9"/>
  <c r="CZ29" i="8"/>
  <c r="AM10" i="8" s="1"/>
  <c r="AO35" i="8"/>
  <c r="DA29" i="8"/>
  <c r="AN10" i="8" s="1"/>
  <c r="AQ10" i="8" s="1"/>
  <c r="AQ36" i="8"/>
  <c r="AN38" i="8"/>
  <c r="BH106" i="8"/>
  <c r="BH98" i="8"/>
  <c r="BH102" i="8"/>
  <c r="CG110" i="8"/>
  <c r="CG111" i="8"/>
  <c r="CG112" i="8"/>
  <c r="BH96" i="8"/>
  <c r="BF98" i="8" s="1"/>
  <c r="BH76" i="8"/>
  <c r="BF78" i="8" s="1"/>
  <c r="CF110" i="8"/>
  <c r="CF111" i="8"/>
  <c r="CF112" i="8"/>
  <c r="AR12" i="8"/>
  <c r="AS12" i="8" s="1"/>
  <c r="AT12" i="8" s="1"/>
  <c r="AU12" i="8" s="1"/>
  <c r="AV12" i="8" s="1"/>
  <c r="AW12" i="8" s="1"/>
  <c r="AX12" i="8" s="1"/>
  <c r="AY12" i="8" s="1"/>
  <c r="AZ12" i="8" s="1"/>
  <c r="BA12" i="8" s="1"/>
  <c r="AC100" i="8"/>
  <c r="AC102" i="8" s="1"/>
  <c r="CH110" i="8"/>
  <c r="CH111" i="8"/>
  <c r="CH112" i="8"/>
  <c r="AO12" i="8"/>
  <c r="BH103" i="8"/>
  <c r="CL112" i="8"/>
  <c r="CM112" i="8"/>
  <c r="CN112" i="8"/>
  <c r="CG24" i="8"/>
  <c r="CH24" i="8" s="1"/>
  <c r="CG26" i="8"/>
  <c r="CH26" i="8" s="1"/>
  <c r="BF99" i="8"/>
  <c r="BH61" i="8"/>
  <c r="BH64" i="8" s="1"/>
  <c r="BH50" i="8"/>
  <c r="BH53" i="8" s="1"/>
  <c r="CE112" i="8"/>
  <c r="CE110" i="8"/>
  <c r="CF40" i="8"/>
  <c r="CQ112" i="8"/>
  <c r="BI76" i="8"/>
  <c r="BJ76" i="8"/>
  <c r="AQ9" i="8"/>
  <c r="BJ20" i="8"/>
  <c r="BJ22" i="8"/>
  <c r="AR9" i="8"/>
  <c r="AQ20" i="7"/>
  <c r="AN20" i="7"/>
  <c r="AN24" i="7"/>
  <c r="AQ24" i="7"/>
  <c r="AR24" i="7" s="1"/>
  <c r="AS24" i="7" s="1"/>
  <c r="AT24" i="7" s="1"/>
  <c r="AU24" i="7" s="1"/>
  <c r="AV24" i="7" s="1"/>
  <c r="AW24" i="7" s="1"/>
  <c r="AX24" i="7" s="1"/>
  <c r="AY24" i="7" s="1"/>
  <c r="AZ24" i="7" s="1"/>
  <c r="AQ35" i="7"/>
  <c r="AR35" i="7" s="1"/>
  <c r="AS35" i="7" s="1"/>
  <c r="AN35" i="7"/>
  <c r="AQ22" i="7"/>
  <c r="AR22" i="7" s="1"/>
  <c r="AS22" i="7" s="1"/>
  <c r="AT22" i="7" s="1"/>
  <c r="AU22" i="7" s="1"/>
  <c r="AV22" i="7" s="1"/>
  <c r="AW22" i="7" s="1"/>
  <c r="AX22" i="7" s="1"/>
  <c r="AY22" i="7" s="1"/>
  <c r="AZ22" i="7" s="1"/>
  <c r="AN22" i="7"/>
  <c r="AL13" i="7"/>
  <c r="AL42" i="7"/>
  <c r="AQ12" i="7"/>
  <c r="AR12" i="7" s="1"/>
  <c r="AS12" i="7" s="1"/>
  <c r="AT12" i="7" s="1"/>
  <c r="AU12" i="7" s="1"/>
  <c r="AV12" i="7" s="1"/>
  <c r="AW12" i="7" s="1"/>
  <c r="AX12" i="7" s="1"/>
  <c r="AY12" i="7" s="1"/>
  <c r="AZ12" i="7" s="1"/>
  <c r="AN12" i="7"/>
  <c r="BE89" i="7"/>
  <c r="AN28" i="7"/>
  <c r="AM13" i="7"/>
  <c r="AP10" i="7"/>
  <c r="AM42" i="7"/>
  <c r="AQ28" i="7"/>
  <c r="AQ26" i="7"/>
  <c r="AR26" i="7" s="1"/>
  <c r="AS26" i="7" s="1"/>
  <c r="AT26" i="7" s="1"/>
  <c r="AU26" i="7" s="1"/>
  <c r="AV26" i="7" s="1"/>
  <c r="AW26" i="7" s="1"/>
  <c r="AX26" i="7" s="1"/>
  <c r="AY26" i="7" s="1"/>
  <c r="AZ26" i="7" s="1"/>
  <c r="AP11" i="7"/>
  <c r="BG73" i="7"/>
  <c r="BG69" i="7"/>
  <c r="BG74" i="7"/>
  <c r="BG75" i="7"/>
  <c r="BG76" i="7"/>
  <c r="BG71" i="7"/>
  <c r="BG77" i="7"/>
  <c r="BG78" i="7"/>
  <c r="BG68" i="7"/>
  <c r="BG70" i="7"/>
  <c r="AP37" i="7"/>
  <c r="CD102" i="7"/>
  <c r="CD100" i="7"/>
  <c r="CD21" i="7" s="1"/>
  <c r="CB21" i="7" s="1"/>
  <c r="CF100" i="7"/>
  <c r="CF101" i="7"/>
  <c r="CH102" i="7"/>
  <c r="BG96" i="7"/>
  <c r="BG98" i="7"/>
  <c r="BG97" i="7"/>
  <c r="BG91" i="7"/>
  <c r="BG90" i="7"/>
  <c r="BG89" i="7"/>
  <c r="BG88" i="7"/>
  <c r="CG100" i="7"/>
  <c r="CG101" i="7"/>
  <c r="H124" i="7"/>
  <c r="I124" i="7" s="1"/>
  <c r="H123" i="7"/>
  <c r="I123" i="7" s="1"/>
  <c r="CF16" i="7"/>
  <c r="CG16" i="7" s="1"/>
  <c r="H122" i="7"/>
  <c r="I122" i="7" s="1"/>
  <c r="BG51" i="7"/>
  <c r="BG54" i="7" s="1"/>
  <c r="K93" i="7"/>
  <c r="CE30" i="7"/>
  <c r="CF17" i="7"/>
  <c r="CG17" i="7" s="1"/>
  <c r="BG93" i="7"/>
  <c r="CD30" i="7"/>
  <c r="AB33" i="7"/>
  <c r="AB30" i="7"/>
  <c r="AL37" i="7"/>
  <c r="AQ23" i="7"/>
  <c r="AR23" i="7" s="1"/>
  <c r="AS23" i="7" s="1"/>
  <c r="AT23" i="7" s="1"/>
  <c r="AU23" i="7" s="1"/>
  <c r="AV23" i="7" s="1"/>
  <c r="AW23" i="7" s="1"/>
  <c r="AX23" i="7" s="1"/>
  <c r="AY23" i="7" s="1"/>
  <c r="AZ23" i="7" s="1"/>
  <c r="AN23" i="7"/>
  <c r="CX19" i="7"/>
  <c r="AK10" i="7" s="1"/>
  <c r="CE24" i="7"/>
  <c r="CD29" i="7"/>
  <c r="CB29" i="7" s="1"/>
  <c r="AB79" i="7"/>
  <c r="AB81" i="7" s="1"/>
  <c r="CE29" i="7"/>
  <c r="CH100" i="7"/>
  <c r="AN34" i="7"/>
  <c r="BG66" i="7"/>
  <c r="BE68" i="7" s="1"/>
  <c r="AN21" i="7"/>
  <c r="BH66" i="7"/>
  <c r="AP9" i="7"/>
  <c r="BI8" i="7"/>
  <c r="AR20" i="11"/>
  <c r="AM13" i="11"/>
  <c r="AP10" i="11"/>
  <c r="AM42" i="11"/>
  <c r="AQ28" i="11"/>
  <c r="AN28" i="11"/>
  <c r="AN24" i="11"/>
  <c r="AQ24" i="11"/>
  <c r="AR24" i="11" s="1"/>
  <c r="AS24" i="11" s="1"/>
  <c r="AT24" i="11" s="1"/>
  <c r="AU24" i="11" s="1"/>
  <c r="AV24" i="11" s="1"/>
  <c r="AW24" i="11" s="1"/>
  <c r="AX24" i="11" s="1"/>
  <c r="AY24" i="11" s="1"/>
  <c r="AZ24" i="11" s="1"/>
  <c r="AQ26" i="11"/>
  <c r="AR26" i="11" s="1"/>
  <c r="AS26" i="11" s="1"/>
  <c r="AT26" i="11" s="1"/>
  <c r="AU26" i="11" s="1"/>
  <c r="AV26" i="11" s="1"/>
  <c r="AW26" i="11" s="1"/>
  <c r="AX26" i="11" s="1"/>
  <c r="AY26" i="11" s="1"/>
  <c r="AZ26" i="11" s="1"/>
  <c r="AN26" i="11"/>
  <c r="AB30" i="11"/>
  <c r="AB33" i="11"/>
  <c r="AB34" i="11"/>
  <c r="AN11" i="11"/>
  <c r="AQ11" i="11"/>
  <c r="AB73" i="11"/>
  <c r="AQ12" i="11"/>
  <c r="AR12" i="11" s="1"/>
  <c r="AS12" i="11" s="1"/>
  <c r="AT12" i="11" s="1"/>
  <c r="AU12" i="11" s="1"/>
  <c r="AV12" i="11" s="1"/>
  <c r="AW12" i="11" s="1"/>
  <c r="AX12" i="11" s="1"/>
  <c r="AY12" i="11" s="1"/>
  <c r="AZ12" i="11" s="1"/>
  <c r="AN12" i="11"/>
  <c r="AG12" i="11"/>
  <c r="BG51" i="11"/>
  <c r="BG54" i="11" s="1"/>
  <c r="BG40" i="11"/>
  <c r="BG43" i="11" s="1"/>
  <c r="BG92" i="11"/>
  <c r="CD102" i="11"/>
  <c r="CD100" i="11"/>
  <c r="CD29" i="11" s="1"/>
  <c r="CB29" i="11" s="1"/>
  <c r="CD30" i="11"/>
  <c r="AQ22" i="11"/>
  <c r="AR22" i="11" s="1"/>
  <c r="AS22" i="11" s="1"/>
  <c r="AT22" i="11" s="1"/>
  <c r="AU22" i="11" s="1"/>
  <c r="AV22" i="11" s="1"/>
  <c r="AW22" i="11" s="1"/>
  <c r="AX22" i="11" s="1"/>
  <c r="AY22" i="11" s="1"/>
  <c r="AZ22" i="11" s="1"/>
  <c r="AN22" i="11"/>
  <c r="CE30" i="11"/>
  <c r="AN23" i="11"/>
  <c r="AQ23" i="11"/>
  <c r="AR23" i="11" s="1"/>
  <c r="AS23" i="11" s="1"/>
  <c r="AT23" i="11" s="1"/>
  <c r="AU23" i="11" s="1"/>
  <c r="AV23" i="11" s="1"/>
  <c r="AW23" i="11" s="1"/>
  <c r="AX23" i="11" s="1"/>
  <c r="AY23" i="11" s="1"/>
  <c r="AZ23" i="11" s="1"/>
  <c r="CG100" i="11"/>
  <c r="CG101" i="11"/>
  <c r="CI102" i="11"/>
  <c r="H124" i="11"/>
  <c r="I124" i="11" s="1"/>
  <c r="H123" i="11"/>
  <c r="I123" i="11" s="1"/>
  <c r="H122" i="11"/>
  <c r="I122" i="11" s="1"/>
  <c r="CF16" i="11"/>
  <c r="CG16" i="11" s="1"/>
  <c r="CF17" i="11"/>
  <c r="CG17" i="11" s="1"/>
  <c r="CE21" i="11"/>
  <c r="CE24" i="11" s="1"/>
  <c r="AQ37" i="11"/>
  <c r="CX19" i="11"/>
  <c r="BG96" i="11"/>
  <c r="BG88" i="11"/>
  <c r="BG98" i="11"/>
  <c r="BG97" i="11"/>
  <c r="BG91" i="11"/>
  <c r="BG90" i="11"/>
  <c r="BG89" i="11"/>
  <c r="BG93" i="11"/>
  <c r="BG95" i="11"/>
  <c r="AB79" i="11"/>
  <c r="AS37" i="11"/>
  <c r="BE89" i="11"/>
  <c r="AB3" i="11"/>
  <c r="AB31" i="11" s="1"/>
  <c r="AM37" i="11"/>
  <c r="AP34" i="11"/>
  <c r="AQ35" i="11"/>
  <c r="AR35" i="11" s="1"/>
  <c r="AS35" i="11" s="1"/>
  <c r="AT35" i="11" s="1"/>
  <c r="AU35" i="11" s="1"/>
  <c r="AV35" i="11" s="1"/>
  <c r="AW35" i="11" s="1"/>
  <c r="AN35" i="11"/>
  <c r="CY19" i="11"/>
  <c r="AL10" i="11" s="1"/>
  <c r="CF15" i="11"/>
  <c r="CG15" i="11" s="1"/>
  <c r="BG66" i="11"/>
  <c r="BE68" i="11" s="1"/>
  <c r="BH66" i="11"/>
  <c r="BH11" i="11"/>
  <c r="BH13" i="11"/>
  <c r="BI66" i="11"/>
  <c r="AP9" i="11"/>
  <c r="BI11" i="11"/>
  <c r="BI13" i="11"/>
  <c r="AQ9" i="11"/>
  <c r="AO10" i="4"/>
  <c r="AJ42" i="4"/>
  <c r="CD30" i="4"/>
  <c r="CD29" i="4"/>
  <c r="CD21" i="4"/>
  <c r="CD24" i="4" s="1"/>
  <c r="CC30" i="4"/>
  <c r="CC29" i="4"/>
  <c r="CA29" i="4" s="1"/>
  <c r="CC21" i="4"/>
  <c r="CA21" i="4" s="1"/>
  <c r="AA29" i="4"/>
  <c r="AA5" i="4"/>
  <c r="AA61" i="4"/>
  <c r="AA75" i="4"/>
  <c r="AA83" i="4"/>
  <c r="AA30" i="4"/>
  <c r="AA27" i="4" s="1"/>
  <c r="AA34" i="4"/>
  <c r="AM35" i="4"/>
  <c r="AL37" i="4"/>
  <c r="BY92" i="4"/>
  <c r="BZ100" i="4"/>
  <c r="CF102" i="4"/>
  <c r="CP104" i="4"/>
  <c r="CJ103" i="4"/>
  <c r="CO104" i="4"/>
  <c r="CI103" i="4"/>
  <c r="CJ104" i="4"/>
  <c r="CI104" i="4"/>
  <c r="CH104" i="4"/>
  <c r="CR102" i="4"/>
  <c r="CQ102" i="4"/>
  <c r="AM10" i="4" l="1"/>
  <c r="AQ10" i="4"/>
  <c r="AO37" i="4"/>
  <c r="BG24" i="4" s="1"/>
  <c r="AM34" i="4"/>
  <c r="AM37" i="4" s="1"/>
  <c r="AR10" i="4"/>
  <c r="AP42" i="4"/>
  <c r="AA3" i="4"/>
  <c r="AA33" i="4"/>
  <c r="N9" i="8"/>
  <c r="AL23" i="8" s="1"/>
  <c r="I9" i="8"/>
  <c r="BJ25" i="8"/>
  <c r="BI25" i="8"/>
  <c r="BI28" i="8" s="1"/>
  <c r="AQ21" i="8"/>
  <c r="AO21" i="8" s="1"/>
  <c r="K9" i="8"/>
  <c r="J17" i="8" s="1"/>
  <c r="AQ23" i="8"/>
  <c r="L9" i="8"/>
  <c r="H9" i="8"/>
  <c r="CY7" i="10"/>
  <c r="J92" i="10"/>
  <c r="CY5" i="10"/>
  <c r="J90" i="10"/>
  <c r="J89" i="10"/>
  <c r="CY4" i="10"/>
  <c r="CY20" i="10" s="1"/>
  <c r="AL10" i="10" s="1"/>
  <c r="BG78" i="10"/>
  <c r="BG71" i="10"/>
  <c r="AS10" i="4"/>
  <c r="AA31" i="4"/>
  <c r="BI61" i="8"/>
  <c r="BH17" i="10"/>
  <c r="BH19" i="10" s="1"/>
  <c r="BH52" i="10" s="1"/>
  <c r="BH16" i="9"/>
  <c r="BH18" i="9" s="1"/>
  <c r="BH51" i="9" s="1"/>
  <c r="BH16" i="7"/>
  <c r="BH18" i="7" s="1"/>
  <c r="BH51" i="7" s="1"/>
  <c r="BH16" i="11"/>
  <c r="BH18" i="11" s="1"/>
  <c r="BH51" i="11" s="1"/>
  <c r="AB33" i="9"/>
  <c r="AB34" i="9"/>
  <c r="AB30" i="9"/>
  <c r="AB31" i="9"/>
  <c r="AC37" i="8"/>
  <c r="AC36" i="8"/>
  <c r="AC33" i="8"/>
  <c r="AC3" i="8"/>
  <c r="AC34" i="8" s="1"/>
  <c r="BJ96" i="8"/>
  <c r="BF100" i="8" s="1"/>
  <c r="BJ47" i="8"/>
  <c r="CG29" i="8"/>
  <c r="BJ21" i="8"/>
  <c r="BJ23" i="8" s="1"/>
  <c r="BJ9" i="8"/>
  <c r="BK8" i="8"/>
  <c r="AB34" i="7"/>
  <c r="AB31" i="7"/>
  <c r="BI86" i="11"/>
  <c r="BE90" i="11" s="1"/>
  <c r="BI37" i="11"/>
  <c r="CF19" i="11"/>
  <c r="BI16" i="11"/>
  <c r="BI12" i="11"/>
  <c r="BI14" i="11" s="1"/>
  <c r="BI9" i="11"/>
  <c r="BJ8" i="11"/>
  <c r="BH25" i="10"/>
  <c r="AK43" i="10"/>
  <c r="AK14" i="10"/>
  <c r="BE70" i="10"/>
  <c r="AR21" i="10"/>
  <c r="AW38" i="10"/>
  <c r="AX36" i="10"/>
  <c r="AQ9" i="10"/>
  <c r="AK60" i="10" s="1"/>
  <c r="AK70" i="10" s="1"/>
  <c r="AK79" i="10" s="1"/>
  <c r="BI14" i="10"/>
  <c r="BI12" i="10"/>
  <c r="BI67" i="10"/>
  <c r="BJ8" i="10"/>
  <c r="BI38" i="10"/>
  <c r="BI9" i="10"/>
  <c r="BI13" i="10"/>
  <c r="BI15" i="10" s="1"/>
  <c r="BI17" i="10"/>
  <c r="BI18" i="10" s="1"/>
  <c r="BI87" i="10"/>
  <c r="CF20" i="10"/>
  <c r="CD30" i="10"/>
  <c r="CB30" i="10" s="1"/>
  <c r="CD22" i="10"/>
  <c r="CB22" i="10" s="1"/>
  <c r="CD39" i="10"/>
  <c r="AV38" i="10"/>
  <c r="AR38" i="10"/>
  <c r="AU38" i="10"/>
  <c r="AL43" i="10"/>
  <c r="AL14" i="10"/>
  <c r="AT38" i="10"/>
  <c r="AN38" i="10"/>
  <c r="AS38" i="10"/>
  <c r="AQ38" i="10"/>
  <c r="CE22" i="10"/>
  <c r="CE25" i="10" s="1"/>
  <c r="CE30" i="10"/>
  <c r="AN29" i="10"/>
  <c r="AQ29" i="10"/>
  <c r="AQ12" i="10"/>
  <c r="AN12" i="10"/>
  <c r="CE21" i="9"/>
  <c r="CE24" i="9" s="1"/>
  <c r="CE29" i="9"/>
  <c r="AN37" i="9"/>
  <c r="AQ9" i="9"/>
  <c r="BI13" i="9"/>
  <c r="BI11" i="9"/>
  <c r="BI66" i="9"/>
  <c r="BJ8" i="9"/>
  <c r="BI16" i="9"/>
  <c r="BI17" i="9" s="1"/>
  <c r="CF19" i="9"/>
  <c r="BI86" i="9"/>
  <c r="BI12" i="9"/>
  <c r="BI14" i="9" s="1"/>
  <c r="BI9" i="9"/>
  <c r="BI37" i="9"/>
  <c r="AU37" i="9"/>
  <c r="AY37" i="9"/>
  <c r="AQ11" i="9"/>
  <c r="AN11" i="9"/>
  <c r="AM16" i="9"/>
  <c r="AP16" i="9" s="1"/>
  <c r="AN16" i="9" s="1"/>
  <c r="BE69" i="9"/>
  <c r="AW37" i="9"/>
  <c r="CD29" i="9"/>
  <c r="CB29" i="9" s="1"/>
  <c r="AL16" i="9"/>
  <c r="AL18" i="9" s="1"/>
  <c r="AQ37" i="9"/>
  <c r="AR37" i="9"/>
  <c r="AQ10" i="9"/>
  <c r="AN10" i="9"/>
  <c r="AN13" i="9" s="1"/>
  <c r="AP13" i="9"/>
  <c r="AP42" i="9"/>
  <c r="BG73" i="9"/>
  <c r="BG69" i="9"/>
  <c r="BG74" i="9"/>
  <c r="BG76" i="9"/>
  <c r="BG70" i="9"/>
  <c r="BG78" i="9"/>
  <c r="BG68" i="9"/>
  <c r="BG71" i="9"/>
  <c r="BG75" i="9"/>
  <c r="BG72" i="9"/>
  <c r="BG77" i="9"/>
  <c r="AS37" i="9"/>
  <c r="AV37" i="9"/>
  <c r="AT37" i="9"/>
  <c r="AW28" i="9"/>
  <c r="AG37" i="9"/>
  <c r="BH24" i="9"/>
  <c r="CD38" i="9"/>
  <c r="AK13" i="9"/>
  <c r="AK42" i="9"/>
  <c r="AX37" i="9"/>
  <c r="AR20" i="9"/>
  <c r="BH83" i="8"/>
  <c r="BH79" i="8"/>
  <c r="BH84" i="8"/>
  <c r="BH86" i="8"/>
  <c r="BH78" i="8"/>
  <c r="BH81" i="8"/>
  <c r="BH87" i="8"/>
  <c r="BH82" i="8"/>
  <c r="BH85" i="8"/>
  <c r="BH80" i="8"/>
  <c r="BH88" i="8"/>
  <c r="AO36" i="8"/>
  <c r="AR36" i="8"/>
  <c r="CE39" i="8"/>
  <c r="CC39" i="8" s="1"/>
  <c r="CE31" i="8"/>
  <c r="CC31" i="8" s="1"/>
  <c r="AN43" i="8"/>
  <c r="CF31" i="8"/>
  <c r="CF34" i="8" s="1"/>
  <c r="CF39" i="8"/>
  <c r="AQ38" i="8"/>
  <c r="AO38" i="8"/>
  <c r="BF80" i="8"/>
  <c r="BF79" i="8"/>
  <c r="AL43" i="8"/>
  <c r="AM43" i="8"/>
  <c r="CE48" i="8"/>
  <c r="CD38" i="7"/>
  <c r="AL16" i="7"/>
  <c r="AL18" i="7" s="1"/>
  <c r="AK13" i="7"/>
  <c r="AK42" i="7"/>
  <c r="AQ37" i="7"/>
  <c r="AQ11" i="7"/>
  <c r="AN11" i="7"/>
  <c r="AT35" i="7"/>
  <c r="AS37" i="7"/>
  <c r="AR37" i="7"/>
  <c r="AR28" i="7"/>
  <c r="AG12" i="7"/>
  <c r="AQ9" i="7"/>
  <c r="BI13" i="7"/>
  <c r="BI11" i="7"/>
  <c r="BI66" i="7"/>
  <c r="BI37" i="7"/>
  <c r="BI12" i="7"/>
  <c r="BI14" i="7" s="1"/>
  <c r="BI16" i="7"/>
  <c r="CF19" i="7"/>
  <c r="BI9" i="7"/>
  <c r="BJ8" i="7"/>
  <c r="BI86" i="7"/>
  <c r="BE69" i="7"/>
  <c r="AN37" i="7"/>
  <c r="AQ10" i="7"/>
  <c r="AN10" i="7"/>
  <c r="AN13" i="7" s="1"/>
  <c r="AP42" i="7"/>
  <c r="AP13" i="7"/>
  <c r="BH24" i="7"/>
  <c r="AM16" i="7"/>
  <c r="AP16" i="7" s="1"/>
  <c r="AN16" i="7" s="1"/>
  <c r="AR20" i="7"/>
  <c r="BG73" i="11"/>
  <c r="BG69" i="11"/>
  <c r="BG74" i="11"/>
  <c r="BG75" i="11"/>
  <c r="BG71" i="11"/>
  <c r="BG68" i="11"/>
  <c r="BG72" i="11"/>
  <c r="BG77" i="11"/>
  <c r="BG70" i="11"/>
  <c r="BG78" i="11"/>
  <c r="BG76" i="11"/>
  <c r="BE69" i="11"/>
  <c r="AL13" i="11"/>
  <c r="AL42" i="11"/>
  <c r="AN34" i="11"/>
  <c r="AN37" i="11" s="1"/>
  <c r="AP37" i="11"/>
  <c r="AR28" i="11"/>
  <c r="CD38" i="11"/>
  <c r="AB81" i="11"/>
  <c r="AU37" i="11"/>
  <c r="AV37" i="11"/>
  <c r="AP13" i="11"/>
  <c r="AP42" i="11"/>
  <c r="AQ10" i="11"/>
  <c r="AN10" i="11"/>
  <c r="AN13" i="11" s="1"/>
  <c r="BI40" i="11"/>
  <c r="BI24" i="11"/>
  <c r="AM16" i="11"/>
  <c r="AP16" i="11" s="1"/>
  <c r="AN16" i="11" s="1"/>
  <c r="AK13" i="11"/>
  <c r="AK42" i="11"/>
  <c r="AR11" i="11"/>
  <c r="AT37" i="11"/>
  <c r="AS20" i="11"/>
  <c r="CD21" i="11"/>
  <c r="CB21" i="11" s="1"/>
  <c r="BK24" i="11"/>
  <c r="AW37" i="11"/>
  <c r="AX35" i="11"/>
  <c r="BE70" i="11"/>
  <c r="AR37" i="11"/>
  <c r="AJ18" i="4"/>
  <c r="AJ25" i="4" s="1"/>
  <c r="AR37" i="4"/>
  <c r="CE14" i="4"/>
  <c r="CF14" i="4" s="1"/>
  <c r="BY2" i="4"/>
  <c r="BL91" i="4"/>
  <c r="BM91" i="4"/>
  <c r="BN91" i="4"/>
  <c r="BO91" i="4"/>
  <c r="BP91" i="4"/>
  <c r="AT10" i="4" l="1"/>
  <c r="AU10" i="4" s="1"/>
  <c r="AV10" i="4"/>
  <c r="AW10" i="4" s="1"/>
  <c r="AX10" i="4" s="1"/>
  <c r="AU42" i="4"/>
  <c r="AY10" i="4"/>
  <c r="AF10" i="4"/>
  <c r="AQ28" i="8"/>
  <c r="AO28" i="8" s="1"/>
  <c r="BK25" i="8"/>
  <c r="BJ26" i="8"/>
  <c r="BJ28" i="8"/>
  <c r="P9" i="8"/>
  <c r="AL29" i="8"/>
  <c r="AQ22" i="8"/>
  <c r="AO22" i="8" s="1"/>
  <c r="AR23" i="8"/>
  <c r="AR21" i="8"/>
  <c r="AR24" i="8"/>
  <c r="AR22" i="8"/>
  <c r="J21" i="8"/>
  <c r="AR27" i="8"/>
  <c r="AS27" i="8" s="1"/>
  <c r="J94" i="10"/>
  <c r="P89" i="10"/>
  <c r="K89" i="10"/>
  <c r="P90" i="10"/>
  <c r="K90" i="10"/>
  <c r="CZ5" i="10" s="1"/>
  <c r="P92" i="10"/>
  <c r="K92" i="10"/>
  <c r="CZ7" i="10" s="1"/>
  <c r="BJ9" i="11"/>
  <c r="BJ12" i="11"/>
  <c r="BJ16" i="11"/>
  <c r="BJ17" i="11" s="1"/>
  <c r="BJ37" i="11"/>
  <c r="CG19" i="11"/>
  <c r="AR9" i="11"/>
  <c r="BJ13" i="11"/>
  <c r="BJ11" i="11"/>
  <c r="BJ66" i="11"/>
  <c r="BE71" i="11" s="1"/>
  <c r="BJ18" i="11"/>
  <c r="BK8" i="11"/>
  <c r="BJ86" i="11"/>
  <c r="BE91" i="11" s="1"/>
  <c r="BI17" i="11"/>
  <c r="BI18" i="11" s="1"/>
  <c r="BI51" i="11" s="1"/>
  <c r="CF29" i="11"/>
  <c r="CF21" i="11"/>
  <c r="CF24" i="11"/>
  <c r="CF30" i="11"/>
  <c r="BK96" i="8"/>
  <c r="BF101" i="8" s="1"/>
  <c r="BK47" i="8"/>
  <c r="CH29" i="8"/>
  <c r="BK21" i="8"/>
  <c r="BL8" i="8"/>
  <c r="AS9" i="8"/>
  <c r="BK22" i="8"/>
  <c r="BK20" i="8"/>
  <c r="BK23" i="8" s="1"/>
  <c r="BK76" i="8"/>
  <c r="BF81" i="8" s="1"/>
  <c r="BK9" i="8"/>
  <c r="CG40" i="8"/>
  <c r="CG31" i="8"/>
  <c r="CG34" i="8" s="1"/>
  <c r="CG39" i="8"/>
  <c r="BI41" i="10"/>
  <c r="BE91" i="10"/>
  <c r="AY36" i="10"/>
  <c r="AX38" i="10"/>
  <c r="AS21" i="10"/>
  <c r="BO25" i="10"/>
  <c r="CF31" i="10"/>
  <c r="CF22" i="10"/>
  <c r="CF25" i="10" s="1"/>
  <c r="CF30" i="10"/>
  <c r="BJ25" i="10"/>
  <c r="BE71" i="10"/>
  <c r="AK17" i="10"/>
  <c r="AK19" i="10" s="1"/>
  <c r="BI25" i="10"/>
  <c r="BI19" i="10"/>
  <c r="BI52" i="10" s="1"/>
  <c r="AR12" i="10"/>
  <c r="AL17" i="10"/>
  <c r="AL19" i="10" s="1"/>
  <c r="AR29" i="10"/>
  <c r="BN25" i="10"/>
  <c r="BK25" i="10"/>
  <c r="BL25" i="10"/>
  <c r="AR9" i="10"/>
  <c r="AL60" i="10" s="1"/>
  <c r="AL70" i="10" s="1"/>
  <c r="AL79" i="10" s="1"/>
  <c r="BJ14" i="10"/>
  <c r="BJ12" i="10"/>
  <c r="BJ67" i="10"/>
  <c r="BJ9" i="10"/>
  <c r="CG20" i="10"/>
  <c r="BK8" i="10"/>
  <c r="BJ38" i="10"/>
  <c r="BJ13" i="10"/>
  <c r="BJ15" i="10" s="1"/>
  <c r="BJ17" i="10"/>
  <c r="BJ18" i="10"/>
  <c r="BJ87" i="10"/>
  <c r="BM25" i="10"/>
  <c r="CD43" i="10"/>
  <c r="BI40" i="9"/>
  <c r="AL25" i="9"/>
  <c r="AL29" i="9" s="1"/>
  <c r="AL31" i="9" s="1"/>
  <c r="AK16" i="9"/>
  <c r="AK18" i="9" s="1"/>
  <c r="AP18" i="9"/>
  <c r="AM18" i="9"/>
  <c r="AM25" i="9" s="1"/>
  <c r="AP25" i="9" s="1"/>
  <c r="BI24" i="9"/>
  <c r="AR11" i="9"/>
  <c r="CF30" i="9"/>
  <c r="CF29" i="9"/>
  <c r="CF21" i="9"/>
  <c r="CF24" i="9" s="1"/>
  <c r="AR9" i="9"/>
  <c r="BJ13" i="9"/>
  <c r="BJ11" i="9"/>
  <c r="BJ66" i="9"/>
  <c r="BJ9" i="9"/>
  <c r="BK8" i="9"/>
  <c r="CG19" i="9"/>
  <c r="BJ16" i="9"/>
  <c r="BJ17" i="9" s="1"/>
  <c r="BJ18" i="9" s="1"/>
  <c r="BJ86" i="9"/>
  <c r="BJ12" i="9"/>
  <c r="BJ37" i="9"/>
  <c r="BE70" i="9"/>
  <c r="AR10" i="9"/>
  <c r="AQ42" i="9"/>
  <c r="AQ13" i="9"/>
  <c r="AX28" i="9"/>
  <c r="BL24" i="9"/>
  <c r="BN24" i="9"/>
  <c r="BJ24" i="9"/>
  <c r="BK24" i="9"/>
  <c r="BO24" i="9"/>
  <c r="BM24" i="9"/>
  <c r="CD42" i="9"/>
  <c r="BE90" i="9"/>
  <c r="BI18" i="9"/>
  <c r="BI51" i="9" s="1"/>
  <c r="AS20" i="9"/>
  <c r="BQ24" i="9"/>
  <c r="BP24" i="9"/>
  <c r="BI34" i="8"/>
  <c r="AR10" i="8"/>
  <c r="AO10" i="8"/>
  <c r="AQ43" i="8"/>
  <c r="AS36" i="8"/>
  <c r="AR38" i="8"/>
  <c r="CE52" i="8"/>
  <c r="BJ61" i="8"/>
  <c r="BJ50" i="8"/>
  <c r="AL25" i="7"/>
  <c r="AL29" i="7" s="1"/>
  <c r="AL31" i="7" s="1"/>
  <c r="BI40" i="7"/>
  <c r="AU35" i="7"/>
  <c r="AT37" i="7"/>
  <c r="AR11" i="7"/>
  <c r="AK16" i="7"/>
  <c r="AK18" i="7" s="1"/>
  <c r="AR9" i="7"/>
  <c r="BJ13" i="7"/>
  <c r="BJ11" i="7"/>
  <c r="BJ66" i="7"/>
  <c r="BJ9" i="7"/>
  <c r="BJ16" i="7"/>
  <c r="BJ17" i="7" s="1"/>
  <c r="BJ12" i="7"/>
  <c r="BJ14" i="7" s="1"/>
  <c r="CG19" i="7"/>
  <c r="BJ37" i="7"/>
  <c r="BK8" i="7"/>
  <c r="BJ86" i="7"/>
  <c r="BI24" i="7"/>
  <c r="AS20" i="7"/>
  <c r="CD42" i="7"/>
  <c r="BJ24" i="7"/>
  <c r="AR10" i="7"/>
  <c r="AQ42" i="7"/>
  <c r="AQ13" i="7"/>
  <c r="CF30" i="7"/>
  <c r="CF21" i="7"/>
  <c r="CF24" i="7" s="1"/>
  <c r="CF29" i="7"/>
  <c r="BE90" i="7"/>
  <c r="AP18" i="7"/>
  <c r="BK24" i="7"/>
  <c r="BE70" i="7"/>
  <c r="BI17" i="7"/>
  <c r="BI18" i="7" s="1"/>
  <c r="BI51" i="7" s="1"/>
  <c r="AM18" i="7"/>
  <c r="AS28" i="7"/>
  <c r="AP18" i="11"/>
  <c r="AM18" i="11"/>
  <c r="AY35" i="11"/>
  <c r="AX37" i="11"/>
  <c r="CD42" i="11"/>
  <c r="BO24" i="11"/>
  <c r="AQ42" i="11"/>
  <c r="AR10" i="11"/>
  <c r="AQ13" i="11"/>
  <c r="AS28" i="11"/>
  <c r="AS11" i="11"/>
  <c r="BJ24" i="11"/>
  <c r="BL24" i="11"/>
  <c r="AT20" i="11"/>
  <c r="BM24" i="11"/>
  <c r="BH24" i="11"/>
  <c r="AL16" i="11"/>
  <c r="AL18" i="11" s="1"/>
  <c r="BN24" i="11"/>
  <c r="AK16" i="11"/>
  <c r="AK18" i="11" s="1"/>
  <c r="G124" i="4"/>
  <c r="H124" i="4" s="1"/>
  <c r="G125" i="4"/>
  <c r="H125" i="4" s="1"/>
  <c r="G126" i="4"/>
  <c r="H126" i="4" s="1"/>
  <c r="AT37" i="4"/>
  <c r="CE17" i="4"/>
  <c r="CF17" i="4" s="1"/>
  <c r="CE16" i="4"/>
  <c r="CF16" i="4" s="1"/>
  <c r="CF15" i="4"/>
  <c r="BM26" i="4"/>
  <c r="BK26" i="4"/>
  <c r="BH31" i="4"/>
  <c r="BI31" i="4" s="1"/>
  <c r="BJ31" i="4" s="1"/>
  <c r="BK31" i="4" s="1"/>
  <c r="BL31" i="4" s="1"/>
  <c r="BM31" i="4" s="1"/>
  <c r="BN31" i="4" s="1"/>
  <c r="BO31" i="4" s="1"/>
  <c r="BP31" i="4" s="1"/>
  <c r="BL26" i="4"/>
  <c r="BN26" i="4"/>
  <c r="BO26" i="4"/>
  <c r="BP26" i="4"/>
  <c r="BJ26" i="4"/>
  <c r="AL28" i="4"/>
  <c r="AO28" i="4" s="1"/>
  <c r="AK28" i="4"/>
  <c r="AL26" i="4"/>
  <c r="AO26" i="4" s="1"/>
  <c r="AP26" i="4" s="1"/>
  <c r="AK26" i="4"/>
  <c r="AJ26" i="4"/>
  <c r="AL20" i="4"/>
  <c r="AO20" i="4" s="1"/>
  <c r="AP20" i="4" s="1"/>
  <c r="AK21" i="4"/>
  <c r="AL21" i="4"/>
  <c r="AO21" i="4" s="1"/>
  <c r="AP21" i="4" s="1"/>
  <c r="AJ22" i="4"/>
  <c r="AK22" i="4"/>
  <c r="AL22" i="4"/>
  <c r="AO22" i="4" s="1"/>
  <c r="AJ23" i="4"/>
  <c r="AK23" i="4"/>
  <c r="AL23" i="4"/>
  <c r="AO23" i="4" s="1"/>
  <c r="AJ24" i="4"/>
  <c r="AK24" i="4"/>
  <c r="AL24" i="4"/>
  <c r="AO24" i="4" s="1"/>
  <c r="BF9" i="4"/>
  <c r="AL12" i="4"/>
  <c r="AO12" i="4" s="1"/>
  <c r="AL11" i="4"/>
  <c r="AL13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U101" i="4"/>
  <c r="BT101" i="4"/>
  <c r="BS101" i="4"/>
  <c r="BR101" i="4"/>
  <c r="BQ101" i="4"/>
  <c r="BP101" i="4"/>
  <c r="BO101" i="4"/>
  <c r="BM101" i="4"/>
  <c r="BL101" i="4"/>
  <c r="BK101" i="4"/>
  <c r="BJ101" i="4"/>
  <c r="BI101" i="4"/>
  <c r="BH101" i="4"/>
  <c r="BG101" i="4"/>
  <c r="BF101" i="4"/>
  <c r="BU100" i="4"/>
  <c r="BT100" i="4"/>
  <c r="BS100" i="4"/>
  <c r="BR100" i="4"/>
  <c r="BQ100" i="4"/>
  <c r="BU99" i="4"/>
  <c r="BT99" i="4"/>
  <c r="BS99" i="4"/>
  <c r="BR99" i="4"/>
  <c r="BQ99" i="4"/>
  <c r="BP99" i="4"/>
  <c r="BU98" i="4"/>
  <c r="BT98" i="4"/>
  <c r="BS98" i="4"/>
  <c r="BR98" i="4"/>
  <c r="BQ98" i="4"/>
  <c r="BP98" i="4"/>
  <c r="BO98" i="4"/>
  <c r="BU97" i="4"/>
  <c r="BT97" i="4"/>
  <c r="BS97" i="4"/>
  <c r="BR97" i="4"/>
  <c r="BQ97" i="4"/>
  <c r="BP97" i="4"/>
  <c r="BO97" i="4"/>
  <c r="BN97" i="4"/>
  <c r="BU96" i="4"/>
  <c r="BT96" i="4"/>
  <c r="BS96" i="4"/>
  <c r="BR96" i="4"/>
  <c r="BQ96" i="4"/>
  <c r="BP96" i="4"/>
  <c r="BO96" i="4"/>
  <c r="BN96" i="4"/>
  <c r="BM96" i="4"/>
  <c r="BU95" i="4"/>
  <c r="BT95" i="4"/>
  <c r="BS95" i="4"/>
  <c r="BR95" i="4"/>
  <c r="BQ95" i="4"/>
  <c r="BP95" i="4"/>
  <c r="BO95" i="4"/>
  <c r="BN95" i="4"/>
  <c r="BM95" i="4"/>
  <c r="BL95" i="4"/>
  <c r="BU94" i="4"/>
  <c r="BT94" i="4"/>
  <c r="BS94" i="4"/>
  <c r="BR94" i="4"/>
  <c r="BQ94" i="4"/>
  <c r="BP94" i="4"/>
  <c r="BO94" i="4"/>
  <c r="BN94" i="4"/>
  <c r="BM94" i="4"/>
  <c r="BL94" i="4"/>
  <c r="BK94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U91" i="4"/>
  <c r="BT91" i="4"/>
  <c r="BS91" i="4"/>
  <c r="BR91" i="4"/>
  <c r="BQ91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U80" i="4"/>
  <c r="BT80" i="4"/>
  <c r="BS80" i="4"/>
  <c r="BR80" i="4"/>
  <c r="BQ80" i="4"/>
  <c r="BU79" i="4"/>
  <c r="BT79" i="4"/>
  <c r="BS79" i="4"/>
  <c r="BR79" i="4"/>
  <c r="BQ79" i="4"/>
  <c r="BU78" i="4"/>
  <c r="BT78" i="4"/>
  <c r="BS78" i="4"/>
  <c r="BR78" i="4"/>
  <c r="BQ78" i="4"/>
  <c r="BU77" i="4"/>
  <c r="BT77" i="4"/>
  <c r="BS77" i="4"/>
  <c r="BR77" i="4"/>
  <c r="BQ77" i="4"/>
  <c r="BU76" i="4"/>
  <c r="BT76" i="4"/>
  <c r="BS76" i="4"/>
  <c r="BR76" i="4"/>
  <c r="BQ76" i="4"/>
  <c r="BU75" i="4"/>
  <c r="BT75" i="4"/>
  <c r="BS75" i="4"/>
  <c r="BR75" i="4"/>
  <c r="BQ75" i="4"/>
  <c r="BU74" i="4"/>
  <c r="BT74" i="4"/>
  <c r="BS74" i="4"/>
  <c r="BR74" i="4"/>
  <c r="BQ74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U71" i="4"/>
  <c r="BT71" i="4"/>
  <c r="BS71" i="4"/>
  <c r="BR71" i="4"/>
  <c r="BQ71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U46" i="4"/>
  <c r="BU45" i="4"/>
  <c r="BU37" i="4"/>
  <c r="BU28" i="4"/>
  <c r="BU52" i="4" s="1"/>
  <c r="BU26" i="4"/>
  <c r="BU25" i="4"/>
  <c r="BU24" i="4"/>
  <c r="BU22" i="4"/>
  <c r="BT22" i="4"/>
  <c r="BS22" i="4"/>
  <c r="BR22" i="4"/>
  <c r="BU21" i="4"/>
  <c r="BT21" i="4"/>
  <c r="BS21" i="4"/>
  <c r="BR21" i="4"/>
  <c r="AM17" i="4"/>
  <c r="AM15" i="4"/>
  <c r="BG9" i="4"/>
  <c r="AG9" i="4"/>
  <c r="AF7" i="4"/>
  <c r="BF40" i="4" l="1"/>
  <c r="BF43" i="4" s="1"/>
  <c r="AL16" i="4"/>
  <c r="AO16" i="4" s="1"/>
  <c r="AM16" i="4" s="1"/>
  <c r="AL18" i="4"/>
  <c r="AL25" i="4" s="1"/>
  <c r="AQ12" i="4"/>
  <c r="AR12" i="4" s="1"/>
  <c r="AS12" i="4" s="1"/>
  <c r="AT12" i="4" s="1"/>
  <c r="AU12" i="4" s="1"/>
  <c r="AV12" i="4" s="1"/>
  <c r="AW12" i="4" s="1"/>
  <c r="AX12" i="4" s="1"/>
  <c r="AY12" i="4" s="1"/>
  <c r="AM12" i="4"/>
  <c r="AQ26" i="4"/>
  <c r="AR26" i="4" s="1"/>
  <c r="AS26" i="4" s="1"/>
  <c r="AT26" i="4" s="1"/>
  <c r="AU26" i="4" s="1"/>
  <c r="AV26" i="4" s="1"/>
  <c r="AW26" i="4" s="1"/>
  <c r="AX26" i="4" s="1"/>
  <c r="AY26" i="4" s="1"/>
  <c r="AP28" i="4"/>
  <c r="AM28" i="4"/>
  <c r="AS21" i="8"/>
  <c r="AR28" i="8"/>
  <c r="AQ29" i="8"/>
  <c r="AO29" i="8" s="1"/>
  <c r="BL25" i="8"/>
  <c r="AS23" i="8"/>
  <c r="AS24" i="8"/>
  <c r="AS22" i="8"/>
  <c r="K94" i="10"/>
  <c r="CZ4" i="10"/>
  <c r="CZ20" i="10" s="1"/>
  <c r="AM10" i="10" s="1"/>
  <c r="BJ14" i="9"/>
  <c r="BJ19" i="10"/>
  <c r="BK50" i="8"/>
  <c r="CI29" i="8"/>
  <c r="BM8" i="8"/>
  <c r="BL22" i="8"/>
  <c r="BL20" i="8"/>
  <c r="BL76" i="8"/>
  <c r="BF82" i="8" s="1"/>
  <c r="BL9" i="8"/>
  <c r="BL47" i="8"/>
  <c r="AT9" i="8"/>
  <c r="BL96" i="8"/>
  <c r="BF102" i="8" s="1"/>
  <c r="BL26" i="8"/>
  <c r="BL28" i="8" s="1"/>
  <c r="BL21" i="8"/>
  <c r="BK26" i="8"/>
  <c r="CH40" i="8"/>
  <c r="CH39" i="8"/>
  <c r="CH31" i="8"/>
  <c r="CH34" i="8" s="1"/>
  <c r="BK13" i="11"/>
  <c r="BK11" i="11"/>
  <c r="BK66" i="11"/>
  <c r="BE72" i="11" s="1"/>
  <c r="BK86" i="11"/>
  <c r="BE92" i="11" s="1"/>
  <c r="BL8" i="11"/>
  <c r="CH19" i="11"/>
  <c r="BK16" i="11"/>
  <c r="BK12" i="11"/>
  <c r="BK14" i="11" s="1"/>
  <c r="BK40" i="11" s="1"/>
  <c r="AS9" i="11"/>
  <c r="BK37" i="11"/>
  <c r="BK9" i="11"/>
  <c r="CG30" i="11"/>
  <c r="CG21" i="11"/>
  <c r="CG29" i="11"/>
  <c r="CG24" i="11"/>
  <c r="BJ14" i="11"/>
  <c r="BJ52" i="10"/>
  <c r="BJ41" i="10"/>
  <c r="AL26" i="10"/>
  <c r="AL30" i="10" s="1"/>
  <c r="AL32" i="10"/>
  <c r="AK26" i="10"/>
  <c r="AK30" i="10" s="1"/>
  <c r="AK32" i="10"/>
  <c r="AS29" i="10"/>
  <c r="CD52" i="10"/>
  <c r="CD32" i="10" s="1"/>
  <c r="AT21" i="10"/>
  <c r="BE72" i="10"/>
  <c r="BE92" i="10"/>
  <c r="BK14" i="10"/>
  <c r="BK12" i="10"/>
  <c r="BK67" i="10"/>
  <c r="BK9" i="10"/>
  <c r="BL8" i="10"/>
  <c r="BK38" i="10"/>
  <c r="CH20" i="10"/>
  <c r="BK17" i="10"/>
  <c r="BK18" i="10" s="1"/>
  <c r="AS9" i="10"/>
  <c r="AM60" i="10" s="1"/>
  <c r="AM70" i="10" s="1"/>
  <c r="AM79" i="10" s="1"/>
  <c r="BK13" i="10"/>
  <c r="BK15" i="10" s="1"/>
  <c r="BK87" i="10"/>
  <c r="AS12" i="10"/>
  <c r="BP25" i="10"/>
  <c r="AZ36" i="10"/>
  <c r="AZ38" i="10" s="1"/>
  <c r="AY38" i="10"/>
  <c r="CG31" i="10"/>
  <c r="CG22" i="10"/>
  <c r="CG30" i="10"/>
  <c r="CG25" i="10"/>
  <c r="BJ40" i="9"/>
  <c r="BJ51" i="9"/>
  <c r="AK25" i="9"/>
  <c r="AK29" i="9" s="1"/>
  <c r="AK31" i="9"/>
  <c r="AL39" i="9"/>
  <c r="AL46" i="9"/>
  <c r="BE91" i="9"/>
  <c r="AQ16" i="9"/>
  <c r="AQ18" i="9" s="1"/>
  <c r="AN18" i="9"/>
  <c r="BH21" i="9"/>
  <c r="AS11" i="9"/>
  <c r="CG30" i="9"/>
  <c r="CG29" i="9"/>
  <c r="CG21" i="9"/>
  <c r="CG24" i="9" s="1"/>
  <c r="AR42" i="9"/>
  <c r="AS10" i="9"/>
  <c r="AR13" i="9"/>
  <c r="BK13" i="9"/>
  <c r="BK11" i="9"/>
  <c r="BK66" i="9"/>
  <c r="BK9" i="9"/>
  <c r="CH19" i="9"/>
  <c r="AS9" i="9"/>
  <c r="BK16" i="9"/>
  <c r="BK86" i="9"/>
  <c r="BK12" i="9"/>
  <c r="BK14" i="9" s="1"/>
  <c r="BK37" i="9"/>
  <c r="BL8" i="9"/>
  <c r="AY28" i="9"/>
  <c r="AL45" i="9"/>
  <c r="AL43" i="9"/>
  <c r="AL44" i="9"/>
  <c r="AT20" i="9"/>
  <c r="CD51" i="9"/>
  <c r="CD31" i="9"/>
  <c r="BE71" i="9"/>
  <c r="BJ34" i="8"/>
  <c r="AS10" i="8"/>
  <c r="AR43" i="8"/>
  <c r="CE61" i="8"/>
  <c r="CE41" i="8"/>
  <c r="AT36" i="8"/>
  <c r="AS38" i="8"/>
  <c r="AK25" i="7"/>
  <c r="AK29" i="7" s="1"/>
  <c r="AK31" i="7"/>
  <c r="AL39" i="7"/>
  <c r="AL46" i="7"/>
  <c r="BJ18" i="7"/>
  <c r="BJ51" i="7" s="1"/>
  <c r="CD51" i="7"/>
  <c r="CD31" i="7"/>
  <c r="AT20" i="7"/>
  <c r="AS11" i="7"/>
  <c r="BE71" i="7"/>
  <c r="AV35" i="7"/>
  <c r="AU37" i="7"/>
  <c r="AN18" i="7"/>
  <c r="BH21" i="7"/>
  <c r="AM25" i="7"/>
  <c r="BE91" i="7"/>
  <c r="AS10" i="7"/>
  <c r="AR42" i="7"/>
  <c r="AR13" i="7"/>
  <c r="AT28" i="7"/>
  <c r="BL24" i="7"/>
  <c r="BK13" i="7"/>
  <c r="BK11" i="7"/>
  <c r="BK66" i="7"/>
  <c r="BK9" i="7"/>
  <c r="AS9" i="7"/>
  <c r="CH19" i="7"/>
  <c r="BK37" i="7"/>
  <c r="BK16" i="7"/>
  <c r="BK12" i="7"/>
  <c r="BK14" i="7" s="1"/>
  <c r="BL8" i="7"/>
  <c r="BK17" i="7"/>
  <c r="BK86" i="7"/>
  <c r="BJ40" i="7"/>
  <c r="AQ16" i="7"/>
  <c r="AQ18" i="7" s="1"/>
  <c r="CG30" i="7"/>
  <c r="CG21" i="7"/>
  <c r="CG24" i="7" s="1"/>
  <c r="CG29" i="7"/>
  <c r="AL43" i="7"/>
  <c r="AL45" i="7"/>
  <c r="AL44" i="7"/>
  <c r="AL25" i="11"/>
  <c r="AL29" i="11" s="1"/>
  <c r="AL31" i="11"/>
  <c r="AT11" i="11"/>
  <c r="AU20" i="11"/>
  <c r="AN18" i="11"/>
  <c r="BH21" i="11"/>
  <c r="CD51" i="11"/>
  <c r="BP24" i="11"/>
  <c r="AZ35" i="11"/>
  <c r="AZ37" i="11" s="1"/>
  <c r="AY37" i="11"/>
  <c r="AT28" i="11"/>
  <c r="AS10" i="11"/>
  <c r="AR42" i="11"/>
  <c r="AR13" i="11"/>
  <c r="AM25" i="11"/>
  <c r="AQ16" i="11"/>
  <c r="AQ18" i="11" s="1"/>
  <c r="AK25" i="11"/>
  <c r="AK29" i="11" s="1"/>
  <c r="AK31" i="11"/>
  <c r="AO11" i="4"/>
  <c r="AO13" i="4" s="1"/>
  <c r="AO18" i="4" s="1"/>
  <c r="BG21" i="4" s="1"/>
  <c r="AM24" i="4"/>
  <c r="AP24" i="4"/>
  <c r="AQ24" i="4" s="1"/>
  <c r="AR24" i="4" s="1"/>
  <c r="AS24" i="4" s="1"/>
  <c r="AT24" i="4" s="1"/>
  <c r="AU24" i="4" s="1"/>
  <c r="AV24" i="4" s="1"/>
  <c r="AW24" i="4" s="1"/>
  <c r="AX24" i="4" s="1"/>
  <c r="AY24" i="4" s="1"/>
  <c r="AM23" i="4"/>
  <c r="AP23" i="4"/>
  <c r="AQ23" i="4" s="1"/>
  <c r="AR23" i="4" s="1"/>
  <c r="AS23" i="4" s="1"/>
  <c r="AT23" i="4" s="1"/>
  <c r="AU23" i="4" s="1"/>
  <c r="AV23" i="4" s="1"/>
  <c r="AW23" i="4" s="1"/>
  <c r="AX23" i="4" s="1"/>
  <c r="AY23" i="4" s="1"/>
  <c r="AM22" i="4"/>
  <c r="AP22" i="4"/>
  <c r="AQ22" i="4" s="1"/>
  <c r="AR22" i="4" s="1"/>
  <c r="AS22" i="4" s="1"/>
  <c r="AT22" i="4" s="1"/>
  <c r="AU22" i="4" s="1"/>
  <c r="AV22" i="4" s="1"/>
  <c r="AW22" i="4" s="1"/>
  <c r="AX22" i="4" s="1"/>
  <c r="AY22" i="4" s="1"/>
  <c r="AM21" i="4"/>
  <c r="AQ21" i="4"/>
  <c r="AR21" i="4" s="1"/>
  <c r="AS21" i="4" s="1"/>
  <c r="AT21" i="4" s="1"/>
  <c r="AU21" i="4" s="1"/>
  <c r="AV21" i="4" s="1"/>
  <c r="AW21" i="4" s="1"/>
  <c r="AX21" i="4" s="1"/>
  <c r="AY21" i="4" s="1"/>
  <c r="AQ28" i="4"/>
  <c r="AR28" i="4" s="1"/>
  <c r="AM26" i="4"/>
  <c r="BG11" i="4"/>
  <c r="BG88" i="4"/>
  <c r="BG68" i="4"/>
  <c r="AK42" i="4"/>
  <c r="AK18" i="4"/>
  <c r="AK25" i="4" s="1"/>
  <c r="BF18" i="4"/>
  <c r="BF51" i="4" s="1"/>
  <c r="BF54" i="4" s="1"/>
  <c r="AL42" i="4"/>
  <c r="AO9" i="4"/>
  <c r="BF68" i="4"/>
  <c r="BD70" i="4" s="1"/>
  <c r="BF88" i="4"/>
  <c r="BD90" i="4" s="1"/>
  <c r="BH8" i="4"/>
  <c r="AP15" i="4" l="1"/>
  <c r="AS28" i="4"/>
  <c r="AT28" i="4" s="1"/>
  <c r="AU28" i="4" s="1"/>
  <c r="AV28" i="4" s="1"/>
  <c r="AW28" i="4" s="1"/>
  <c r="AX28" i="4" s="1"/>
  <c r="AY28" i="4" s="1"/>
  <c r="AS28" i="8"/>
  <c r="AT28" i="8" s="1"/>
  <c r="AU28" i="8" s="1"/>
  <c r="AV28" i="8" s="1"/>
  <c r="AW28" i="8" s="1"/>
  <c r="AX28" i="8" s="1"/>
  <c r="AY28" i="8" s="1"/>
  <c r="AZ28" i="8" s="1"/>
  <c r="BA28" i="8" s="1"/>
  <c r="BL23" i="8"/>
  <c r="BM25" i="8"/>
  <c r="BK28" i="8"/>
  <c r="BK61" i="8" s="1"/>
  <c r="AT23" i="8"/>
  <c r="AT21" i="8"/>
  <c r="AT24" i="8"/>
  <c r="AT22" i="8"/>
  <c r="AR29" i="8"/>
  <c r="AR30" i="8" s="1"/>
  <c r="AT27" i="8"/>
  <c r="AM43" i="10"/>
  <c r="AM14" i="10"/>
  <c r="AP10" i="10"/>
  <c r="BK18" i="7"/>
  <c r="BJ51" i="11"/>
  <c r="BJ40" i="11"/>
  <c r="BK17" i="11"/>
  <c r="BK18" i="11"/>
  <c r="BK51" i="11" s="1"/>
  <c r="CH30" i="11"/>
  <c r="CH21" i="11"/>
  <c r="CH24" i="11" s="1"/>
  <c r="CH29" i="11"/>
  <c r="BL66" i="11"/>
  <c r="BE73" i="11" s="1"/>
  <c r="BL9" i="11"/>
  <c r="BL86" i="11"/>
  <c r="BE93" i="11" s="1"/>
  <c r="BM8" i="11"/>
  <c r="BL11" i="11"/>
  <c r="BL13" i="11"/>
  <c r="CI19" i="11"/>
  <c r="BL16" i="11"/>
  <c r="BL37" i="11"/>
  <c r="BL12" i="11"/>
  <c r="AT9" i="11"/>
  <c r="BM76" i="8"/>
  <c r="BF83" i="8" s="1"/>
  <c r="BM21" i="8"/>
  <c r="BM47" i="8"/>
  <c r="BM20" i="8"/>
  <c r="AU9" i="8"/>
  <c r="BM26" i="8"/>
  <c r="BM28" i="8" s="1"/>
  <c r="BM96" i="8"/>
  <c r="BF103" i="8" s="1"/>
  <c r="BM22" i="8"/>
  <c r="BM9" i="8"/>
  <c r="CJ29" i="8"/>
  <c r="BN8" i="8"/>
  <c r="CI40" i="8"/>
  <c r="CI39" i="8"/>
  <c r="CI31" i="8"/>
  <c r="CI34" i="8" s="1"/>
  <c r="BK41" i="10"/>
  <c r="CD34" i="10"/>
  <c r="CB34" i="10" s="1"/>
  <c r="CH31" i="10"/>
  <c r="CH22" i="10"/>
  <c r="CH25" i="10" s="1"/>
  <c r="CH30" i="10"/>
  <c r="AU21" i="10"/>
  <c r="CD23" i="10"/>
  <c r="CE51" i="10"/>
  <c r="CE50" i="10" s="1"/>
  <c r="CD50" i="10" s="1"/>
  <c r="AT29" i="10"/>
  <c r="AK40" i="10"/>
  <c r="AK47" i="10"/>
  <c r="BK19" i="10"/>
  <c r="BK52" i="10" s="1"/>
  <c r="AL40" i="10"/>
  <c r="AL47" i="10"/>
  <c r="BL67" i="10"/>
  <c r="BL9" i="10"/>
  <c r="BL13" i="10"/>
  <c r="BL38" i="10"/>
  <c r="BM8" i="10"/>
  <c r="BL17" i="10"/>
  <c r="BL18" i="10" s="1"/>
  <c r="BL19" i="10" s="1"/>
  <c r="CI20" i="10"/>
  <c r="BL12" i="10"/>
  <c r="AT9" i="10"/>
  <c r="AN60" i="10" s="1"/>
  <c r="AN70" i="10" s="1"/>
  <c r="AN79" i="10" s="1"/>
  <c r="BL14" i="10"/>
  <c r="BL87" i="10"/>
  <c r="AK44" i="10"/>
  <c r="AK46" i="10"/>
  <c r="AK45" i="10"/>
  <c r="BQ25" i="10"/>
  <c r="AG38" i="10"/>
  <c r="BE73" i="10"/>
  <c r="AL46" i="10"/>
  <c r="AL44" i="10"/>
  <c r="AL45" i="10"/>
  <c r="AT12" i="10"/>
  <c r="BE93" i="10"/>
  <c r="AM29" i="9"/>
  <c r="BE72" i="9"/>
  <c r="AR16" i="9"/>
  <c r="AR18" i="9"/>
  <c r="BK40" i="9"/>
  <c r="AU20" i="9"/>
  <c r="CH30" i="9"/>
  <c r="CH21" i="9"/>
  <c r="CH24" i="9" s="1"/>
  <c r="CH29" i="9"/>
  <c r="AK39" i="9"/>
  <c r="AK46" i="9"/>
  <c r="BL66" i="9"/>
  <c r="BL12" i="9"/>
  <c r="CI19" i="9"/>
  <c r="BL86" i="9"/>
  <c r="BL13" i="9"/>
  <c r="BL16" i="9"/>
  <c r="BL17" i="9" s="1"/>
  <c r="AT9" i="9"/>
  <c r="BL11" i="9"/>
  <c r="BL37" i="9"/>
  <c r="BL9" i="9"/>
  <c r="BM8" i="9"/>
  <c r="BK17" i="9"/>
  <c r="BK18" i="9" s="1"/>
  <c r="BK51" i="9" s="1"/>
  <c r="AK43" i="9"/>
  <c r="AK45" i="9"/>
  <c r="AK44" i="9"/>
  <c r="BE92" i="9"/>
  <c r="AQ25" i="9"/>
  <c r="AQ29" i="9" s="1"/>
  <c r="AQ31" i="9" s="1"/>
  <c r="BI21" i="9"/>
  <c r="AZ28" i="9"/>
  <c r="AT11" i="9"/>
  <c r="CE50" i="9"/>
  <c r="CE49" i="9" s="1"/>
  <c r="CD49" i="9" s="1"/>
  <c r="CD22" i="9"/>
  <c r="AT10" i="9"/>
  <c r="AS42" i="9"/>
  <c r="AS13" i="9"/>
  <c r="CD33" i="9"/>
  <c r="CB33" i="9" s="1"/>
  <c r="AU36" i="8"/>
  <c r="AT38" i="8"/>
  <c r="CE43" i="8"/>
  <c r="CC43" i="8" s="1"/>
  <c r="BK34" i="8"/>
  <c r="CE32" i="8"/>
  <c r="CF60" i="8"/>
  <c r="CF59" i="8" s="1"/>
  <c r="CE59" i="8" s="1"/>
  <c r="AT10" i="8"/>
  <c r="AS43" i="8"/>
  <c r="AQ25" i="7"/>
  <c r="AQ29" i="7" s="1"/>
  <c r="BI21" i="7"/>
  <c r="AU20" i="7"/>
  <c r="AP25" i="7"/>
  <c r="AM29" i="7"/>
  <c r="BL66" i="7"/>
  <c r="BL12" i="7"/>
  <c r="AT9" i="7"/>
  <c r="BL13" i="7"/>
  <c r="BL16" i="7"/>
  <c r="CI19" i="7"/>
  <c r="BL37" i="7"/>
  <c r="BL11" i="7"/>
  <c r="BM8" i="7"/>
  <c r="BL86" i="7"/>
  <c r="BL9" i="7"/>
  <c r="CD22" i="7"/>
  <c r="CE50" i="7"/>
  <c r="CE49" i="7" s="1"/>
  <c r="CD49" i="7" s="1"/>
  <c r="BK51" i="7"/>
  <c r="BK40" i="7"/>
  <c r="AT11" i="7"/>
  <c r="BE72" i="7"/>
  <c r="AU28" i="7"/>
  <c r="BM24" i="7"/>
  <c r="BE92" i="7"/>
  <c r="AT10" i="7"/>
  <c r="AS42" i="7"/>
  <c r="AS13" i="7"/>
  <c r="AK39" i="7"/>
  <c r="AK46" i="7"/>
  <c r="CD33" i="7"/>
  <c r="CB33" i="7" s="1"/>
  <c r="AW35" i="7"/>
  <c r="AV37" i="7"/>
  <c r="AR16" i="7"/>
  <c r="AR18" i="7"/>
  <c r="AK43" i="7"/>
  <c r="AK45" i="7"/>
  <c r="AK44" i="7"/>
  <c r="CH30" i="7"/>
  <c r="CH21" i="7"/>
  <c r="CH24" i="7" s="1"/>
  <c r="CH29" i="7"/>
  <c r="BI21" i="11"/>
  <c r="AQ25" i="11"/>
  <c r="AQ29" i="11" s="1"/>
  <c r="AU28" i="11"/>
  <c r="AP25" i="11"/>
  <c r="AM29" i="11"/>
  <c r="BQ24" i="11"/>
  <c r="AG37" i="11"/>
  <c r="AL45" i="11"/>
  <c r="AL43" i="11"/>
  <c r="AL44" i="11"/>
  <c r="CD22" i="11"/>
  <c r="CE50" i="11"/>
  <c r="CE49" i="11" s="1"/>
  <c r="CD49" i="11" s="1"/>
  <c r="AL39" i="11"/>
  <c r="AL46" i="11"/>
  <c r="AR16" i="11"/>
  <c r="AR18" i="11" s="1"/>
  <c r="AK39" i="11"/>
  <c r="AK46" i="11"/>
  <c r="AK43" i="11"/>
  <c r="AK45" i="11"/>
  <c r="AK44" i="11"/>
  <c r="AU11" i="11"/>
  <c r="CD31" i="11"/>
  <c r="AV20" i="11"/>
  <c r="AT10" i="11"/>
  <c r="AS42" i="11"/>
  <c r="AS13" i="11"/>
  <c r="BH12" i="4"/>
  <c r="CE19" i="4"/>
  <c r="AM20" i="4"/>
  <c r="AQ20" i="4"/>
  <c r="AR20" i="4" s="1"/>
  <c r="AS20" i="4" s="1"/>
  <c r="AT20" i="4" s="1"/>
  <c r="AU20" i="4" s="1"/>
  <c r="AV20" i="4" s="1"/>
  <c r="AW20" i="4" s="1"/>
  <c r="AP11" i="4"/>
  <c r="AQ11" i="4" s="1"/>
  <c r="AR11" i="4" s="1"/>
  <c r="AM11" i="4"/>
  <c r="AM13" i="4"/>
  <c r="BH37" i="4"/>
  <c r="BH13" i="4"/>
  <c r="BH11" i="4"/>
  <c r="AK29" i="4"/>
  <c r="AK44" i="4" s="1"/>
  <c r="AK31" i="4"/>
  <c r="BF77" i="4"/>
  <c r="BF80" i="4"/>
  <c r="BF71" i="4"/>
  <c r="BF75" i="4"/>
  <c r="BF76" i="4"/>
  <c r="BF78" i="4"/>
  <c r="BF79" i="4"/>
  <c r="BF70" i="4"/>
  <c r="BF72" i="4"/>
  <c r="BF73" i="4"/>
  <c r="BF74" i="4"/>
  <c r="BH68" i="4"/>
  <c r="BH88" i="4"/>
  <c r="CC38" i="4"/>
  <c r="CC42" i="4" s="1"/>
  <c r="BF99" i="4"/>
  <c r="BF100" i="4"/>
  <c r="BF91" i="4"/>
  <c r="BF95" i="4"/>
  <c r="BF96" i="4"/>
  <c r="BF97" i="4"/>
  <c r="BF98" i="4"/>
  <c r="BF92" i="4"/>
  <c r="BF93" i="4"/>
  <c r="BF94" i="4"/>
  <c r="BF90" i="4"/>
  <c r="AK39" i="4"/>
  <c r="AO42" i="4"/>
  <c r="AK45" i="4"/>
  <c r="AK43" i="4"/>
  <c r="AP13" i="4"/>
  <c r="AP16" i="4" s="1"/>
  <c r="AP9" i="4"/>
  <c r="AQ15" i="4" s="1"/>
  <c r="BH9" i="4"/>
  <c r="BI8" i="4"/>
  <c r="AX20" i="4" l="1"/>
  <c r="AY20" i="4" s="1"/>
  <c r="BN25" i="8"/>
  <c r="BM23" i="8"/>
  <c r="AU21" i="8"/>
  <c r="AU23" i="8"/>
  <c r="AU24" i="8"/>
  <c r="AU22" i="8"/>
  <c r="AV22" i="8" s="1"/>
  <c r="AS29" i="8"/>
  <c r="AS30" i="8" s="1"/>
  <c r="AR11" i="8"/>
  <c r="AR13" i="8" s="1"/>
  <c r="AU27" i="8"/>
  <c r="AP43" i="10"/>
  <c r="AP14" i="10"/>
  <c r="AN10" i="10"/>
  <c r="AN14" i="10" s="1"/>
  <c r="AM17" i="10"/>
  <c r="AP17" i="10" s="1"/>
  <c r="AN17" i="10" s="1"/>
  <c r="AM19" i="10"/>
  <c r="AM26" i="10" s="1"/>
  <c r="AS11" i="4"/>
  <c r="AT11" i="4" s="1"/>
  <c r="AU11" i="4" s="1"/>
  <c r="AV11" i="4" s="1"/>
  <c r="AW11" i="4" s="1"/>
  <c r="AX11" i="4" s="1"/>
  <c r="AR13" i="4"/>
  <c r="AR16" i="4" s="1"/>
  <c r="BL17" i="7"/>
  <c r="BL18" i="7" s="1"/>
  <c r="BL14" i="7"/>
  <c r="BL14" i="9"/>
  <c r="BL15" i="10"/>
  <c r="BN21" i="8"/>
  <c r="CK29" i="8"/>
  <c r="BN20" i="8"/>
  <c r="BN9" i="8"/>
  <c r="BN47" i="8"/>
  <c r="AV9" i="8"/>
  <c r="BN76" i="8"/>
  <c r="BF84" i="8" s="1"/>
  <c r="BN96" i="8"/>
  <c r="BF104" i="8" s="1"/>
  <c r="BN22" i="8"/>
  <c r="BO8" i="8"/>
  <c r="BN26" i="8"/>
  <c r="BN28" i="8" s="1"/>
  <c r="CJ40" i="8"/>
  <c r="CJ39" i="8"/>
  <c r="CJ31" i="8"/>
  <c r="CJ34" i="8" s="1"/>
  <c r="BM61" i="8"/>
  <c r="BM50" i="8"/>
  <c r="BL61" i="8"/>
  <c r="BL50" i="8"/>
  <c r="BL17" i="11"/>
  <c r="BL18" i="11"/>
  <c r="CI30" i="11"/>
  <c r="CI21" i="11"/>
  <c r="CI24" i="11" s="1"/>
  <c r="CI29" i="11"/>
  <c r="BL14" i="11"/>
  <c r="BL40" i="11" s="1"/>
  <c r="BM9" i="11"/>
  <c r="BN8" i="11"/>
  <c r="CJ19" i="11"/>
  <c r="BM16" i="11"/>
  <c r="BM66" i="11"/>
  <c r="BE74" i="11" s="1"/>
  <c r="BM37" i="11"/>
  <c r="BM12" i="11"/>
  <c r="AU9" i="11"/>
  <c r="BM13" i="11"/>
  <c r="BM11" i="11"/>
  <c r="BM86" i="11"/>
  <c r="BE94" i="11" s="1"/>
  <c r="AV21" i="10"/>
  <c r="BL52" i="10"/>
  <c r="BL41" i="10"/>
  <c r="BM9" i="10"/>
  <c r="BM13" i="10"/>
  <c r="CJ20" i="10"/>
  <c r="BM12" i="10"/>
  <c r="BM14" i="10"/>
  <c r="BM67" i="10"/>
  <c r="BM38" i="10"/>
  <c r="AU9" i="10"/>
  <c r="AO60" i="10" s="1"/>
  <c r="AO70" i="10" s="1"/>
  <c r="AO79" i="10" s="1"/>
  <c r="BM87" i="10"/>
  <c r="BN8" i="10"/>
  <c r="BM17" i="10"/>
  <c r="BM18" i="10" s="1"/>
  <c r="BM19" i="10" s="1"/>
  <c r="CB23" i="10"/>
  <c r="CD25" i="10"/>
  <c r="CB25" i="10" s="1"/>
  <c r="AU12" i="10"/>
  <c r="BE94" i="10"/>
  <c r="AU29" i="10"/>
  <c r="CI31" i="10"/>
  <c r="CI22" i="10"/>
  <c r="CI25" i="10" s="1"/>
  <c r="CI30" i="10"/>
  <c r="BE74" i="10"/>
  <c r="AP26" i="10"/>
  <c r="AM30" i="10"/>
  <c r="BL40" i="9"/>
  <c r="BE93" i="9"/>
  <c r="BL18" i="9"/>
  <c r="BL51" i="9" s="1"/>
  <c r="BE73" i="9"/>
  <c r="CI30" i="9"/>
  <c r="CI21" i="9"/>
  <c r="CI24" i="9" s="1"/>
  <c r="CI29" i="9"/>
  <c r="AU10" i="9"/>
  <c r="AT42" i="9"/>
  <c r="AT13" i="9"/>
  <c r="BM12" i="9"/>
  <c r="CJ19" i="9"/>
  <c r="BM16" i="9"/>
  <c r="BM86" i="9"/>
  <c r="AU9" i="9"/>
  <c r="BM13" i="9"/>
  <c r="BM17" i="9"/>
  <c r="BM11" i="9"/>
  <c r="BM37" i="9"/>
  <c r="BM9" i="9"/>
  <c r="BN8" i="9"/>
  <c r="BM66" i="9"/>
  <c r="AV20" i="9"/>
  <c r="AR25" i="9"/>
  <c r="AR29" i="9" s="1"/>
  <c r="BJ21" i="9"/>
  <c r="AS16" i="9"/>
  <c r="AS18" i="9"/>
  <c r="CB22" i="9"/>
  <c r="CD24" i="9"/>
  <c r="CB24" i="9" s="1"/>
  <c r="AM43" i="9"/>
  <c r="AM45" i="9"/>
  <c r="AM44" i="9"/>
  <c r="AM31" i="9"/>
  <c r="AQ39" i="9"/>
  <c r="AQ46" i="9"/>
  <c r="AU11" i="9"/>
  <c r="AN25" i="9"/>
  <c r="AP29" i="9"/>
  <c r="AQ45" i="9"/>
  <c r="AQ43" i="9"/>
  <c r="BI22" i="9"/>
  <c r="BI23" i="9" s="1"/>
  <c r="AQ44" i="9"/>
  <c r="AU10" i="8"/>
  <c r="AT43" i="8"/>
  <c r="BL34" i="8"/>
  <c r="CC32" i="8"/>
  <c r="CE34" i="8"/>
  <c r="CC34" i="8" s="1"/>
  <c r="AV36" i="8"/>
  <c r="AU38" i="8"/>
  <c r="BL51" i="7"/>
  <c r="BL40" i="7"/>
  <c r="CI30" i="7"/>
  <c r="CI21" i="7"/>
  <c r="CI24" i="7" s="1"/>
  <c r="CI29" i="7"/>
  <c r="BE73" i="7"/>
  <c r="AU10" i="7"/>
  <c r="AT42" i="7"/>
  <c r="AT13" i="7"/>
  <c r="AS16" i="7"/>
  <c r="AS18" i="7" s="1"/>
  <c r="AU11" i="7"/>
  <c r="AR25" i="7"/>
  <c r="AR29" i="7" s="1"/>
  <c r="BJ21" i="7"/>
  <c r="CB22" i="7"/>
  <c r="CD24" i="7"/>
  <c r="CB24" i="7" s="1"/>
  <c r="AV20" i="7"/>
  <c r="BE93" i="7"/>
  <c r="BI22" i="7"/>
  <c r="BI23" i="7" s="1"/>
  <c r="AQ45" i="7"/>
  <c r="AQ43" i="7"/>
  <c r="AQ44" i="7"/>
  <c r="AM45" i="7"/>
  <c r="AM43" i="7"/>
  <c r="AM44" i="7"/>
  <c r="AM31" i="7"/>
  <c r="AX35" i="7"/>
  <c r="AW37" i="7"/>
  <c r="AV28" i="7"/>
  <c r="BM9" i="7"/>
  <c r="BM12" i="7"/>
  <c r="CJ19" i="7"/>
  <c r="AU9" i="7"/>
  <c r="BM11" i="7"/>
  <c r="BM37" i="7"/>
  <c r="BM16" i="7"/>
  <c r="BM17" i="7"/>
  <c r="BM13" i="7"/>
  <c r="BN8" i="7"/>
  <c r="BM86" i="7"/>
  <c r="BM66" i="7"/>
  <c r="AQ31" i="7"/>
  <c r="BN24" i="7"/>
  <c r="AN25" i="7"/>
  <c r="AP29" i="7"/>
  <c r="BJ21" i="11"/>
  <c r="AR25" i="11"/>
  <c r="AR29" i="11" s="1"/>
  <c r="AR31" i="11" s="1"/>
  <c r="AW20" i="11"/>
  <c r="AN25" i="11"/>
  <c r="AP29" i="11"/>
  <c r="AV28" i="11"/>
  <c r="AQ43" i="11"/>
  <c r="BI22" i="11"/>
  <c r="BI23" i="11" s="1"/>
  <c r="AQ45" i="11"/>
  <c r="AQ44" i="11"/>
  <c r="AV11" i="11"/>
  <c r="AQ31" i="11"/>
  <c r="CD33" i="11"/>
  <c r="CB33" i="11" s="1"/>
  <c r="AM45" i="11"/>
  <c r="AM43" i="11"/>
  <c r="AM44" i="11"/>
  <c r="AM31" i="11"/>
  <c r="CB22" i="11"/>
  <c r="CD24" i="11"/>
  <c r="CB24" i="11" s="1"/>
  <c r="AU10" i="11"/>
  <c r="AT42" i="11"/>
  <c r="AT13" i="11"/>
  <c r="AS16" i="11"/>
  <c r="AS18" i="11" s="1"/>
  <c r="BI16" i="4"/>
  <c r="CF19" i="4"/>
  <c r="CE30" i="4"/>
  <c r="CE29" i="4"/>
  <c r="CE21" i="4"/>
  <c r="CE24" i="4" s="1"/>
  <c r="CC51" i="4"/>
  <c r="BI37" i="4"/>
  <c r="AO25" i="4"/>
  <c r="AO29" i="4" s="1"/>
  <c r="BI13" i="4"/>
  <c r="BI12" i="4"/>
  <c r="BI11" i="4"/>
  <c r="BI68" i="4"/>
  <c r="BI88" i="4"/>
  <c r="AK46" i="4"/>
  <c r="AP18" i="4"/>
  <c r="AP25" i="4" s="1"/>
  <c r="AP29" i="4" s="1"/>
  <c r="AJ29" i="4"/>
  <c r="BH14" i="4"/>
  <c r="BH40" i="4" s="1"/>
  <c r="AQ9" i="4"/>
  <c r="AR15" i="4" s="1"/>
  <c r="BJ8" i="4"/>
  <c r="CG19" i="4" s="1"/>
  <c r="BI9" i="4"/>
  <c r="BG22" i="4" l="1"/>
  <c r="BG23" i="4" s="1"/>
  <c r="AO31" i="4"/>
  <c r="BO25" i="8"/>
  <c r="BN23" i="8"/>
  <c r="AV23" i="8"/>
  <c r="AV21" i="8"/>
  <c r="AV24" i="8"/>
  <c r="AR15" i="8"/>
  <c r="AR17" i="8"/>
  <c r="AT29" i="8"/>
  <c r="AT30" i="8" s="1"/>
  <c r="AS11" i="8"/>
  <c r="AS13" i="8" s="1"/>
  <c r="AV27" i="8"/>
  <c r="AP19" i="10"/>
  <c r="AR10" i="10"/>
  <c r="AQ43" i="10"/>
  <c r="AQ14" i="10"/>
  <c r="AQ17" i="10" s="1"/>
  <c r="AQ19" i="10" s="1"/>
  <c r="AY11" i="4"/>
  <c r="AF11" i="4"/>
  <c r="BM18" i="7"/>
  <c r="BM14" i="7"/>
  <c r="BM18" i="9"/>
  <c r="BM14" i="9"/>
  <c r="BM15" i="10"/>
  <c r="BM14" i="11"/>
  <c r="BM40" i="11" s="1"/>
  <c r="BM17" i="11"/>
  <c r="BM18" i="11"/>
  <c r="BM51" i="11" s="1"/>
  <c r="CJ21" i="11"/>
  <c r="CJ24" i="11" s="1"/>
  <c r="CJ30" i="11"/>
  <c r="CJ29" i="11"/>
  <c r="CK19" i="11"/>
  <c r="BN9" i="11"/>
  <c r="BN12" i="11"/>
  <c r="BN13" i="11"/>
  <c r="BN16" i="11"/>
  <c r="BN17" i="11" s="1"/>
  <c r="BN18" i="11" s="1"/>
  <c r="BN66" i="11"/>
  <c r="BE75" i="11" s="1"/>
  <c r="BN37" i="11"/>
  <c r="AV9" i="11"/>
  <c r="BN11" i="11"/>
  <c r="BN14" i="11" s="1"/>
  <c r="BN40" i="11" s="1"/>
  <c r="BN86" i="11"/>
  <c r="BE95" i="11" s="1"/>
  <c r="BO8" i="11"/>
  <c r="BL51" i="11"/>
  <c r="CL29" i="8"/>
  <c r="BO47" i="8"/>
  <c r="BO20" i="8"/>
  <c r="AW9" i="8"/>
  <c r="BO76" i="8"/>
  <c r="BF85" i="8" s="1"/>
  <c r="BO96" i="8"/>
  <c r="BF105" i="8" s="1"/>
  <c r="BO26" i="8"/>
  <c r="BO28" i="8" s="1"/>
  <c r="BO9" i="8"/>
  <c r="BO21" i="8"/>
  <c r="BO22" i="8"/>
  <c r="BP8" i="8"/>
  <c r="CK31" i="8"/>
  <c r="CK40" i="8"/>
  <c r="CK39" i="8"/>
  <c r="CK34" i="8"/>
  <c r="BM52" i="10"/>
  <c r="BM41" i="10"/>
  <c r="AV12" i="10"/>
  <c r="AW21" i="10"/>
  <c r="BE75" i="10"/>
  <c r="CJ22" i="10"/>
  <c r="CJ25" i="10" s="1"/>
  <c r="CJ30" i="10"/>
  <c r="CJ31" i="10"/>
  <c r="AM46" i="10"/>
  <c r="AM44" i="10"/>
  <c r="AM45" i="10"/>
  <c r="AM32" i="10"/>
  <c r="BN13" i="10"/>
  <c r="BN9" i="10"/>
  <c r="CK20" i="10"/>
  <c r="BN12" i="10"/>
  <c r="BN67" i="10"/>
  <c r="BO8" i="10"/>
  <c r="AV9" i="10"/>
  <c r="AP60" i="10" s="1"/>
  <c r="AP70" i="10" s="1"/>
  <c r="AP79" i="10" s="1"/>
  <c r="BN17" i="10"/>
  <c r="BN87" i="10"/>
  <c r="BN14" i="10"/>
  <c r="BN38" i="10"/>
  <c r="CB26" i="10"/>
  <c r="CB24" i="10"/>
  <c r="AN26" i="10"/>
  <c r="AP30" i="10"/>
  <c r="AV29" i="10"/>
  <c r="BE95" i="10"/>
  <c r="BM51" i="9"/>
  <c r="BM40" i="9"/>
  <c r="BI62" i="9"/>
  <c r="BI32" i="9"/>
  <c r="BI25" i="9"/>
  <c r="BI61" i="9"/>
  <c r="BE94" i="9"/>
  <c r="AV10" i="9"/>
  <c r="AU13" i="9"/>
  <c r="AU42" i="9"/>
  <c r="AW20" i="9"/>
  <c r="AS25" i="9"/>
  <c r="AS29" i="9" s="1"/>
  <c r="AS31" i="9" s="1"/>
  <c r="BK21" i="9"/>
  <c r="AR45" i="9"/>
  <c r="BJ22" i="9"/>
  <c r="BJ23" i="9" s="1"/>
  <c r="AR43" i="9"/>
  <c r="AR44" i="9"/>
  <c r="BE74" i="9"/>
  <c r="AN29" i="9"/>
  <c r="AN31" i="9" s="1"/>
  <c r="AN39" i="9" s="1"/>
  <c r="AP43" i="9"/>
  <c r="AP45" i="9"/>
  <c r="BH22" i="9"/>
  <c r="BH23" i="9" s="1"/>
  <c r="AP44" i="9"/>
  <c r="AP31" i="9"/>
  <c r="BN9" i="9"/>
  <c r="CK19" i="9"/>
  <c r="BN37" i="9"/>
  <c r="BN12" i="9"/>
  <c r="BN16" i="9"/>
  <c r="AV9" i="9"/>
  <c r="BN86" i="9"/>
  <c r="BN66" i="9"/>
  <c r="BN11" i="9"/>
  <c r="BN17" i="9"/>
  <c r="BN13" i="9"/>
  <c r="BO8" i="9"/>
  <c r="AT16" i="9"/>
  <c r="AT18" i="9"/>
  <c r="AV11" i="9"/>
  <c r="AM39" i="9"/>
  <c r="AM46" i="9"/>
  <c r="CB25" i="9"/>
  <c r="CB23" i="9"/>
  <c r="CJ21" i="9"/>
  <c r="CJ24" i="9" s="1"/>
  <c r="CJ30" i="9"/>
  <c r="CJ29" i="9"/>
  <c r="AR31" i="9"/>
  <c r="AW36" i="8"/>
  <c r="AV38" i="8"/>
  <c r="CC33" i="8"/>
  <c r="CC35" i="8"/>
  <c r="AV10" i="8"/>
  <c r="AU43" i="8"/>
  <c r="BM34" i="8"/>
  <c r="BI62" i="7"/>
  <c r="BI25" i="7"/>
  <c r="BI32" i="7"/>
  <c r="BI61" i="7"/>
  <c r="AS25" i="7"/>
  <c r="AS29" i="7" s="1"/>
  <c r="BK21" i="7"/>
  <c r="BM51" i="7"/>
  <c r="BM40" i="7"/>
  <c r="AW20" i="7"/>
  <c r="AM39" i="7"/>
  <c r="AM46" i="7"/>
  <c r="BE74" i="7"/>
  <c r="AV11" i="7"/>
  <c r="AV10" i="7"/>
  <c r="AU13" i="7"/>
  <c r="AU42" i="7"/>
  <c r="AT16" i="7"/>
  <c r="AT18" i="7"/>
  <c r="CB25" i="7"/>
  <c r="CB23" i="7"/>
  <c r="BE94" i="7"/>
  <c r="CJ21" i="7"/>
  <c r="CJ24" i="7" s="1"/>
  <c r="CJ29" i="7"/>
  <c r="CJ30" i="7"/>
  <c r="AW28" i="7"/>
  <c r="BO24" i="7"/>
  <c r="AY35" i="7"/>
  <c r="AX37" i="7"/>
  <c r="AR45" i="7"/>
  <c r="BJ22" i="7"/>
  <c r="BJ23" i="7" s="1"/>
  <c r="AR43" i="7"/>
  <c r="AR44" i="7"/>
  <c r="AN29" i="7"/>
  <c r="AN31" i="7" s="1"/>
  <c r="AN39" i="7" s="1"/>
  <c r="AP45" i="7"/>
  <c r="AP43" i="7"/>
  <c r="BH22" i="7"/>
  <c r="BH23" i="7" s="1"/>
  <c r="AP44" i="7"/>
  <c r="AP31" i="7"/>
  <c r="AQ39" i="7"/>
  <c r="AQ46" i="7"/>
  <c r="BN9" i="7"/>
  <c r="CK19" i="7"/>
  <c r="AV9" i="7"/>
  <c r="BN37" i="7"/>
  <c r="BN16" i="7"/>
  <c r="BN12" i="7"/>
  <c r="BN11" i="7"/>
  <c r="BN17" i="7"/>
  <c r="BN13" i="7"/>
  <c r="BN86" i="7"/>
  <c r="BO8" i="7"/>
  <c r="BN66" i="7"/>
  <c r="AR31" i="7"/>
  <c r="AS25" i="11"/>
  <c r="AS29" i="11" s="1"/>
  <c r="BK21" i="11"/>
  <c r="BI62" i="11"/>
  <c r="BI25" i="11"/>
  <c r="BI61" i="11"/>
  <c r="BI32" i="11"/>
  <c r="AM39" i="11"/>
  <c r="AM46" i="11"/>
  <c r="AW28" i="11"/>
  <c r="AX20" i="11"/>
  <c r="AV10" i="11"/>
  <c r="AU42" i="11"/>
  <c r="AU13" i="11"/>
  <c r="AR43" i="11"/>
  <c r="BJ22" i="11"/>
  <c r="AR45" i="11"/>
  <c r="AR44" i="11"/>
  <c r="AN29" i="11"/>
  <c r="AN31" i="11" s="1"/>
  <c r="AN39" i="11" s="1"/>
  <c r="AP43" i="11"/>
  <c r="BH22" i="11"/>
  <c r="BH23" i="11" s="1"/>
  <c r="AP45" i="11"/>
  <c r="AP44" i="11"/>
  <c r="AP31" i="11"/>
  <c r="CB23" i="11"/>
  <c r="CB25" i="11"/>
  <c r="AQ39" i="11"/>
  <c r="AQ46" i="11"/>
  <c r="BJ23" i="11"/>
  <c r="AW11" i="11"/>
  <c r="AT16" i="11"/>
  <c r="AT18" i="11"/>
  <c r="AR39" i="11"/>
  <c r="AR46" i="11"/>
  <c r="CG30" i="4"/>
  <c r="CG29" i="4"/>
  <c r="CG21" i="4"/>
  <c r="CG24" i="4" s="1"/>
  <c r="CF30" i="4"/>
  <c r="CF29" i="4"/>
  <c r="CF21" i="4"/>
  <c r="CF24" i="4" s="1"/>
  <c r="CC22" i="4"/>
  <c r="CD50" i="4"/>
  <c r="CD49" i="4" s="1"/>
  <c r="CC49" i="4" s="1"/>
  <c r="CC31" i="4"/>
  <c r="CC33" i="4" s="1"/>
  <c r="CA33" i="4" s="1"/>
  <c r="BJ13" i="4"/>
  <c r="AQ42" i="4"/>
  <c r="BJ37" i="4"/>
  <c r="AM18" i="4"/>
  <c r="BJ11" i="4"/>
  <c r="BJ12" i="4"/>
  <c r="AQ13" i="4"/>
  <c r="AQ16" i="4" s="1"/>
  <c r="BJ68" i="4"/>
  <c r="BD74" i="4" s="1"/>
  <c r="BJ88" i="4"/>
  <c r="BK8" i="4"/>
  <c r="CH19" i="4" s="1"/>
  <c r="AJ43" i="4"/>
  <c r="AJ39" i="4"/>
  <c r="AJ45" i="4"/>
  <c r="AJ44" i="4"/>
  <c r="AS9" i="4"/>
  <c r="BI14" i="4"/>
  <c r="AR9" i="4"/>
  <c r="AS15" i="4" s="1"/>
  <c r="BJ9" i="4"/>
  <c r="BG25" i="4" l="1"/>
  <c r="BG28" i="4" s="1"/>
  <c r="BG63" i="4"/>
  <c r="BG64" i="4"/>
  <c r="AT15" i="4"/>
  <c r="BP25" i="8"/>
  <c r="BO23" i="8"/>
  <c r="AW21" i="8"/>
  <c r="AW23" i="8"/>
  <c r="AW24" i="8"/>
  <c r="AW22" i="8"/>
  <c r="AS15" i="8"/>
  <c r="AS17" i="8"/>
  <c r="AU29" i="8"/>
  <c r="AU30" i="8" s="1"/>
  <c r="AT11" i="8"/>
  <c r="AT13" i="8" s="1"/>
  <c r="AR26" i="8"/>
  <c r="BJ31" i="8"/>
  <c r="AW27" i="8"/>
  <c r="BI22" i="10"/>
  <c r="AQ26" i="10"/>
  <c r="AQ30" i="10" s="1"/>
  <c r="AS10" i="10"/>
  <c r="AR14" i="10"/>
  <c r="AR17" i="10" s="1"/>
  <c r="AR19" i="10" s="1"/>
  <c r="AR43" i="10"/>
  <c r="AN19" i="10"/>
  <c r="BH22" i="10"/>
  <c r="BN14" i="7"/>
  <c r="BN18" i="7"/>
  <c r="BN14" i="9"/>
  <c r="BN18" i="9"/>
  <c r="BN18" i="10"/>
  <c r="BN19" i="10" s="1"/>
  <c r="BN15" i="10"/>
  <c r="BN50" i="8"/>
  <c r="BN61" i="8"/>
  <c r="BP47" i="8"/>
  <c r="AX9" i="8"/>
  <c r="BP76" i="8"/>
  <c r="BF86" i="8" s="1"/>
  <c r="BP96" i="8"/>
  <c r="BF106" i="8" s="1"/>
  <c r="BP26" i="8"/>
  <c r="BP28" i="8" s="1"/>
  <c r="BP9" i="8"/>
  <c r="BQ8" i="8"/>
  <c r="BP21" i="8"/>
  <c r="CM29" i="8"/>
  <c r="BP22" i="8"/>
  <c r="BP20" i="8"/>
  <c r="BP23" i="8" s="1"/>
  <c r="CL40" i="8"/>
  <c r="CL39" i="8"/>
  <c r="CL31" i="8"/>
  <c r="CL34" i="8" s="1"/>
  <c r="BO12" i="11"/>
  <c r="BO9" i="11"/>
  <c r="CL19" i="11"/>
  <c r="BO16" i="11"/>
  <c r="BO66" i="11"/>
  <c r="BE76" i="11" s="1"/>
  <c r="BO37" i="11"/>
  <c r="AW9" i="11"/>
  <c r="BO11" i="11"/>
  <c r="BO13" i="11"/>
  <c r="BP8" i="11"/>
  <c r="BO86" i="11"/>
  <c r="BE96" i="11" s="1"/>
  <c r="BN51" i="11"/>
  <c r="CK21" i="11"/>
  <c r="CK24" i="11" s="1"/>
  <c r="CK30" i="11"/>
  <c r="CK29" i="11"/>
  <c r="BN52" i="10"/>
  <c r="BN41" i="10"/>
  <c r="BE96" i="10"/>
  <c r="BE76" i="10"/>
  <c r="AN30" i="10"/>
  <c r="AN32" i="10" s="1"/>
  <c r="AN40" i="10" s="1"/>
  <c r="AP46" i="10"/>
  <c r="AP44" i="10"/>
  <c r="BH23" i="10"/>
  <c r="BH24" i="10" s="1"/>
  <c r="AP45" i="10"/>
  <c r="AP32" i="10"/>
  <c r="AM40" i="10"/>
  <c r="AM47" i="10"/>
  <c r="CL20" i="10"/>
  <c r="BO9" i="10"/>
  <c r="BO13" i="10"/>
  <c r="BO38" i="10"/>
  <c r="BO17" i="10"/>
  <c r="BO67" i="10"/>
  <c r="BO18" i="10"/>
  <c r="BP8" i="10"/>
  <c r="AW9" i="10"/>
  <c r="AQ60" i="10" s="1"/>
  <c r="AQ70" i="10" s="1"/>
  <c r="AQ79" i="10" s="1"/>
  <c r="BO87" i="10"/>
  <c r="BO14" i="10"/>
  <c r="BO12" i="10"/>
  <c r="CK30" i="10"/>
  <c r="CK22" i="10"/>
  <c r="CK25" i="10" s="1"/>
  <c r="CK31" i="10"/>
  <c r="AW29" i="10"/>
  <c r="AX21" i="10"/>
  <c r="AW12" i="10"/>
  <c r="BJ62" i="9"/>
  <c r="AB7" i="9"/>
  <c r="BJ32" i="9"/>
  <c r="BJ25" i="9"/>
  <c r="BJ61" i="9"/>
  <c r="BN51" i="9"/>
  <c r="BN40" i="9"/>
  <c r="AS39" i="9"/>
  <c r="AS46" i="9"/>
  <c r="BO9" i="9"/>
  <c r="BO37" i="9"/>
  <c r="BO16" i="9"/>
  <c r="BO12" i="9"/>
  <c r="AW9" i="9"/>
  <c r="BO86" i="9"/>
  <c r="BO11" i="9"/>
  <c r="BO17" i="9"/>
  <c r="BO13" i="9"/>
  <c r="BO66" i="9"/>
  <c r="BP8" i="9"/>
  <c r="CL19" i="9"/>
  <c r="BE75" i="9"/>
  <c r="AW10" i="9"/>
  <c r="AV13" i="9"/>
  <c r="AV42" i="9"/>
  <c r="BL21" i="9"/>
  <c r="AT25" i="9"/>
  <c r="AT29" i="9" s="1"/>
  <c r="BE95" i="9"/>
  <c r="BI45" i="9"/>
  <c r="BI28" i="9"/>
  <c r="BI41" i="9"/>
  <c r="AU16" i="9"/>
  <c r="AU18" i="9"/>
  <c r="AR39" i="9"/>
  <c r="AR46" i="9"/>
  <c r="BI35" i="9"/>
  <c r="BI33" i="9"/>
  <c r="AQ47" i="9"/>
  <c r="BI34" i="9"/>
  <c r="AP39" i="9"/>
  <c r="AP46" i="9"/>
  <c r="CK30" i="9"/>
  <c r="CK21" i="9"/>
  <c r="CK24" i="9" s="1"/>
  <c r="CK29" i="9"/>
  <c r="BK22" i="9"/>
  <c r="BK23" i="9" s="1"/>
  <c r="AS45" i="9"/>
  <c r="AS43" i="9"/>
  <c r="AS44" i="9"/>
  <c r="BI74" i="9"/>
  <c r="AW11" i="9"/>
  <c r="AX20" i="9"/>
  <c r="BH62" i="9"/>
  <c r="BH25" i="9"/>
  <c r="BH32" i="9"/>
  <c r="AB6" i="9"/>
  <c r="AB4" i="9" s="1"/>
  <c r="BH61" i="9"/>
  <c r="BN34" i="8"/>
  <c r="AX36" i="8"/>
  <c r="AW38" i="8"/>
  <c r="AV43" i="8"/>
  <c r="AW10" i="8"/>
  <c r="BN51" i="7"/>
  <c r="BN40" i="7"/>
  <c r="BJ62" i="7"/>
  <c r="BJ25" i="7"/>
  <c r="AB7" i="7"/>
  <c r="BJ32" i="7"/>
  <c r="BJ61" i="7"/>
  <c r="BP24" i="7"/>
  <c r="AZ35" i="7"/>
  <c r="AZ37" i="7" s="1"/>
  <c r="AY37" i="7"/>
  <c r="AR39" i="7"/>
  <c r="AR46" i="7"/>
  <c r="AS43" i="7"/>
  <c r="BK22" i="7"/>
  <c r="AS45" i="7"/>
  <c r="AS44" i="7"/>
  <c r="BE75" i="7"/>
  <c r="AX20" i="7"/>
  <c r="CK21" i="7"/>
  <c r="CK24" i="7" s="1"/>
  <c r="CK30" i="7"/>
  <c r="CK29" i="7"/>
  <c r="AU16" i="7"/>
  <c r="AU18" i="7" s="1"/>
  <c r="AS31" i="7"/>
  <c r="AW10" i="7"/>
  <c r="AV13" i="7"/>
  <c r="AV42" i="7"/>
  <c r="AW11" i="7"/>
  <c r="BH62" i="7"/>
  <c r="BH25" i="7"/>
  <c r="AB6" i="7"/>
  <c r="AB4" i="7" s="1"/>
  <c r="BH32" i="7"/>
  <c r="BH61" i="7"/>
  <c r="BO9" i="7"/>
  <c r="BO12" i="7"/>
  <c r="BO37" i="7"/>
  <c r="CL19" i="7"/>
  <c r="BO16" i="7"/>
  <c r="BO17" i="7"/>
  <c r="BO86" i="7"/>
  <c r="BO11" i="7"/>
  <c r="BO13" i="7"/>
  <c r="BO66" i="7"/>
  <c r="AW9" i="7"/>
  <c r="BP8" i="7"/>
  <c r="BE95" i="7"/>
  <c r="BL21" i="7"/>
  <c r="AT25" i="7"/>
  <c r="AT29" i="7" s="1"/>
  <c r="AX28" i="7"/>
  <c r="BK23" i="7"/>
  <c r="AP39" i="7"/>
  <c r="AP46" i="7"/>
  <c r="BI45" i="7"/>
  <c r="BI28" i="7"/>
  <c r="BI41" i="7"/>
  <c r="BI35" i="7"/>
  <c r="BI33" i="7"/>
  <c r="BI34" i="7" s="1"/>
  <c r="AQ47" i="7"/>
  <c r="AX11" i="11"/>
  <c r="AU16" i="11"/>
  <c r="AU18" i="11"/>
  <c r="AP39" i="11"/>
  <c r="AP46" i="11"/>
  <c r="BH25" i="11"/>
  <c r="BH62" i="11"/>
  <c r="BH32" i="11"/>
  <c r="AB6" i="11"/>
  <c r="AB4" i="11" s="1"/>
  <c r="BH61" i="11"/>
  <c r="AW10" i="11"/>
  <c r="AV42" i="11"/>
  <c r="AV13" i="11"/>
  <c r="BI33" i="11"/>
  <c r="BI34" i="11" s="1"/>
  <c r="BI35" i="11"/>
  <c r="AQ47" i="11"/>
  <c r="BI45" i="11"/>
  <c r="BI28" i="11"/>
  <c r="BI41" i="11"/>
  <c r="AS45" i="11"/>
  <c r="AS43" i="11"/>
  <c r="BK22" i="11"/>
  <c r="BK23" i="11" s="1"/>
  <c r="AS44" i="11"/>
  <c r="BJ62" i="11"/>
  <c r="BJ25" i="11"/>
  <c r="BJ61" i="11"/>
  <c r="AB7" i="11"/>
  <c r="BJ32" i="11"/>
  <c r="AY20" i="11"/>
  <c r="AS31" i="11"/>
  <c r="BL21" i="11"/>
  <c r="AT25" i="11"/>
  <c r="AT29" i="11" s="1"/>
  <c r="AX28" i="11"/>
  <c r="CH30" i="4"/>
  <c r="CH29" i="4"/>
  <c r="CH21" i="4"/>
  <c r="CH24" i="4" s="1"/>
  <c r="CC24" i="4"/>
  <c r="CA24" i="4" s="1"/>
  <c r="CA22" i="4"/>
  <c r="BK37" i="4"/>
  <c r="BK9" i="4"/>
  <c r="BK13" i="4"/>
  <c r="BK12" i="4"/>
  <c r="BK11" i="4"/>
  <c r="BI40" i="4"/>
  <c r="BL8" i="4"/>
  <c r="BK14" i="4"/>
  <c r="AR42" i="4"/>
  <c r="BK88" i="4"/>
  <c r="BK68" i="4"/>
  <c r="AS42" i="4"/>
  <c r="AL29" i="4"/>
  <c r="AL31" i="4" s="1"/>
  <c r="BJ14" i="4"/>
  <c r="BG45" i="4" l="1"/>
  <c r="BG46" i="4" s="1"/>
  <c r="BQ25" i="8"/>
  <c r="AX23" i="8"/>
  <c r="AX21" i="8"/>
  <c r="AX24" i="8"/>
  <c r="AX22" i="8"/>
  <c r="AR32" i="8"/>
  <c r="AR44" i="8"/>
  <c r="AR46" i="8"/>
  <c r="BJ32" i="8"/>
  <c r="BJ33" i="8" s="1"/>
  <c r="AR45" i="8"/>
  <c r="AT15" i="8"/>
  <c r="AT17" i="8"/>
  <c r="AV29" i="8"/>
  <c r="AV30" i="8" s="1"/>
  <c r="AU11" i="8"/>
  <c r="AU13" i="8" s="1"/>
  <c r="AS26" i="8"/>
  <c r="BK31" i="8"/>
  <c r="AS32" i="8"/>
  <c r="AX27" i="8"/>
  <c r="AR26" i="10"/>
  <c r="AR30" i="10" s="1"/>
  <c r="BJ22" i="10"/>
  <c r="AT10" i="10"/>
  <c r="AS14" i="10"/>
  <c r="AS43" i="10"/>
  <c r="AQ44" i="10"/>
  <c r="AQ46" i="10"/>
  <c r="BI23" i="10"/>
  <c r="BI24" i="10" s="1"/>
  <c r="AQ45" i="10"/>
  <c r="AQ32" i="10"/>
  <c r="BO18" i="7"/>
  <c r="BO14" i="7"/>
  <c r="BI94" i="9"/>
  <c r="BI70" i="9"/>
  <c r="BI71" i="9"/>
  <c r="BI72" i="9"/>
  <c r="BO14" i="9"/>
  <c r="BO18" i="9"/>
  <c r="BO19" i="10"/>
  <c r="BO15" i="10"/>
  <c r="BP37" i="11"/>
  <c r="CM19" i="11"/>
  <c r="BP9" i="11"/>
  <c r="BP12" i="11"/>
  <c r="BP86" i="11"/>
  <c r="BE97" i="11" s="1"/>
  <c r="BP16" i="11"/>
  <c r="AX9" i="11"/>
  <c r="BP13" i="11"/>
  <c r="BP66" i="11"/>
  <c r="BE77" i="11" s="1"/>
  <c r="BP11" i="11"/>
  <c r="BP14" i="11" s="1"/>
  <c r="BP17" i="11"/>
  <c r="BQ8" i="11"/>
  <c r="BO14" i="11"/>
  <c r="BO40" i="11" s="1"/>
  <c r="BO17" i="11"/>
  <c r="BO18" i="11"/>
  <c r="BO51" i="11" s="1"/>
  <c r="CL30" i="11"/>
  <c r="CL29" i="11"/>
  <c r="CL21" i="11"/>
  <c r="CL24" i="11" s="1"/>
  <c r="BO61" i="8"/>
  <c r="BO50" i="8"/>
  <c r="BP50" i="8"/>
  <c r="CM39" i="8"/>
  <c r="CM40" i="8"/>
  <c r="CM31" i="8"/>
  <c r="CM34" i="8" s="1"/>
  <c r="BQ9" i="8"/>
  <c r="BQ47" i="8"/>
  <c r="AY9" i="8"/>
  <c r="BQ76" i="8"/>
  <c r="BF87" i="8" s="1"/>
  <c r="BQ96" i="8"/>
  <c r="BF107" i="8" s="1"/>
  <c r="BQ26" i="8"/>
  <c r="BQ28" i="8" s="1"/>
  <c r="CN29" i="8"/>
  <c r="BQ20" i="8"/>
  <c r="BQ22" i="8"/>
  <c r="BQ21" i="8"/>
  <c r="BR8" i="8"/>
  <c r="BP61" i="8"/>
  <c r="BO52" i="10"/>
  <c r="BO41" i="10"/>
  <c r="CL30" i="10"/>
  <c r="CL22" i="10"/>
  <c r="CL25" i="10" s="1"/>
  <c r="CL31" i="10"/>
  <c r="AX29" i="10"/>
  <c r="AP40" i="10"/>
  <c r="AP47" i="10"/>
  <c r="BH63" i="10"/>
  <c r="BH26" i="10"/>
  <c r="BH62" i="10"/>
  <c r="BH33" i="10"/>
  <c r="AB6" i="10"/>
  <c r="AB4" i="10" s="1"/>
  <c r="BE97" i="10"/>
  <c r="AX12" i="10"/>
  <c r="BP9" i="10"/>
  <c r="BP13" i="10"/>
  <c r="CM20" i="10"/>
  <c r="BP38" i="10"/>
  <c r="BP67" i="10"/>
  <c r="BP14" i="10"/>
  <c r="AX9" i="10"/>
  <c r="AR60" i="10" s="1"/>
  <c r="AR70" i="10" s="1"/>
  <c r="AR79" i="10" s="1"/>
  <c r="BP87" i="10"/>
  <c r="BP12" i="10"/>
  <c r="BP15" i="10" s="1"/>
  <c r="BP17" i="10"/>
  <c r="BP18" i="10" s="1"/>
  <c r="BP19" i="10" s="1"/>
  <c r="BQ8" i="10"/>
  <c r="AY21" i="10"/>
  <c r="BE77" i="10"/>
  <c r="BO51" i="9"/>
  <c r="BO40" i="9"/>
  <c r="BM21" i="9"/>
  <c r="AU25" i="9"/>
  <c r="AU29" i="9" s="1"/>
  <c r="BI75" i="9"/>
  <c r="BE96" i="9"/>
  <c r="BI95" i="9"/>
  <c r="BJ45" i="9"/>
  <c r="BJ28" i="9"/>
  <c r="BJ41" i="9"/>
  <c r="AV16" i="9"/>
  <c r="AV18" i="9"/>
  <c r="BH45" i="9"/>
  <c r="BH28" i="9"/>
  <c r="BH41" i="9"/>
  <c r="BL22" i="9"/>
  <c r="AT45" i="9"/>
  <c r="AT43" i="9"/>
  <c r="AT44" i="9"/>
  <c r="CL29" i="9"/>
  <c r="CL30" i="9"/>
  <c r="CL21" i="9"/>
  <c r="CL24" i="9" s="1"/>
  <c r="BJ35" i="9"/>
  <c r="BJ33" i="9"/>
  <c r="BJ34" i="9"/>
  <c r="BJ72" i="9" s="1"/>
  <c r="AR47" i="9"/>
  <c r="AX10" i="9"/>
  <c r="AW42" i="9"/>
  <c r="AW13" i="9"/>
  <c r="BI53" i="9"/>
  <c r="BI42" i="9"/>
  <c r="BI43" i="9" s="1"/>
  <c r="BI73" i="9"/>
  <c r="BP9" i="9"/>
  <c r="BP12" i="9"/>
  <c r="BP37" i="9"/>
  <c r="BP66" i="9"/>
  <c r="AX9" i="9"/>
  <c r="BP86" i="9"/>
  <c r="BP11" i="9"/>
  <c r="BP13" i="9"/>
  <c r="BP16" i="9"/>
  <c r="CM19" i="9"/>
  <c r="BQ8" i="9"/>
  <c r="BK62" i="9"/>
  <c r="BK25" i="9"/>
  <c r="BK32" i="9"/>
  <c r="BK61" i="9"/>
  <c r="AY20" i="9"/>
  <c r="AX11" i="9"/>
  <c r="AT31" i="9"/>
  <c r="BE76" i="9"/>
  <c r="BI56" i="9"/>
  <c r="BI52" i="9"/>
  <c r="BI90" i="9"/>
  <c r="BI91" i="9"/>
  <c r="BI92" i="9"/>
  <c r="BI93" i="9"/>
  <c r="BH33" i="9"/>
  <c r="BH34" i="9" s="1"/>
  <c r="BH35" i="9"/>
  <c r="AP47" i="9"/>
  <c r="AK47" i="9"/>
  <c r="AL47" i="9"/>
  <c r="AM47" i="9"/>
  <c r="BL23" i="9"/>
  <c r="AX10" i="8"/>
  <c r="AW43" i="8"/>
  <c r="AX38" i="8"/>
  <c r="AY36" i="8"/>
  <c r="BO34" i="8"/>
  <c r="BO51" i="7"/>
  <c r="BO40" i="7"/>
  <c r="BM21" i="7"/>
  <c r="AU25" i="7"/>
  <c r="AU29" i="7" s="1"/>
  <c r="BI42" i="7"/>
  <c r="BI53" i="7"/>
  <c r="BI73" i="7"/>
  <c r="BI72" i="7"/>
  <c r="BI71" i="7"/>
  <c r="BI70" i="7"/>
  <c r="BI74" i="7"/>
  <c r="AY28" i="7"/>
  <c r="BQ24" i="7"/>
  <c r="AG37" i="7"/>
  <c r="BJ35" i="7"/>
  <c r="BJ33" i="7"/>
  <c r="BJ34" i="7" s="1"/>
  <c r="AR47" i="7"/>
  <c r="AX11" i="7"/>
  <c r="BH45" i="7"/>
  <c r="BH28" i="7"/>
  <c r="BH41" i="7"/>
  <c r="BI95" i="7"/>
  <c r="AV16" i="7"/>
  <c r="AV18" i="7"/>
  <c r="BJ28" i="7"/>
  <c r="BJ45" i="7"/>
  <c r="BJ41" i="7"/>
  <c r="BI56" i="7"/>
  <c r="BI52" i="7"/>
  <c r="BI54" i="7" s="1"/>
  <c r="CF38" i="7" s="1"/>
  <c r="CF42" i="7" s="1"/>
  <c r="CF31" i="7" s="1"/>
  <c r="CF33" i="7" s="1"/>
  <c r="BI90" i="7"/>
  <c r="BI91" i="7"/>
  <c r="BI92" i="7"/>
  <c r="BI93" i="7"/>
  <c r="BI94" i="7"/>
  <c r="AT43" i="7"/>
  <c r="BL22" i="7"/>
  <c r="BL23" i="7" s="1"/>
  <c r="AT45" i="7"/>
  <c r="AT44" i="7"/>
  <c r="BI75" i="7"/>
  <c r="AX10" i="7"/>
  <c r="AW42" i="7"/>
  <c r="AW13" i="7"/>
  <c r="BE96" i="7"/>
  <c r="BK62" i="7"/>
  <c r="BK25" i="7"/>
  <c r="BK32" i="7"/>
  <c r="BK61" i="7"/>
  <c r="CL29" i="7"/>
  <c r="CL21" i="7"/>
  <c r="CL24" i="7" s="1"/>
  <c r="CL30" i="7"/>
  <c r="AS39" i="7"/>
  <c r="AS46" i="7"/>
  <c r="AT31" i="7"/>
  <c r="BH33" i="7"/>
  <c r="BH34" i="7"/>
  <c r="BH35" i="7"/>
  <c r="AL47" i="7"/>
  <c r="AK47" i="7"/>
  <c r="AP47" i="7"/>
  <c r="AM47" i="7"/>
  <c r="AY20" i="7"/>
  <c r="BP9" i="7"/>
  <c r="BP12" i="7"/>
  <c r="CM19" i="7"/>
  <c r="BP37" i="7"/>
  <c r="BP13" i="7"/>
  <c r="BP16" i="7"/>
  <c r="BP17" i="7" s="1"/>
  <c r="BP86" i="7"/>
  <c r="BQ8" i="7"/>
  <c r="BP11" i="7"/>
  <c r="AX9" i="7"/>
  <c r="BP66" i="7"/>
  <c r="BE76" i="7"/>
  <c r="BI43" i="7"/>
  <c r="BI53" i="11"/>
  <c r="BI42" i="11"/>
  <c r="BI75" i="11"/>
  <c r="BI70" i="11"/>
  <c r="BI72" i="11"/>
  <c r="BI76" i="11"/>
  <c r="BI71" i="11"/>
  <c r="BI73" i="11"/>
  <c r="BI74" i="11"/>
  <c r="BI56" i="11"/>
  <c r="BI52" i="11"/>
  <c r="BI54" i="11" s="1"/>
  <c r="CF38" i="11" s="1"/>
  <c r="CF42" i="11" s="1"/>
  <c r="CF31" i="11" s="1"/>
  <c r="CF33" i="11" s="1"/>
  <c r="BI90" i="11"/>
  <c r="BI91" i="11"/>
  <c r="BI92" i="11"/>
  <c r="BI93" i="11"/>
  <c r="BI94" i="11"/>
  <c r="BI95" i="11"/>
  <c r="AX10" i="11"/>
  <c r="AW13" i="11"/>
  <c r="AW42" i="11"/>
  <c r="BK62" i="11"/>
  <c r="BK25" i="11"/>
  <c r="BK61" i="11"/>
  <c r="BK32" i="11"/>
  <c r="BH35" i="11"/>
  <c r="BH33" i="11"/>
  <c r="BH34" i="11" s="1"/>
  <c r="AK47" i="11"/>
  <c r="AM47" i="11"/>
  <c r="AP47" i="11"/>
  <c r="AL47" i="11"/>
  <c r="BM21" i="11"/>
  <c r="AU25" i="11"/>
  <c r="AU29" i="11" s="1"/>
  <c r="BH45" i="11"/>
  <c r="BH28" i="11"/>
  <c r="BH41" i="11"/>
  <c r="BI77" i="11"/>
  <c r="AT43" i="11"/>
  <c r="BL22" i="11"/>
  <c r="BL23" i="11" s="1"/>
  <c r="AT45" i="11"/>
  <c r="AT44" i="11"/>
  <c r="AY28" i="11"/>
  <c r="AZ20" i="11"/>
  <c r="BI97" i="11"/>
  <c r="AV16" i="11"/>
  <c r="AV18" i="11"/>
  <c r="AT31" i="11"/>
  <c r="BJ35" i="11"/>
  <c r="BJ33" i="11"/>
  <c r="BJ34" i="11" s="1"/>
  <c r="AR47" i="11"/>
  <c r="BJ45" i="11"/>
  <c r="BJ28" i="11"/>
  <c r="BJ41" i="11"/>
  <c r="AS39" i="11"/>
  <c r="AS46" i="11"/>
  <c r="BI96" i="11"/>
  <c r="AY11" i="11"/>
  <c r="BI43" i="11"/>
  <c r="BL37" i="4"/>
  <c r="CI19" i="4"/>
  <c r="CA25" i="4"/>
  <c r="CA23" i="4"/>
  <c r="AM25" i="4"/>
  <c r="AT9" i="4"/>
  <c r="AU15" i="4" s="1"/>
  <c r="BL13" i="4"/>
  <c r="BL12" i="4"/>
  <c r="BL11" i="4"/>
  <c r="AS37" i="4"/>
  <c r="BJ24" i="4"/>
  <c r="BM8" i="4"/>
  <c r="BL9" i="4"/>
  <c r="BL68" i="4"/>
  <c r="BL88" i="4"/>
  <c r="BM88" i="4"/>
  <c r="BM68" i="4"/>
  <c r="BK40" i="4"/>
  <c r="BJ40" i="4"/>
  <c r="AL44" i="4"/>
  <c r="AL43" i="4"/>
  <c r="AT42" i="4"/>
  <c r="AP44" i="4"/>
  <c r="BH21" i="4"/>
  <c r="AL45" i="4"/>
  <c r="AQ18" i="4"/>
  <c r="AU9" i="4"/>
  <c r="AV15" i="4" s="1"/>
  <c r="BN8" i="4"/>
  <c r="BM9" i="4"/>
  <c r="AQ25" i="4" l="1"/>
  <c r="AQ29" i="4" s="1"/>
  <c r="AQ31" i="4" s="1"/>
  <c r="BI21" i="4"/>
  <c r="CJ19" i="4"/>
  <c r="BG35" i="4"/>
  <c r="BR25" i="8"/>
  <c r="BQ23" i="8"/>
  <c r="AY21" i="8"/>
  <c r="AY23" i="8"/>
  <c r="AY24" i="8"/>
  <c r="AY22" i="8"/>
  <c r="AS40" i="8"/>
  <c r="AS47" i="8"/>
  <c r="AS46" i="8"/>
  <c r="AS44" i="8"/>
  <c r="BK32" i="8"/>
  <c r="BK33" i="8" s="1"/>
  <c r="AS45" i="8"/>
  <c r="AU15" i="8"/>
  <c r="AU17" i="8"/>
  <c r="AW29" i="8"/>
  <c r="AW30" i="8" s="1"/>
  <c r="AV11" i="8"/>
  <c r="AV13" i="8" s="1"/>
  <c r="AT26" i="8"/>
  <c r="BL31" i="8"/>
  <c r="AT32" i="8"/>
  <c r="BJ72" i="8"/>
  <c r="BJ35" i="8"/>
  <c r="BJ71" i="8"/>
  <c r="BJ42" i="8"/>
  <c r="AR40" i="8"/>
  <c r="AR47" i="8"/>
  <c r="AY27" i="8"/>
  <c r="AQ40" i="10"/>
  <c r="AQ47" i="10"/>
  <c r="BI26" i="10"/>
  <c r="BI63" i="10"/>
  <c r="BI62" i="10"/>
  <c r="BI33" i="10"/>
  <c r="AS17" i="10"/>
  <c r="AS19" i="10"/>
  <c r="AU10" i="10"/>
  <c r="AT14" i="10"/>
  <c r="AT43" i="10"/>
  <c r="AR44" i="10"/>
  <c r="AR46" i="10"/>
  <c r="BJ23" i="10"/>
  <c r="BJ24" i="10" s="1"/>
  <c r="AR45" i="10"/>
  <c r="AR32" i="10"/>
  <c r="BH89" i="9"/>
  <c r="BP14" i="7"/>
  <c r="BH69" i="7"/>
  <c r="BH70" i="7"/>
  <c r="BH71" i="7"/>
  <c r="BH72" i="7"/>
  <c r="BH73" i="7"/>
  <c r="BH95" i="7"/>
  <c r="BH75" i="7"/>
  <c r="BP14" i="9"/>
  <c r="BJ95" i="9"/>
  <c r="BR9" i="8"/>
  <c r="BR47" i="8"/>
  <c r="BR76" i="8"/>
  <c r="BF88" i="8" s="1"/>
  <c r="BS8" i="8"/>
  <c r="BR96" i="8"/>
  <c r="BF108" i="8" s="1"/>
  <c r="BR26" i="8"/>
  <c r="BR28" i="8" s="1"/>
  <c r="BR22" i="8"/>
  <c r="CO29" i="8"/>
  <c r="BR21" i="8"/>
  <c r="AZ9" i="8"/>
  <c r="BR20" i="8"/>
  <c r="BR23" i="8" s="1"/>
  <c r="CN39" i="8"/>
  <c r="CN40" i="8"/>
  <c r="CN31" i="8"/>
  <c r="CN34" i="8" s="1"/>
  <c r="BQ9" i="11"/>
  <c r="BQ12" i="11"/>
  <c r="CN19" i="11"/>
  <c r="BQ37" i="11"/>
  <c r="BQ16" i="11"/>
  <c r="BQ66" i="11"/>
  <c r="BE78" i="11" s="1"/>
  <c r="AY9" i="11"/>
  <c r="BQ86" i="11"/>
  <c r="BE98" i="11" s="1"/>
  <c r="BQ13" i="11"/>
  <c r="BQ11" i="11"/>
  <c r="BR8" i="11"/>
  <c r="BP40" i="11"/>
  <c r="BP18" i="11"/>
  <c r="BP51" i="11" s="1"/>
  <c r="CM29" i="11"/>
  <c r="CM30" i="11"/>
  <c r="CM21" i="11"/>
  <c r="CM24" i="11" s="1"/>
  <c r="BP52" i="10"/>
  <c r="BP41" i="10"/>
  <c r="AY29" i="10"/>
  <c r="BE98" i="10"/>
  <c r="BE78" i="10"/>
  <c r="AZ21" i="10"/>
  <c r="BQ9" i="10"/>
  <c r="BQ38" i="10"/>
  <c r="BQ13" i="10"/>
  <c r="CN20" i="10"/>
  <c r="BQ67" i="10"/>
  <c r="AY9" i="10"/>
  <c r="AS60" i="10" s="1"/>
  <c r="AS70" i="10" s="1"/>
  <c r="AS79" i="10" s="1"/>
  <c r="BR8" i="10"/>
  <c r="BQ14" i="10"/>
  <c r="BQ87" i="10"/>
  <c r="BQ17" i="10"/>
  <c r="BQ18" i="10" s="1"/>
  <c r="BQ19" i="10" s="1"/>
  <c r="BQ12" i="10"/>
  <c r="CM30" i="10"/>
  <c r="CM31" i="10"/>
  <c r="CM22" i="10"/>
  <c r="CM25" i="10" s="1"/>
  <c r="BH46" i="10"/>
  <c r="BH29" i="10"/>
  <c r="BH42" i="10"/>
  <c r="BH36" i="10"/>
  <c r="BH34" i="10"/>
  <c r="BH35" i="10" s="1"/>
  <c r="AL48" i="10"/>
  <c r="AK48" i="10"/>
  <c r="AM48" i="10"/>
  <c r="AP48" i="10"/>
  <c r="AY12" i="10"/>
  <c r="BP40" i="9"/>
  <c r="BH53" i="9"/>
  <c r="BH42" i="9"/>
  <c r="BH43" i="9" s="1"/>
  <c r="BH74" i="9"/>
  <c r="BH72" i="9"/>
  <c r="BH73" i="9"/>
  <c r="BH75" i="9"/>
  <c r="BH71" i="9"/>
  <c r="BH70" i="9"/>
  <c r="BH69" i="9"/>
  <c r="BH95" i="9"/>
  <c r="CM29" i="9"/>
  <c r="CM30" i="9"/>
  <c r="CM21" i="9"/>
  <c r="CM24" i="9" s="1"/>
  <c r="BQ9" i="9"/>
  <c r="CN19" i="9"/>
  <c r="BQ12" i="9"/>
  <c r="AY9" i="9"/>
  <c r="BQ86" i="9"/>
  <c r="BQ11" i="9"/>
  <c r="BQ13" i="9"/>
  <c r="BQ66" i="9"/>
  <c r="BQ37" i="9"/>
  <c r="BQ16" i="9"/>
  <c r="BR8" i="9"/>
  <c r="BJ70" i="9"/>
  <c r="BJ75" i="9"/>
  <c r="AY10" i="9"/>
  <c r="AX42" i="9"/>
  <c r="AX13" i="9"/>
  <c r="BK45" i="9"/>
  <c r="BK28" i="9"/>
  <c r="BK41" i="9"/>
  <c r="BE97" i="9"/>
  <c r="BL62" i="9"/>
  <c r="BL25" i="9"/>
  <c r="BL32" i="9"/>
  <c r="BL61" i="9"/>
  <c r="BE77" i="9"/>
  <c r="BJ46" i="9"/>
  <c r="BI46" i="9"/>
  <c r="BH46" i="9"/>
  <c r="BH52" i="9"/>
  <c r="BH54" i="9" s="1"/>
  <c r="BH56" i="9"/>
  <c r="BI89" i="9"/>
  <c r="BH90" i="9"/>
  <c r="BF90" i="9" s="1"/>
  <c r="BJ89" i="9"/>
  <c r="BH91" i="9"/>
  <c r="BK89" i="9"/>
  <c r="BH92" i="9"/>
  <c r="BL89" i="9"/>
  <c r="BH93" i="9"/>
  <c r="BH94" i="9"/>
  <c r="BP17" i="9"/>
  <c r="BP18" i="9" s="1"/>
  <c r="BP51" i="9" s="1"/>
  <c r="AT39" i="9"/>
  <c r="AT46" i="9"/>
  <c r="BM22" i="9"/>
  <c r="AU45" i="9"/>
  <c r="AU43" i="9"/>
  <c r="AU44" i="9"/>
  <c r="BJ53" i="9"/>
  <c r="BJ42" i="9"/>
  <c r="BJ74" i="9"/>
  <c r="AY11" i="9"/>
  <c r="BM23" i="9"/>
  <c r="BK35" i="9"/>
  <c r="BK33" i="9"/>
  <c r="AS47" i="9"/>
  <c r="BK34" i="9"/>
  <c r="BJ73" i="9"/>
  <c r="AU31" i="9"/>
  <c r="AW16" i="9"/>
  <c r="AW18" i="9"/>
  <c r="BH96" i="9"/>
  <c r="BI96" i="9"/>
  <c r="BJ96" i="9"/>
  <c r="BI54" i="9"/>
  <c r="CF38" i="9" s="1"/>
  <c r="CF42" i="9" s="1"/>
  <c r="CF31" i="9" s="1"/>
  <c r="CF33" i="9" s="1"/>
  <c r="AV25" i="9"/>
  <c r="AV29" i="9" s="1"/>
  <c r="BN21" i="9"/>
  <c r="BH76" i="9"/>
  <c r="BI76" i="9"/>
  <c r="BJ76" i="9"/>
  <c r="BJ71" i="9"/>
  <c r="BJ52" i="9"/>
  <c r="BJ54" i="9" s="1"/>
  <c r="CG38" i="9" s="1"/>
  <c r="CG42" i="9" s="1"/>
  <c r="CG31" i="9" s="1"/>
  <c r="CG33" i="9" s="1"/>
  <c r="BJ56" i="9"/>
  <c r="BJ91" i="9"/>
  <c r="BJ92" i="9"/>
  <c r="BJ93" i="9"/>
  <c r="BJ94" i="9"/>
  <c r="AZ20" i="9"/>
  <c r="BJ43" i="9"/>
  <c r="BP34" i="8"/>
  <c r="AZ36" i="8"/>
  <c r="AY38" i="8"/>
  <c r="AY10" i="8"/>
  <c r="AX43" i="8"/>
  <c r="BJ95" i="7"/>
  <c r="BL62" i="7"/>
  <c r="BL25" i="7"/>
  <c r="BL32" i="7"/>
  <c r="BL61" i="7"/>
  <c r="BJ53" i="7"/>
  <c r="BJ42" i="7"/>
  <c r="BJ43" i="7" s="1"/>
  <c r="BJ74" i="7"/>
  <c r="BJ70" i="7"/>
  <c r="BJ75" i="7"/>
  <c r="BJ71" i="7"/>
  <c r="BF71" i="7" s="1"/>
  <c r="BJ72" i="7"/>
  <c r="BJ73" i="7"/>
  <c r="BP40" i="7"/>
  <c r="BH76" i="7"/>
  <c r="BI76" i="7"/>
  <c r="BJ76" i="7"/>
  <c r="BK45" i="7"/>
  <c r="BK28" i="7"/>
  <c r="BK41" i="7"/>
  <c r="BP18" i="7"/>
  <c r="BP51" i="7" s="1"/>
  <c r="AZ28" i="7"/>
  <c r="BH53" i="7"/>
  <c r="BH42" i="7"/>
  <c r="BH74" i="7"/>
  <c r="BH43" i="7"/>
  <c r="CM29" i="7"/>
  <c r="CM21" i="7"/>
  <c r="CM24" i="7" s="1"/>
  <c r="CM30" i="7"/>
  <c r="AW16" i="7"/>
  <c r="AW18" i="7" s="1"/>
  <c r="BH56" i="7"/>
  <c r="BH52" i="7"/>
  <c r="BH89" i="7"/>
  <c r="BH90" i="7"/>
  <c r="BF90" i="7" s="1"/>
  <c r="BH91" i="7"/>
  <c r="BH92" i="7"/>
  <c r="BH93" i="7"/>
  <c r="BH94" i="7"/>
  <c r="BM22" i="7"/>
  <c r="BM23" i="7" s="1"/>
  <c r="AU43" i="7"/>
  <c r="AU45" i="7"/>
  <c r="AU44" i="7"/>
  <c r="BK46" i="7"/>
  <c r="BH46" i="7"/>
  <c r="BJ46" i="7"/>
  <c r="BI46" i="7"/>
  <c r="AT39" i="7"/>
  <c r="AT46" i="7"/>
  <c r="AY10" i="7"/>
  <c r="AX13" i="7"/>
  <c r="AX42" i="7"/>
  <c r="AU31" i="7"/>
  <c r="AY11" i="7"/>
  <c r="BJ56" i="7"/>
  <c r="BJ52" i="7"/>
  <c r="BJ54" i="7" s="1"/>
  <c r="CG38" i="7" s="1"/>
  <c r="CG42" i="7" s="1"/>
  <c r="CG31" i="7" s="1"/>
  <c r="CG33" i="7" s="1"/>
  <c r="BJ91" i="7"/>
  <c r="BJ92" i="7"/>
  <c r="BJ93" i="7"/>
  <c r="BJ94" i="7"/>
  <c r="BK35" i="7"/>
  <c r="BK33" i="7"/>
  <c r="BK34" i="7" s="1"/>
  <c r="AS47" i="7"/>
  <c r="AZ20" i="7"/>
  <c r="BF70" i="7"/>
  <c r="BE77" i="7"/>
  <c r="BH96" i="7"/>
  <c r="BI96" i="7"/>
  <c r="BJ96" i="7"/>
  <c r="BQ9" i="7"/>
  <c r="BQ37" i="7"/>
  <c r="BQ12" i="7"/>
  <c r="CN19" i="7"/>
  <c r="BQ16" i="7"/>
  <c r="BQ11" i="7"/>
  <c r="BQ13" i="7"/>
  <c r="BR8" i="7"/>
  <c r="BQ17" i="7"/>
  <c r="BQ66" i="7"/>
  <c r="BQ86" i="7"/>
  <c r="AY9" i="7"/>
  <c r="AV31" i="7"/>
  <c r="AV25" i="7"/>
  <c r="AV29" i="7" s="1"/>
  <c r="BN21" i="7"/>
  <c r="BF69" i="7"/>
  <c r="BE97" i="7"/>
  <c r="BH53" i="11"/>
  <c r="BH42" i="11"/>
  <c r="BH70" i="11"/>
  <c r="BH72" i="11"/>
  <c r="BH75" i="11"/>
  <c r="BH76" i="11"/>
  <c r="BH71" i="11"/>
  <c r="BH69" i="11"/>
  <c r="BH97" i="11"/>
  <c r="BH77" i="11"/>
  <c r="BH73" i="11"/>
  <c r="BH74" i="11"/>
  <c r="BJ42" i="11"/>
  <c r="BJ43" i="11" s="1"/>
  <c r="BJ53" i="11"/>
  <c r="BJ71" i="11"/>
  <c r="BJ77" i="11"/>
  <c r="BJ73" i="11"/>
  <c r="BJ76" i="11"/>
  <c r="BJ74" i="11"/>
  <c r="BJ72" i="11"/>
  <c r="BJ70" i="11"/>
  <c r="BJ75" i="11"/>
  <c r="AY10" i="11"/>
  <c r="AX42" i="11"/>
  <c r="AX13" i="11"/>
  <c r="BK33" i="11"/>
  <c r="BK34" i="11"/>
  <c r="BK35" i="11"/>
  <c r="AS47" i="11"/>
  <c r="AU45" i="11"/>
  <c r="BM22" i="11"/>
  <c r="BM23" i="11" s="1"/>
  <c r="AU43" i="11"/>
  <c r="AU44" i="11"/>
  <c r="BN21" i="11"/>
  <c r="AV25" i="11"/>
  <c r="AV29" i="11" s="1"/>
  <c r="BJ56" i="11"/>
  <c r="BJ52" i="11"/>
  <c r="BJ54" i="11" s="1"/>
  <c r="CG38" i="11" s="1"/>
  <c r="CG42" i="11" s="1"/>
  <c r="CG31" i="11" s="1"/>
  <c r="CG33" i="11" s="1"/>
  <c r="BJ91" i="11"/>
  <c r="BJ92" i="11"/>
  <c r="BJ93" i="11"/>
  <c r="BJ94" i="11"/>
  <c r="BJ95" i="11"/>
  <c r="BJ96" i="11"/>
  <c r="AU31" i="11"/>
  <c r="AZ28" i="11"/>
  <c r="BJ97" i="11"/>
  <c r="BH98" i="11"/>
  <c r="BI98" i="11"/>
  <c r="BJ98" i="11"/>
  <c r="BH43" i="11"/>
  <c r="AT39" i="11"/>
  <c r="AT46" i="11"/>
  <c r="BL62" i="11"/>
  <c r="BL25" i="11"/>
  <c r="BL32" i="11"/>
  <c r="BL61" i="11"/>
  <c r="BK45" i="11"/>
  <c r="BK28" i="11"/>
  <c r="BK98" i="11" s="1"/>
  <c r="BK41" i="11"/>
  <c r="BK72" i="11"/>
  <c r="BK73" i="11"/>
  <c r="BK74" i="11"/>
  <c r="BK75" i="11"/>
  <c r="BK76" i="11"/>
  <c r="BH52" i="11"/>
  <c r="BH54" i="11" s="1"/>
  <c r="BH56" i="11"/>
  <c r="BH90" i="11"/>
  <c r="BF90" i="11" s="1"/>
  <c r="BJ89" i="11"/>
  <c r="BH89" i="11"/>
  <c r="BH91" i="11"/>
  <c r="BH92" i="11"/>
  <c r="BH93" i="11"/>
  <c r="BH94" i="11"/>
  <c r="BH95" i="11"/>
  <c r="BH96" i="11"/>
  <c r="BJ78" i="11"/>
  <c r="BH78" i="11"/>
  <c r="BI78" i="11"/>
  <c r="BI67" i="11" s="1"/>
  <c r="BK78" i="11"/>
  <c r="AZ11" i="11"/>
  <c r="AG11" i="11"/>
  <c r="BH46" i="11"/>
  <c r="BI46" i="11"/>
  <c r="BJ46" i="11"/>
  <c r="BK46" i="11"/>
  <c r="AW16" i="11"/>
  <c r="AW18" i="11"/>
  <c r="BN13" i="4"/>
  <c r="CK19" i="4"/>
  <c r="CJ30" i="4"/>
  <c r="CJ29" i="4"/>
  <c r="CJ21" i="4"/>
  <c r="CJ24" i="4" s="1"/>
  <c r="CI30" i="4"/>
  <c r="CI29" i="4"/>
  <c r="CI21" i="4"/>
  <c r="CI24" i="4" s="1"/>
  <c r="BN37" i="4"/>
  <c r="BM37" i="4"/>
  <c r="AO43" i="4"/>
  <c r="AM29" i="4"/>
  <c r="AM31" i="4" s="1"/>
  <c r="BN12" i="4"/>
  <c r="BN11" i="4"/>
  <c r="BM13" i="4"/>
  <c r="BM12" i="4"/>
  <c r="BM11" i="4"/>
  <c r="BL14" i="4"/>
  <c r="BK24" i="4"/>
  <c r="BL24" i="4"/>
  <c r="BN88" i="4"/>
  <c r="BN68" i="4"/>
  <c r="BL40" i="4"/>
  <c r="AP43" i="4"/>
  <c r="AP45" i="4"/>
  <c r="AP31" i="4"/>
  <c r="AO44" i="4"/>
  <c r="AO45" i="4"/>
  <c r="AL39" i="4"/>
  <c r="AL46" i="4"/>
  <c r="BH22" i="4"/>
  <c r="AU37" i="4"/>
  <c r="AR18" i="4"/>
  <c r="AR25" i="4" s="1"/>
  <c r="AV9" i="4"/>
  <c r="AW15" i="4" s="1"/>
  <c r="BM14" i="4"/>
  <c r="AS13" i="4"/>
  <c r="AS16" i="4" s="1"/>
  <c r="BO8" i="4"/>
  <c r="CL19" i="4" s="1"/>
  <c r="BN9" i="4"/>
  <c r="BG41" i="4" l="1"/>
  <c r="BG52" i="4"/>
  <c r="BG33" i="4"/>
  <c r="BG34" i="4" s="1"/>
  <c r="AA6" i="4"/>
  <c r="BH23" i="4"/>
  <c r="AZ23" i="8"/>
  <c r="AZ21" i="8"/>
  <c r="AZ24" i="8"/>
  <c r="AZ22" i="8"/>
  <c r="BJ45" i="8"/>
  <c r="BJ43" i="8"/>
  <c r="BJ44" i="8" s="1"/>
  <c r="AR48" i="8"/>
  <c r="BJ55" i="8"/>
  <c r="BJ38" i="8"/>
  <c r="BJ51" i="8"/>
  <c r="AT40" i="8"/>
  <c r="AT47" i="8"/>
  <c r="AT44" i="8"/>
  <c r="AT46" i="8"/>
  <c r="BL32" i="8"/>
  <c r="BL33" i="8" s="1"/>
  <c r="AT45" i="8"/>
  <c r="AV15" i="8"/>
  <c r="AV17" i="8"/>
  <c r="AX29" i="8"/>
  <c r="AX30" i="8" s="1"/>
  <c r="AW11" i="8"/>
  <c r="AW13" i="8" s="1"/>
  <c r="BM31" i="8"/>
  <c r="AU26" i="8"/>
  <c r="BK72" i="8"/>
  <c r="AC7" i="8"/>
  <c r="BK35" i="8"/>
  <c r="BK71" i="8"/>
  <c r="BK42" i="8"/>
  <c r="AZ27" i="8"/>
  <c r="AR40" i="10"/>
  <c r="AR47" i="10"/>
  <c r="BJ63" i="10"/>
  <c r="BJ26" i="10"/>
  <c r="AB7" i="10"/>
  <c r="BJ62" i="10"/>
  <c r="BJ33" i="10"/>
  <c r="AT17" i="10"/>
  <c r="AT19" i="10"/>
  <c r="AV10" i="10"/>
  <c r="AU14" i="10"/>
  <c r="AU43" i="10"/>
  <c r="AS26" i="10"/>
  <c r="AS30" i="10" s="1"/>
  <c r="BK22" i="10"/>
  <c r="AS32" i="10"/>
  <c r="BI36" i="10"/>
  <c r="BI34" i="10"/>
  <c r="BI35" i="10" s="1"/>
  <c r="AQ48" i="10"/>
  <c r="BI46" i="10"/>
  <c r="BI29" i="10"/>
  <c r="BI42" i="10"/>
  <c r="BF70" i="11"/>
  <c r="BQ14" i="7"/>
  <c r="BQ18" i="7"/>
  <c r="BF91" i="7"/>
  <c r="BF91" i="9"/>
  <c r="BQ14" i="9"/>
  <c r="BQ15" i="10"/>
  <c r="BR40" i="11"/>
  <c r="BR9" i="11"/>
  <c r="BR41" i="11"/>
  <c r="BR12" i="11"/>
  <c r="BR57" i="11"/>
  <c r="BR16" i="11"/>
  <c r="BR14" i="11"/>
  <c r="AZ9" i="11"/>
  <c r="BR18" i="11"/>
  <c r="BR43" i="11"/>
  <c r="BR11" i="11"/>
  <c r="BR13" i="11"/>
  <c r="BR42" i="11"/>
  <c r="BR17" i="11"/>
  <c r="BS8" i="11"/>
  <c r="BQ17" i="11"/>
  <c r="BQ18" i="11"/>
  <c r="CN29" i="11"/>
  <c r="CN21" i="11"/>
  <c r="CN24" i="11" s="1"/>
  <c r="CN30" i="11"/>
  <c r="CB30" i="11" s="1"/>
  <c r="BQ14" i="11"/>
  <c r="BQ40" i="11" s="1"/>
  <c r="BQ61" i="8"/>
  <c r="BQ50" i="8"/>
  <c r="BR50" i="8"/>
  <c r="CO31" i="8"/>
  <c r="CO34" i="8" s="1"/>
  <c r="CO40" i="8"/>
  <c r="CC40" i="8" s="1"/>
  <c r="CO39" i="8"/>
  <c r="BS50" i="8"/>
  <c r="BS9" i="8"/>
  <c r="BS51" i="8"/>
  <c r="BS21" i="8"/>
  <c r="BS25" i="8"/>
  <c r="BS53" i="8"/>
  <c r="BS23" i="8"/>
  <c r="BT8" i="8"/>
  <c r="BS28" i="8"/>
  <c r="BS26" i="8"/>
  <c r="BS52" i="8"/>
  <c r="BS22" i="8"/>
  <c r="BA9" i="8"/>
  <c r="BS67" i="8"/>
  <c r="BS20" i="8"/>
  <c r="BR61" i="8"/>
  <c r="BQ52" i="10"/>
  <c r="BQ41" i="10"/>
  <c r="BH54" i="10"/>
  <c r="BH43" i="10"/>
  <c r="BH44" i="10" s="1"/>
  <c r="BH72" i="10"/>
  <c r="BH76" i="10"/>
  <c r="BH71" i="10"/>
  <c r="BH97" i="10"/>
  <c r="BH75" i="10"/>
  <c r="BH77" i="10"/>
  <c r="BH70" i="10"/>
  <c r="BH73" i="10"/>
  <c r="BH74" i="10"/>
  <c r="BE79" i="10"/>
  <c r="CN30" i="10"/>
  <c r="CN22" i="10"/>
  <c r="CN25" i="10" s="1"/>
  <c r="CN31" i="10"/>
  <c r="CB31" i="10" s="1"/>
  <c r="BR41" i="10"/>
  <c r="BR9" i="10"/>
  <c r="BR42" i="10"/>
  <c r="BR13" i="10"/>
  <c r="BR58" i="10"/>
  <c r="AZ9" i="10"/>
  <c r="AT60" i="10" s="1"/>
  <c r="AT70" i="10" s="1"/>
  <c r="AT79" i="10" s="1"/>
  <c r="BR44" i="10"/>
  <c r="BR14" i="10"/>
  <c r="BS8" i="10"/>
  <c r="BR19" i="10"/>
  <c r="BR15" i="10"/>
  <c r="BR18" i="10"/>
  <c r="BR17" i="10"/>
  <c r="BR43" i="10"/>
  <c r="BR12" i="10"/>
  <c r="AZ29" i="10"/>
  <c r="AZ12" i="10"/>
  <c r="AG12" i="10"/>
  <c r="BI47" i="10"/>
  <c r="BH47" i="10"/>
  <c r="BH78" i="10"/>
  <c r="BI78" i="10"/>
  <c r="BH53" i="10"/>
  <c r="BH55" i="10" s="1"/>
  <c r="BJ90" i="10" s="1"/>
  <c r="BH57" i="10"/>
  <c r="BH90" i="10"/>
  <c r="BH91" i="10"/>
  <c r="BH92" i="10"/>
  <c r="BH93" i="10"/>
  <c r="BH94" i="10"/>
  <c r="BH95" i="10"/>
  <c r="BH96" i="10"/>
  <c r="BE99" i="10"/>
  <c r="BH98" i="10"/>
  <c r="BI98" i="10"/>
  <c r="BQ40" i="9"/>
  <c r="BR40" i="9"/>
  <c r="BR9" i="9"/>
  <c r="BR41" i="9"/>
  <c r="BR12" i="9"/>
  <c r="BR43" i="9"/>
  <c r="BR42" i="9"/>
  <c r="BR13" i="9"/>
  <c r="BR17" i="9"/>
  <c r="BR57" i="9"/>
  <c r="BR11" i="9"/>
  <c r="BR18" i="9"/>
  <c r="BS8" i="9"/>
  <c r="BR14" i="9"/>
  <c r="BR16" i="9"/>
  <c r="AZ9" i="9"/>
  <c r="BN22" i="9"/>
  <c r="AV45" i="9"/>
  <c r="AV43" i="9"/>
  <c r="AV44" i="9"/>
  <c r="BL45" i="9"/>
  <c r="BL28" i="9"/>
  <c r="BL41" i="9"/>
  <c r="BF70" i="9"/>
  <c r="AU39" i="9"/>
  <c r="AU46" i="9"/>
  <c r="BK42" i="9"/>
  <c r="BK43" i="9" s="1"/>
  <c r="BK53" i="9"/>
  <c r="BQ17" i="9"/>
  <c r="BQ18" i="9" s="1"/>
  <c r="BQ51" i="9" s="1"/>
  <c r="BF71" i="9"/>
  <c r="AZ10" i="9"/>
  <c r="AY13" i="9"/>
  <c r="AY42" i="9"/>
  <c r="AG10" i="9"/>
  <c r="BK76" i="9"/>
  <c r="BJ57" i="9"/>
  <c r="BH57" i="9"/>
  <c r="BI57" i="9"/>
  <c r="AX16" i="9"/>
  <c r="AX18" i="9"/>
  <c r="BF89" i="9"/>
  <c r="BL33" i="9"/>
  <c r="BL35" i="9"/>
  <c r="BL34" i="9"/>
  <c r="AT47" i="9"/>
  <c r="AV31" i="9"/>
  <c r="BE98" i="9"/>
  <c r="AZ11" i="9"/>
  <c r="AG11" i="9"/>
  <c r="BH97" i="9"/>
  <c r="BI97" i="9"/>
  <c r="BJ97" i="9"/>
  <c r="BK97" i="9"/>
  <c r="BO21" i="9"/>
  <c r="AW25" i="9"/>
  <c r="AW29" i="9" s="1"/>
  <c r="AW31" i="9" s="1"/>
  <c r="BM25" i="9"/>
  <c r="BM61" i="9"/>
  <c r="BM32" i="9"/>
  <c r="BM62" i="9"/>
  <c r="BN23" i="9"/>
  <c r="BK75" i="9"/>
  <c r="BK96" i="9"/>
  <c r="BK46" i="9"/>
  <c r="BK74" i="9"/>
  <c r="BF69" i="9"/>
  <c r="BK73" i="9"/>
  <c r="CN21" i="9"/>
  <c r="CN24" i="9" s="1"/>
  <c r="CN30" i="9"/>
  <c r="CB30" i="9" s="1"/>
  <c r="CN29" i="9"/>
  <c r="CE38" i="9"/>
  <c r="BK72" i="9"/>
  <c r="BH77" i="9"/>
  <c r="BI77" i="9"/>
  <c r="BJ77" i="9"/>
  <c r="BK77" i="9"/>
  <c r="BL77" i="9"/>
  <c r="BE78" i="9"/>
  <c r="BK52" i="9"/>
  <c r="BK56" i="9"/>
  <c r="BK92" i="9"/>
  <c r="BK93" i="9"/>
  <c r="BK94" i="9"/>
  <c r="BK95" i="9"/>
  <c r="BQ34" i="8"/>
  <c r="AZ10" i="8"/>
  <c r="AY43" i="8"/>
  <c r="BA36" i="8"/>
  <c r="BA38" i="8" s="1"/>
  <c r="AZ38" i="8"/>
  <c r="BK53" i="7"/>
  <c r="BK42" i="7"/>
  <c r="BK76" i="7"/>
  <c r="BK72" i="7"/>
  <c r="BK74" i="7"/>
  <c r="BK96" i="7"/>
  <c r="BK75" i="7"/>
  <c r="BK73" i="7"/>
  <c r="BO21" i="7"/>
  <c r="AW25" i="7"/>
  <c r="AW29" i="7" s="1"/>
  <c r="BM25" i="7"/>
  <c r="BM62" i="7"/>
  <c r="BM32" i="7"/>
  <c r="BM61" i="7"/>
  <c r="BQ51" i="7"/>
  <c r="BQ40" i="7"/>
  <c r="AU39" i="7"/>
  <c r="AU46" i="7"/>
  <c r="AX16" i="7"/>
  <c r="AX18" i="7"/>
  <c r="BR40" i="7"/>
  <c r="BR57" i="7"/>
  <c r="BR9" i="7"/>
  <c r="BR41" i="7"/>
  <c r="BR12" i="7"/>
  <c r="BS8" i="7"/>
  <c r="BR11" i="7"/>
  <c r="BR13" i="7"/>
  <c r="BR17" i="7"/>
  <c r="BR18" i="7"/>
  <c r="BR16" i="7"/>
  <c r="BR14" i="7"/>
  <c r="AZ9" i="7"/>
  <c r="BR43" i="7"/>
  <c r="BR42" i="7"/>
  <c r="CN29" i="7"/>
  <c r="CN21" i="7"/>
  <c r="CN24" i="7" s="1"/>
  <c r="CN30" i="7"/>
  <c r="CB30" i="7" s="1"/>
  <c r="BH77" i="7"/>
  <c r="BI77" i="7"/>
  <c r="BJ77" i="7"/>
  <c r="BK77" i="7"/>
  <c r="BN23" i="7"/>
  <c r="BK56" i="7"/>
  <c r="BK52" i="7"/>
  <c r="BK54" i="7" s="1"/>
  <c r="CH38" i="7" s="1"/>
  <c r="CH42" i="7" s="1"/>
  <c r="CH31" i="7" s="1"/>
  <c r="CH33" i="7" s="1"/>
  <c r="BK92" i="7"/>
  <c r="BK93" i="7"/>
  <c r="BK94" i="7"/>
  <c r="BK95" i="7"/>
  <c r="BF92" i="7"/>
  <c r="AZ10" i="7"/>
  <c r="AY42" i="7"/>
  <c r="AY13" i="7"/>
  <c r="AG10" i="7"/>
  <c r="BN22" i="7"/>
  <c r="AV45" i="7"/>
  <c r="AV43" i="7"/>
  <c r="AV44" i="7"/>
  <c r="BL33" i="7"/>
  <c r="BL34" i="7"/>
  <c r="BL35" i="7"/>
  <c r="AT47" i="7"/>
  <c r="BE78" i="7"/>
  <c r="BL45" i="7"/>
  <c r="BL28" i="7"/>
  <c r="BL41" i="7"/>
  <c r="BH97" i="7"/>
  <c r="BI97" i="7"/>
  <c r="BJ97" i="7"/>
  <c r="BK97" i="7"/>
  <c r="BL97" i="7"/>
  <c r="BH57" i="7"/>
  <c r="BK57" i="7"/>
  <c r="BJ57" i="7"/>
  <c r="BI57" i="7"/>
  <c r="BL46" i="7"/>
  <c r="BE98" i="7"/>
  <c r="AZ11" i="7"/>
  <c r="AG11" i="7"/>
  <c r="BH54" i="7"/>
  <c r="BK43" i="7"/>
  <c r="AV39" i="7"/>
  <c r="AV46" i="7"/>
  <c r="BM25" i="11"/>
  <c r="BM62" i="11"/>
  <c r="BM61" i="11"/>
  <c r="BM32" i="11"/>
  <c r="BH67" i="11"/>
  <c r="BF69" i="11"/>
  <c r="BI57" i="11"/>
  <c r="BH57" i="11"/>
  <c r="BJ57" i="11"/>
  <c r="BJ87" i="11"/>
  <c r="BF71" i="11"/>
  <c r="AX16" i="11"/>
  <c r="AX18" i="11"/>
  <c r="CE38" i="11"/>
  <c r="BN22" i="11"/>
  <c r="BN23" i="11" s="1"/>
  <c r="AV45" i="11"/>
  <c r="AV43" i="11"/>
  <c r="AV44" i="11"/>
  <c r="BL35" i="11"/>
  <c r="BL33" i="11"/>
  <c r="BL34" i="11"/>
  <c r="AT47" i="11"/>
  <c r="AZ10" i="11"/>
  <c r="AY13" i="11"/>
  <c r="AY42" i="11"/>
  <c r="AG10" i="11"/>
  <c r="BK56" i="11"/>
  <c r="BK57" i="11" s="1"/>
  <c r="BK52" i="11"/>
  <c r="BK92" i="11"/>
  <c r="BK93" i="11"/>
  <c r="BK94" i="11"/>
  <c r="BK95" i="11"/>
  <c r="BK96" i="11"/>
  <c r="BK97" i="11"/>
  <c r="BK42" i="11"/>
  <c r="BK43" i="11" s="1"/>
  <c r="BK53" i="11"/>
  <c r="BK77" i="11"/>
  <c r="BL45" i="11"/>
  <c r="BL28" i="11"/>
  <c r="BL41" i="11"/>
  <c r="BL72" i="11"/>
  <c r="BL73" i="11"/>
  <c r="BL74" i="11"/>
  <c r="BL75" i="11"/>
  <c r="BL76" i="11"/>
  <c r="BL77" i="11"/>
  <c r="BL46" i="11"/>
  <c r="BL89" i="11"/>
  <c r="BF92" i="11"/>
  <c r="BK89" i="11"/>
  <c r="BJ67" i="11"/>
  <c r="BH87" i="11"/>
  <c r="AV31" i="11"/>
  <c r="BK67" i="11"/>
  <c r="BO21" i="11"/>
  <c r="AW25" i="11"/>
  <c r="AW29" i="11" s="1"/>
  <c r="AW31" i="11" s="1"/>
  <c r="AU39" i="11"/>
  <c r="AU46" i="11"/>
  <c r="BF91" i="11"/>
  <c r="BI89" i="11"/>
  <c r="BI87" i="11" s="1"/>
  <c r="CL30" i="4"/>
  <c r="CL29" i="4"/>
  <c r="CL21" i="4"/>
  <c r="CL24" i="4" s="1"/>
  <c r="CK30" i="4"/>
  <c r="CK29" i="4"/>
  <c r="CK21" i="4"/>
  <c r="CK24" i="4" s="1"/>
  <c r="AJ47" i="4"/>
  <c r="AA4" i="4"/>
  <c r="AK47" i="4"/>
  <c r="BO37" i="4"/>
  <c r="BO13" i="4"/>
  <c r="BO12" i="4"/>
  <c r="BO11" i="4"/>
  <c r="BM24" i="4"/>
  <c r="BO88" i="4"/>
  <c r="BO68" i="4"/>
  <c r="BH32" i="4"/>
  <c r="AP47" i="4" s="1"/>
  <c r="BH63" i="4"/>
  <c r="BM40" i="4"/>
  <c r="AQ43" i="4"/>
  <c r="AV42" i="4"/>
  <c r="AQ45" i="4"/>
  <c r="AQ44" i="4"/>
  <c r="BI22" i="4"/>
  <c r="BI23" i="4" s="1"/>
  <c r="AA7" i="4" s="1"/>
  <c r="AV37" i="4"/>
  <c r="AS18" i="4"/>
  <c r="AS25" i="4" s="1"/>
  <c r="AR29" i="4"/>
  <c r="AR43" i="4" s="1"/>
  <c r="BJ21" i="4"/>
  <c r="AW9" i="4"/>
  <c r="AX15" i="4" s="1"/>
  <c r="BN14" i="4"/>
  <c r="AT13" i="4"/>
  <c r="AT16" i="4" s="1"/>
  <c r="BP8" i="4"/>
  <c r="BO9" i="4"/>
  <c r="CM19" i="4" l="1"/>
  <c r="BP37" i="4"/>
  <c r="BG53" i="4"/>
  <c r="BG42" i="4"/>
  <c r="BG43" i="4"/>
  <c r="BH64" i="4"/>
  <c r="BA21" i="8"/>
  <c r="BA23" i="8"/>
  <c r="BA24" i="8"/>
  <c r="BA22" i="8"/>
  <c r="BK45" i="8"/>
  <c r="BK43" i="8"/>
  <c r="BK44" i="8" s="1"/>
  <c r="AS48" i="8"/>
  <c r="BK55" i="8"/>
  <c r="BK38" i="8"/>
  <c r="BK51" i="8"/>
  <c r="AU44" i="8"/>
  <c r="AU46" i="8"/>
  <c r="BM32" i="8"/>
  <c r="AU45" i="8"/>
  <c r="AU32" i="8"/>
  <c r="BM33" i="8"/>
  <c r="AW15" i="8"/>
  <c r="AW17" i="8"/>
  <c r="AY29" i="8"/>
  <c r="AY30" i="8" s="1"/>
  <c r="AX11" i="8"/>
  <c r="AX13" i="8" s="1"/>
  <c r="AX15" i="8" s="1"/>
  <c r="AX17" i="8" s="1"/>
  <c r="BN31" i="8"/>
  <c r="AV26" i="8"/>
  <c r="BL72" i="8"/>
  <c r="BL71" i="8"/>
  <c r="BL42" i="8"/>
  <c r="BL35" i="8"/>
  <c r="BJ108" i="8"/>
  <c r="BJ66" i="8"/>
  <c r="BJ62" i="8"/>
  <c r="BJ100" i="8"/>
  <c r="BJ101" i="8"/>
  <c r="BJ102" i="8"/>
  <c r="BJ103" i="8"/>
  <c r="BJ104" i="8"/>
  <c r="BJ105" i="8"/>
  <c r="BJ106" i="8"/>
  <c r="BJ107" i="8"/>
  <c r="BJ63" i="8"/>
  <c r="BJ52" i="8"/>
  <c r="BJ53" i="8" s="1"/>
  <c r="BJ87" i="8"/>
  <c r="BJ81" i="8"/>
  <c r="BJ88" i="8"/>
  <c r="BJ80" i="8"/>
  <c r="BJ82" i="8"/>
  <c r="BJ86" i="8"/>
  <c r="BJ85" i="8"/>
  <c r="BJ83" i="8"/>
  <c r="BJ84" i="8"/>
  <c r="BA27" i="8"/>
  <c r="BI96" i="10"/>
  <c r="BI97" i="10"/>
  <c r="BI57" i="10"/>
  <c r="BI53" i="10"/>
  <c r="BI91" i="10"/>
  <c r="BF91" i="10" s="1"/>
  <c r="BI92" i="10"/>
  <c r="BI93" i="10"/>
  <c r="BI94" i="10"/>
  <c r="BI95" i="10"/>
  <c r="BI43" i="10"/>
  <c r="BI44" i="10" s="1"/>
  <c r="BI54" i="10"/>
  <c r="BI75" i="10"/>
  <c r="BI73" i="10"/>
  <c r="BI74" i="10"/>
  <c r="BI76" i="10"/>
  <c r="BI71" i="10"/>
  <c r="BI72" i="10"/>
  <c r="BI77" i="10"/>
  <c r="AS40" i="10"/>
  <c r="AS47" i="10"/>
  <c r="BK23" i="10"/>
  <c r="BK24" i="10" s="1"/>
  <c r="AS44" i="10"/>
  <c r="AS46" i="10"/>
  <c r="AS45" i="10"/>
  <c r="AU17" i="10"/>
  <c r="AU19" i="10"/>
  <c r="AW10" i="10"/>
  <c r="AV14" i="10"/>
  <c r="AV17" i="10" s="1"/>
  <c r="AV19" i="10" s="1"/>
  <c r="AV43" i="10"/>
  <c r="BL22" i="10"/>
  <c r="AT26" i="10"/>
  <c r="AT30" i="10" s="1"/>
  <c r="AT32" i="10"/>
  <c r="BJ36" i="10"/>
  <c r="BJ34" i="10"/>
  <c r="BJ35" i="10" s="1"/>
  <c r="AR48" i="10"/>
  <c r="BJ46" i="10"/>
  <c r="BJ47" i="10" s="1"/>
  <c r="BJ29" i="10"/>
  <c r="BJ42" i="10"/>
  <c r="BK54" i="11"/>
  <c r="CH38" i="11" s="1"/>
  <c r="CH42" i="11" s="1"/>
  <c r="CH31" i="11" s="1"/>
  <c r="CH33" i="11" s="1"/>
  <c r="BL72" i="9"/>
  <c r="BL73" i="9"/>
  <c r="BL74" i="9"/>
  <c r="BL75" i="9"/>
  <c r="BS76" i="8"/>
  <c r="BS96" i="8"/>
  <c r="BT66" i="8"/>
  <c r="BT61" i="8"/>
  <c r="BT9" i="8"/>
  <c r="BT51" i="8"/>
  <c r="BT21" i="8"/>
  <c r="BS56" i="8"/>
  <c r="BT63" i="8"/>
  <c r="BT33" i="8"/>
  <c r="BT72" i="8" s="1"/>
  <c r="BT22" i="8"/>
  <c r="BT53" i="8"/>
  <c r="BT23" i="8"/>
  <c r="BT28" i="8"/>
  <c r="BT26" i="8"/>
  <c r="BT52" i="8"/>
  <c r="BU8" i="8"/>
  <c r="BT50" i="8"/>
  <c r="BS55" i="8"/>
  <c r="BT64" i="8"/>
  <c r="BT67" i="8"/>
  <c r="BT25" i="8"/>
  <c r="BT20" i="8"/>
  <c r="BQ51" i="11"/>
  <c r="BS56" i="11"/>
  <c r="BS51" i="11"/>
  <c r="BS9" i="11"/>
  <c r="BS41" i="11"/>
  <c r="BS12" i="11"/>
  <c r="BR46" i="11"/>
  <c r="BS23" i="11"/>
  <c r="BS57" i="11"/>
  <c r="BS40" i="11"/>
  <c r="BS14" i="11"/>
  <c r="BS42" i="11"/>
  <c r="BS43" i="11"/>
  <c r="BS11" i="11"/>
  <c r="BS17" i="11"/>
  <c r="BS13" i="11"/>
  <c r="BT8" i="11"/>
  <c r="BS18" i="11"/>
  <c r="BR45" i="11"/>
  <c r="BS54" i="11"/>
  <c r="BS16" i="11"/>
  <c r="BS53" i="11"/>
  <c r="BR66" i="11"/>
  <c r="BR86" i="11"/>
  <c r="BH58" i="10"/>
  <c r="BI58" i="10"/>
  <c r="BL90" i="10"/>
  <c r="BS57" i="10"/>
  <c r="BS52" i="10"/>
  <c r="BS9" i="10"/>
  <c r="BS42" i="10"/>
  <c r="BS13" i="10"/>
  <c r="BS24" i="10"/>
  <c r="BS58" i="10"/>
  <c r="BR47" i="10"/>
  <c r="BS54" i="10"/>
  <c r="BT8" i="10"/>
  <c r="BS18" i="10"/>
  <c r="BS55" i="10"/>
  <c r="BS14" i="10"/>
  <c r="BS19" i="10"/>
  <c r="BS15" i="10"/>
  <c r="BS41" i="10"/>
  <c r="BR46" i="10"/>
  <c r="BS17" i="10"/>
  <c r="BS43" i="10"/>
  <c r="BS12" i="10"/>
  <c r="BS44" i="10"/>
  <c r="BH79" i="10"/>
  <c r="BH68" i="10" s="1"/>
  <c r="BI79" i="10"/>
  <c r="BI68" i="10" s="1"/>
  <c r="BJ79" i="10"/>
  <c r="BK90" i="10"/>
  <c r="BF70" i="10"/>
  <c r="CE39" i="10"/>
  <c r="BR87" i="10"/>
  <c r="BR67" i="10"/>
  <c r="BH99" i="10"/>
  <c r="BI99" i="10"/>
  <c r="BJ99" i="10"/>
  <c r="BI90" i="10"/>
  <c r="AW39" i="9"/>
  <c r="AW46" i="9"/>
  <c r="BP21" i="9"/>
  <c r="AX25" i="9"/>
  <c r="AX29" i="9" s="1"/>
  <c r="BK54" i="9"/>
  <c r="BM33" i="9"/>
  <c r="BM35" i="9"/>
  <c r="BM34" i="9"/>
  <c r="BM73" i="9" s="1"/>
  <c r="AU47" i="9"/>
  <c r="BL46" i="9"/>
  <c r="BH98" i="9"/>
  <c r="BH87" i="9" s="1"/>
  <c r="BI98" i="9"/>
  <c r="BI87" i="9" s="1"/>
  <c r="BJ98" i="9"/>
  <c r="BJ87" i="9" s="1"/>
  <c r="BK98" i="9"/>
  <c r="BK87" i="9" s="1"/>
  <c r="BL98" i="9"/>
  <c r="BH78" i="9"/>
  <c r="BH67" i="9" s="1"/>
  <c r="BI78" i="9"/>
  <c r="BI67" i="9" s="1"/>
  <c r="BJ78" i="9"/>
  <c r="BJ67" i="9" s="1"/>
  <c r="BK78" i="9"/>
  <c r="BK67" i="9" s="1"/>
  <c r="BL78" i="9"/>
  <c r="BM78" i="9"/>
  <c r="AV39" i="9"/>
  <c r="AV46" i="9"/>
  <c r="BF92" i="9"/>
  <c r="AY16" i="9"/>
  <c r="AY18" i="9"/>
  <c r="AG13" i="9"/>
  <c r="BL53" i="9"/>
  <c r="BL42" i="9"/>
  <c r="BL76" i="9"/>
  <c r="AZ13" i="9"/>
  <c r="AZ42" i="9"/>
  <c r="BL56" i="9"/>
  <c r="BL57" i="9" s="1"/>
  <c r="BL52" i="9"/>
  <c r="BL54" i="9" s="1"/>
  <c r="CI38" i="9" s="1"/>
  <c r="CI42" i="9" s="1"/>
  <c r="CI31" i="9" s="1"/>
  <c r="CI33" i="9" s="1"/>
  <c r="BL93" i="9"/>
  <c r="BL94" i="9"/>
  <c r="BL95" i="9"/>
  <c r="BL96" i="9"/>
  <c r="BK57" i="9"/>
  <c r="BN25" i="9"/>
  <c r="BN61" i="9"/>
  <c r="BN32" i="9"/>
  <c r="BN62" i="9"/>
  <c r="CE42" i="9"/>
  <c r="AW45" i="9"/>
  <c r="AW43" i="9"/>
  <c r="BO22" i="9"/>
  <c r="BO23" i="9" s="1"/>
  <c r="AW44" i="9"/>
  <c r="BS56" i="9"/>
  <c r="BS51" i="9"/>
  <c r="BS9" i="9"/>
  <c r="BS41" i="9"/>
  <c r="BS12" i="9"/>
  <c r="BS23" i="9"/>
  <c r="BR46" i="9"/>
  <c r="BS53" i="9"/>
  <c r="BS43" i="9"/>
  <c r="BS17" i="9"/>
  <c r="BS54" i="9"/>
  <c r="BS42" i="9"/>
  <c r="BS57" i="9"/>
  <c r="BS11" i="9"/>
  <c r="BS13" i="9"/>
  <c r="BS40" i="9"/>
  <c r="BS18" i="9"/>
  <c r="BT8" i="9"/>
  <c r="BR45" i="9"/>
  <c r="BS14" i="9"/>
  <c r="BS16" i="9"/>
  <c r="BL43" i="9"/>
  <c r="BM45" i="9"/>
  <c r="BM46" i="9" s="1"/>
  <c r="BM28" i="9"/>
  <c r="BM98" i="9" s="1"/>
  <c r="BM41" i="9"/>
  <c r="BM72" i="9"/>
  <c r="BM74" i="9"/>
  <c r="BM75" i="9"/>
  <c r="BM76" i="9"/>
  <c r="BR86" i="9"/>
  <c r="BR66" i="9"/>
  <c r="BL67" i="9"/>
  <c r="BL97" i="9"/>
  <c r="AX26" i="8"/>
  <c r="BP31" i="8"/>
  <c r="BR34" i="8"/>
  <c r="BA10" i="8"/>
  <c r="AZ43" i="8"/>
  <c r="BL42" i="7"/>
  <c r="BL53" i="7"/>
  <c r="AW45" i="7"/>
  <c r="BO22" i="7"/>
  <c r="BO23" i="7" s="1"/>
  <c r="AW43" i="7"/>
  <c r="AW44" i="7"/>
  <c r="BL77" i="7"/>
  <c r="BM45" i="7"/>
  <c r="BM28" i="7"/>
  <c r="BM41" i="7"/>
  <c r="BL43" i="7"/>
  <c r="AY16" i="7"/>
  <c r="AY18" i="7" s="1"/>
  <c r="AG13" i="7"/>
  <c r="BN25" i="7"/>
  <c r="BN62" i="7"/>
  <c r="BN32" i="7"/>
  <c r="BN61" i="7"/>
  <c r="BH98" i="7"/>
  <c r="BH87" i="7" s="1"/>
  <c r="BI98" i="7"/>
  <c r="BJ98" i="7"/>
  <c r="BK98" i="7"/>
  <c r="BL98" i="7"/>
  <c r="BH78" i="7"/>
  <c r="BH67" i="7" s="1"/>
  <c r="BI78" i="7"/>
  <c r="BI67" i="7" s="1"/>
  <c r="BJ78" i="7"/>
  <c r="BJ67" i="7" s="1"/>
  <c r="BK78" i="7"/>
  <c r="BK67" i="7" s="1"/>
  <c r="BL78" i="7"/>
  <c r="BL56" i="7"/>
  <c r="BL52" i="7"/>
  <c r="BL54" i="7" s="1"/>
  <c r="CI38" i="7" s="1"/>
  <c r="CI42" i="7" s="1"/>
  <c r="CI31" i="7" s="1"/>
  <c r="CI33" i="7" s="1"/>
  <c r="BL93" i="7"/>
  <c r="BF93" i="7" s="1"/>
  <c r="BL94" i="7"/>
  <c r="BL95" i="7"/>
  <c r="BL96" i="7"/>
  <c r="BP21" i="7"/>
  <c r="AX25" i="7"/>
  <c r="AX29" i="7" s="1"/>
  <c r="AX31" i="7" s="1"/>
  <c r="BM33" i="7"/>
  <c r="BM34" i="7" s="1"/>
  <c r="BM35" i="7"/>
  <c r="AU47" i="7"/>
  <c r="BL74" i="7"/>
  <c r="BL75" i="7"/>
  <c r="BL72" i="7"/>
  <c r="BL73" i="7"/>
  <c r="AZ13" i="7"/>
  <c r="AZ42" i="7"/>
  <c r="CE38" i="7"/>
  <c r="BI89" i="7"/>
  <c r="BJ89" i="7"/>
  <c r="BJ87" i="7" s="1"/>
  <c r="BL89" i="7"/>
  <c r="BL87" i="7" s="1"/>
  <c r="BK89" i="7"/>
  <c r="BK87" i="7" s="1"/>
  <c r="BS56" i="7"/>
  <c r="BS51" i="7"/>
  <c r="BS9" i="7"/>
  <c r="BS12" i="7"/>
  <c r="BS41" i="7"/>
  <c r="BS23" i="7"/>
  <c r="BS57" i="7"/>
  <c r="BR46" i="7"/>
  <c r="BS11" i="7"/>
  <c r="BT8" i="7"/>
  <c r="BS18" i="7"/>
  <c r="BS53" i="7"/>
  <c r="BS13" i="7"/>
  <c r="BS17" i="7"/>
  <c r="BS16" i="7"/>
  <c r="BR45" i="7"/>
  <c r="BS40" i="7"/>
  <c r="BS42" i="7"/>
  <c r="BS54" i="7"/>
  <c r="BS14" i="7"/>
  <c r="BS43" i="7"/>
  <c r="AW31" i="7"/>
  <c r="BL76" i="7"/>
  <c r="BR66" i="7"/>
  <c r="BR86" i="7"/>
  <c r="BN25" i="11"/>
  <c r="BN61" i="11"/>
  <c r="BN32" i="11"/>
  <c r="BN62" i="11"/>
  <c r="AW39" i="11"/>
  <c r="AW46" i="11"/>
  <c r="BF89" i="11"/>
  <c r="BK87" i="11"/>
  <c r="AV39" i="11"/>
  <c r="AV46" i="11"/>
  <c r="BM33" i="11"/>
  <c r="BM35" i="11"/>
  <c r="BM34" i="11"/>
  <c r="AU47" i="11"/>
  <c r="AY16" i="11"/>
  <c r="AY18" i="11"/>
  <c r="AG13" i="11"/>
  <c r="AZ42" i="11"/>
  <c r="AZ13" i="11"/>
  <c r="CE42" i="11"/>
  <c r="BP21" i="11"/>
  <c r="AX25" i="11"/>
  <c r="AX29" i="11" s="1"/>
  <c r="AX31" i="11" s="1"/>
  <c r="AW45" i="11"/>
  <c r="BO22" i="11"/>
  <c r="BO23" i="11" s="1"/>
  <c r="AW43" i="11"/>
  <c r="AW44" i="11"/>
  <c r="BL42" i="11"/>
  <c r="BL43" i="11" s="1"/>
  <c r="BL53" i="11"/>
  <c r="BL78" i="11"/>
  <c r="BM45" i="11"/>
  <c r="BM28" i="11"/>
  <c r="BM41" i="11"/>
  <c r="BM72" i="11"/>
  <c r="BM73" i="11"/>
  <c r="BM74" i="11"/>
  <c r="BM75" i="11"/>
  <c r="BL56" i="11"/>
  <c r="BL52" i="11"/>
  <c r="BL93" i="11"/>
  <c r="BL94" i="11"/>
  <c r="BL95" i="11"/>
  <c r="BL96" i="11"/>
  <c r="BL97" i="11"/>
  <c r="BL98" i="11"/>
  <c r="CM30" i="4"/>
  <c r="CM29" i="4"/>
  <c r="CM21" i="4"/>
  <c r="CM24" i="4" s="1"/>
  <c r="CA30" i="4"/>
  <c r="AL47" i="4"/>
  <c r="BH33" i="4"/>
  <c r="BH34" i="4" s="1"/>
  <c r="BH53" i="4" s="1"/>
  <c r="AO47" i="4"/>
  <c r="BP13" i="4"/>
  <c r="BP12" i="4"/>
  <c r="BP11" i="4"/>
  <c r="BH42" i="4"/>
  <c r="BN24" i="4"/>
  <c r="BP88" i="4"/>
  <c r="BP68" i="4"/>
  <c r="BI32" i="4"/>
  <c r="AQ47" i="4" s="1"/>
  <c r="BI63" i="4"/>
  <c r="BI64" i="4"/>
  <c r="BN40" i="4"/>
  <c r="AR31" i="4"/>
  <c r="AR39" i="4" s="1"/>
  <c r="AW42" i="4"/>
  <c r="AW37" i="4"/>
  <c r="AT18" i="4"/>
  <c r="AT25" i="4" s="1"/>
  <c r="AR45" i="4"/>
  <c r="AR44" i="4"/>
  <c r="AS29" i="4"/>
  <c r="AS43" i="4" s="1"/>
  <c r="BK21" i="4"/>
  <c r="BJ22" i="4"/>
  <c r="AX9" i="4"/>
  <c r="AY15" i="4" s="1"/>
  <c r="BO14" i="4"/>
  <c r="AF12" i="4"/>
  <c r="AU13" i="4"/>
  <c r="AU16" i="4" s="1"/>
  <c r="BP9" i="4"/>
  <c r="BQ8" i="4"/>
  <c r="BQ9" i="4" s="1"/>
  <c r="BJ23" i="4" l="1"/>
  <c r="BJ64" i="4" s="1"/>
  <c r="BJ77" i="8"/>
  <c r="BJ64" i="8"/>
  <c r="CG48" i="8" s="1"/>
  <c r="CG52" i="8" s="1"/>
  <c r="CG41" i="8" s="1"/>
  <c r="CG43" i="8" s="1"/>
  <c r="BL55" i="8"/>
  <c r="BL38" i="8"/>
  <c r="BL51" i="8"/>
  <c r="BL45" i="8"/>
  <c r="BL43" i="8"/>
  <c r="BL44" i="8" s="1"/>
  <c r="AT48" i="8"/>
  <c r="AV46" i="8"/>
  <c r="BN32" i="8"/>
  <c r="BN33" i="8" s="1"/>
  <c r="AV44" i="8"/>
  <c r="AV45" i="8"/>
  <c r="AV32" i="8"/>
  <c r="AZ29" i="8"/>
  <c r="AZ30" i="8" s="1"/>
  <c r="AY11" i="8"/>
  <c r="AY13" i="8" s="1"/>
  <c r="AW26" i="8"/>
  <c r="BO31" i="8"/>
  <c r="BM72" i="8"/>
  <c r="BM71" i="8"/>
  <c r="BM42" i="8"/>
  <c r="BM35" i="8"/>
  <c r="AU40" i="8"/>
  <c r="AU47" i="8"/>
  <c r="BK62" i="8"/>
  <c r="BK66" i="8"/>
  <c r="BK101" i="8"/>
  <c r="BK102" i="8"/>
  <c r="BK103" i="8"/>
  <c r="BK104" i="8"/>
  <c r="BK105" i="8"/>
  <c r="BK106" i="8"/>
  <c r="BK107" i="8"/>
  <c r="BK108" i="8"/>
  <c r="BK85" i="8"/>
  <c r="BK87" i="8"/>
  <c r="BK63" i="8"/>
  <c r="BK52" i="8"/>
  <c r="BK53" i="8" s="1"/>
  <c r="BK88" i="8"/>
  <c r="BK83" i="8"/>
  <c r="BK80" i="8"/>
  <c r="BK84" i="8"/>
  <c r="BK81" i="8"/>
  <c r="BK86" i="8"/>
  <c r="BK82" i="8"/>
  <c r="BJ97" i="10"/>
  <c r="BJ57" i="10"/>
  <c r="BJ58" i="10" s="1"/>
  <c r="BJ53" i="10"/>
  <c r="BJ92" i="10"/>
  <c r="BJ93" i="10"/>
  <c r="BJ94" i="10"/>
  <c r="BJ95" i="10"/>
  <c r="BJ96" i="10"/>
  <c r="BJ98" i="10"/>
  <c r="BJ43" i="10"/>
  <c r="BJ44" i="10" s="1"/>
  <c r="BJ54" i="10"/>
  <c r="BJ76" i="10"/>
  <c r="BJ71" i="10"/>
  <c r="BJ72" i="10"/>
  <c r="BJ77" i="10"/>
  <c r="BJ73" i="10"/>
  <c r="BJ74" i="10"/>
  <c r="BJ75" i="10"/>
  <c r="BJ78" i="10"/>
  <c r="AT40" i="10"/>
  <c r="AT47" i="10"/>
  <c r="BL23" i="10"/>
  <c r="BL24" i="10" s="1"/>
  <c r="AT46" i="10"/>
  <c r="AT44" i="10"/>
  <c r="AT45" i="10"/>
  <c r="BN22" i="10"/>
  <c r="AV26" i="10"/>
  <c r="AV30" i="10" s="1"/>
  <c r="AX10" i="10"/>
  <c r="AW14" i="10"/>
  <c r="AW43" i="10"/>
  <c r="BM22" i="10"/>
  <c r="AU26" i="10"/>
  <c r="AU30" i="10" s="1"/>
  <c r="BK63" i="10"/>
  <c r="BK26" i="10"/>
  <c r="BK62" i="10"/>
  <c r="BK33" i="10"/>
  <c r="BF72" i="10"/>
  <c r="BF71" i="10"/>
  <c r="BI55" i="10"/>
  <c r="CF39" i="10" s="1"/>
  <c r="CF43" i="10" s="1"/>
  <c r="CF32" i="10" s="1"/>
  <c r="CF34" i="10" s="1"/>
  <c r="BF93" i="11"/>
  <c r="BL87" i="11"/>
  <c r="BE99" i="11"/>
  <c r="BF99" i="11" s="1"/>
  <c r="BR87" i="11"/>
  <c r="BR67" i="11"/>
  <c r="BE79" i="11"/>
  <c r="BF79" i="11" s="1"/>
  <c r="BT9" i="11"/>
  <c r="BT41" i="11"/>
  <c r="BT12" i="11"/>
  <c r="BT23" i="11"/>
  <c r="BT57" i="11"/>
  <c r="BS46" i="11"/>
  <c r="BT51" i="11"/>
  <c r="BT43" i="11"/>
  <c r="BS28" i="11"/>
  <c r="BS52" i="11" s="1"/>
  <c r="BS26" i="11"/>
  <c r="BS25" i="11"/>
  <c r="BS24" i="11"/>
  <c r="BU8" i="11"/>
  <c r="BT56" i="11"/>
  <c r="BT11" i="11"/>
  <c r="BT13" i="11"/>
  <c r="BT18" i="11"/>
  <c r="BT53" i="11"/>
  <c r="BT17" i="11"/>
  <c r="BT54" i="11"/>
  <c r="BT42" i="11"/>
  <c r="BS45" i="11"/>
  <c r="BT14" i="11"/>
  <c r="BT40" i="11"/>
  <c r="BT16" i="11"/>
  <c r="BS66" i="11"/>
  <c r="BS86" i="11"/>
  <c r="BS61" i="11"/>
  <c r="BS62" i="11"/>
  <c r="BU9" i="8"/>
  <c r="BU51" i="8"/>
  <c r="BU21" i="8"/>
  <c r="BU63" i="8"/>
  <c r="BU25" i="8"/>
  <c r="BV8" i="8"/>
  <c r="BU33" i="8"/>
  <c r="BU72" i="8" s="1"/>
  <c r="BT56" i="8"/>
  <c r="BU53" i="8"/>
  <c r="BU23" i="8"/>
  <c r="BT34" i="8"/>
  <c r="BU28" i="8"/>
  <c r="BU26" i="8"/>
  <c r="BU50" i="8"/>
  <c r="BU52" i="8"/>
  <c r="BU61" i="8"/>
  <c r="BU66" i="8"/>
  <c r="BU22" i="8"/>
  <c r="BT38" i="8"/>
  <c r="BT62" i="8" s="1"/>
  <c r="BT55" i="8"/>
  <c r="BU64" i="8"/>
  <c r="BT35" i="8"/>
  <c r="BU20" i="8"/>
  <c r="BT36" i="8"/>
  <c r="BT71" i="8" s="1"/>
  <c r="BU67" i="8"/>
  <c r="BT96" i="8"/>
  <c r="BT76" i="8"/>
  <c r="BF109" i="8"/>
  <c r="BG109" i="8" s="1"/>
  <c r="BS97" i="8"/>
  <c r="BS77" i="8"/>
  <c r="BF89" i="8"/>
  <c r="BG89" i="8" s="1"/>
  <c r="CE43" i="10"/>
  <c r="BF90" i="10"/>
  <c r="BT9" i="10"/>
  <c r="BT42" i="10"/>
  <c r="BT13" i="10"/>
  <c r="BT24" i="10"/>
  <c r="BT58" i="10"/>
  <c r="BS47" i="10"/>
  <c r="BT54" i="10"/>
  <c r="BT17" i="10"/>
  <c r="BU8" i="10"/>
  <c r="BT55" i="10"/>
  <c r="BS25" i="10"/>
  <c r="BT19" i="10"/>
  <c r="BT41" i="10"/>
  <c r="BS26" i="10"/>
  <c r="BS27" i="10"/>
  <c r="BT14" i="10"/>
  <c r="BT57" i="10"/>
  <c r="BS29" i="10"/>
  <c r="BS53" i="10" s="1"/>
  <c r="BT15" i="10"/>
  <c r="BT43" i="10"/>
  <c r="BS46" i="10"/>
  <c r="BT52" i="10"/>
  <c r="BT12" i="10"/>
  <c r="BT18" i="10"/>
  <c r="BT44" i="10"/>
  <c r="BH88" i="10"/>
  <c r="BR68" i="10"/>
  <c r="BE80" i="10"/>
  <c r="BF80" i="10" s="1"/>
  <c r="BS87" i="10"/>
  <c r="BS67" i="10"/>
  <c r="BE100" i="10"/>
  <c r="BF100" i="10" s="1"/>
  <c r="BR88" i="10"/>
  <c r="BS62" i="10"/>
  <c r="BS63" i="10"/>
  <c r="BI88" i="10"/>
  <c r="BT9" i="9"/>
  <c r="BT41" i="9"/>
  <c r="BT12" i="9"/>
  <c r="BT57" i="9"/>
  <c r="BT23" i="9"/>
  <c r="BT53" i="9"/>
  <c r="BT16" i="9"/>
  <c r="BU8" i="9"/>
  <c r="BT54" i="9"/>
  <c r="BT42" i="9"/>
  <c r="BS46" i="9"/>
  <c r="BT11" i="9"/>
  <c r="BT17" i="9"/>
  <c r="BT13" i="9"/>
  <c r="BT56" i="9"/>
  <c r="BT40" i="9"/>
  <c r="BT18" i="9"/>
  <c r="BT51" i="9"/>
  <c r="BS26" i="9"/>
  <c r="BS61" i="9" s="1"/>
  <c r="BS24" i="9"/>
  <c r="BT14" i="9"/>
  <c r="BS28" i="9"/>
  <c r="BS52" i="9" s="1"/>
  <c r="BT43" i="9"/>
  <c r="BS25" i="9"/>
  <c r="BS45" i="9"/>
  <c r="BN35" i="9"/>
  <c r="BN33" i="9"/>
  <c r="BN34" i="9"/>
  <c r="BN74" i="9" s="1"/>
  <c r="AV47" i="9"/>
  <c r="CE31" i="9"/>
  <c r="BE99" i="9"/>
  <c r="BR87" i="9"/>
  <c r="BO25" i="9"/>
  <c r="BO61" i="9"/>
  <c r="BO32" i="9"/>
  <c r="BO62" i="9"/>
  <c r="BN45" i="9"/>
  <c r="BN41" i="9"/>
  <c r="BN28" i="9"/>
  <c r="BS62" i="9"/>
  <c r="BL87" i="9"/>
  <c r="CH38" i="9"/>
  <c r="AX43" i="9"/>
  <c r="AX45" i="9"/>
  <c r="BP22" i="9"/>
  <c r="BP23" i="9" s="1"/>
  <c r="AX44" i="9"/>
  <c r="BM42" i="9"/>
  <c r="BM43" i="9" s="1"/>
  <c r="BM53" i="9"/>
  <c r="BM77" i="9"/>
  <c r="BM67" i="9" s="1"/>
  <c r="BF93" i="9"/>
  <c r="BQ21" i="9"/>
  <c r="AY25" i="9"/>
  <c r="AY29" i="9" s="1"/>
  <c r="BS86" i="9"/>
  <c r="BS66" i="9"/>
  <c r="BR67" i="9"/>
  <c r="BE79" i="9"/>
  <c r="BM56" i="9"/>
  <c r="BM52" i="9"/>
  <c r="BM54" i="9" s="1"/>
  <c r="CJ38" i="9" s="1"/>
  <c r="CJ42" i="9" s="1"/>
  <c r="CJ31" i="9" s="1"/>
  <c r="CJ33" i="9" s="1"/>
  <c r="BM94" i="9"/>
  <c r="BM95" i="9"/>
  <c r="BM96" i="9"/>
  <c r="BM97" i="9"/>
  <c r="AX31" i="9"/>
  <c r="AZ16" i="9"/>
  <c r="AZ18" i="9"/>
  <c r="BA43" i="8"/>
  <c r="AX46" i="8"/>
  <c r="AX44" i="8"/>
  <c r="BP32" i="8"/>
  <c r="BP33" i="8" s="1"/>
  <c r="AX45" i="8"/>
  <c r="AX32" i="8"/>
  <c r="BQ21" i="7"/>
  <c r="AY25" i="7"/>
  <c r="AY29" i="7" s="1"/>
  <c r="AG18" i="7"/>
  <c r="BM53" i="7"/>
  <c r="BM42" i="7"/>
  <c r="BM77" i="7"/>
  <c r="BM72" i="7"/>
  <c r="BM78" i="7"/>
  <c r="BM74" i="7"/>
  <c r="BM75" i="7"/>
  <c r="BM73" i="7"/>
  <c r="BM76" i="7"/>
  <c r="BM98" i="7"/>
  <c r="AX39" i="7"/>
  <c r="AX46" i="7"/>
  <c r="BO25" i="7"/>
  <c r="BO61" i="7"/>
  <c r="BO32" i="7"/>
  <c r="BO62" i="7"/>
  <c r="BI87" i="7"/>
  <c r="BF89" i="7"/>
  <c r="AW39" i="7"/>
  <c r="AW46" i="7"/>
  <c r="BT9" i="7"/>
  <c r="BT41" i="7"/>
  <c r="BT12" i="7"/>
  <c r="BS46" i="7"/>
  <c r="BT23" i="7"/>
  <c r="BT57" i="7"/>
  <c r="BT16" i="7"/>
  <c r="BT53" i="7"/>
  <c r="BT56" i="7"/>
  <c r="BT11" i="7"/>
  <c r="BS24" i="7"/>
  <c r="BS28" i="7"/>
  <c r="BS52" i="7" s="1"/>
  <c r="BT18" i="7"/>
  <c r="BS45" i="7"/>
  <c r="BT43" i="7"/>
  <c r="BT13" i="7"/>
  <c r="BT17" i="7"/>
  <c r="BT42" i="7"/>
  <c r="BT51" i="7"/>
  <c r="BS25" i="7"/>
  <c r="BU8" i="7"/>
  <c r="BS26" i="7"/>
  <c r="BT54" i="7"/>
  <c r="BT14" i="7"/>
  <c r="BT40" i="7"/>
  <c r="BL57" i="7"/>
  <c r="BN33" i="7"/>
  <c r="BN35" i="7"/>
  <c r="BN34" i="7"/>
  <c r="BN76" i="7" s="1"/>
  <c r="AV47" i="7"/>
  <c r="AX45" i="7"/>
  <c r="BP22" i="7"/>
  <c r="BP23" i="7" s="1"/>
  <c r="AX43" i="7"/>
  <c r="AX44" i="7"/>
  <c r="BM56" i="7"/>
  <c r="BM52" i="7"/>
  <c r="BM94" i="7"/>
  <c r="BM95" i="7"/>
  <c r="BM96" i="7"/>
  <c r="BM97" i="7"/>
  <c r="BS61" i="7"/>
  <c r="BS62" i="7"/>
  <c r="BN41" i="7"/>
  <c r="BN28" i="7"/>
  <c r="BN45" i="7"/>
  <c r="BN77" i="7"/>
  <c r="BM46" i="7"/>
  <c r="CE42" i="7"/>
  <c r="AZ16" i="7"/>
  <c r="AZ18" i="7"/>
  <c r="BL67" i="7"/>
  <c r="BS86" i="7"/>
  <c r="BS66" i="7"/>
  <c r="BM43" i="7"/>
  <c r="BE99" i="7"/>
  <c r="BF99" i="7" s="1"/>
  <c r="BR87" i="7"/>
  <c r="BR67" i="7"/>
  <c r="BE79" i="7"/>
  <c r="BF79" i="7" s="1"/>
  <c r="BO25" i="11"/>
  <c r="BO61" i="11"/>
  <c r="BO32" i="11"/>
  <c r="BO62" i="11"/>
  <c r="AX39" i="11"/>
  <c r="AX46" i="11"/>
  <c r="BN35" i="11"/>
  <c r="BN33" i="11"/>
  <c r="BN34" i="11"/>
  <c r="BN75" i="11" s="1"/>
  <c r="AV47" i="11"/>
  <c r="BM53" i="11"/>
  <c r="BM42" i="11"/>
  <c r="BM43" i="11"/>
  <c r="BN41" i="11"/>
  <c r="BN28" i="11"/>
  <c r="BN45" i="11"/>
  <c r="BN46" i="11" s="1"/>
  <c r="BN72" i="11"/>
  <c r="BM46" i="11"/>
  <c r="BQ21" i="11"/>
  <c r="AY25" i="11"/>
  <c r="AY29" i="11" s="1"/>
  <c r="AG18" i="11"/>
  <c r="BL67" i="11"/>
  <c r="AZ16" i="11"/>
  <c r="AZ18" i="11"/>
  <c r="BM56" i="11"/>
  <c r="BM52" i="11"/>
  <c r="BM94" i="11"/>
  <c r="BM95" i="11"/>
  <c r="BM96" i="11"/>
  <c r="BM97" i="11"/>
  <c r="BM98" i="11"/>
  <c r="BL57" i="11"/>
  <c r="BM57" i="11"/>
  <c r="BP22" i="11"/>
  <c r="BP23" i="11" s="1"/>
  <c r="AX45" i="11"/>
  <c r="AX43" i="11"/>
  <c r="AX44" i="11"/>
  <c r="BL54" i="11"/>
  <c r="BM78" i="11"/>
  <c r="BM77" i="11"/>
  <c r="BM76" i="11"/>
  <c r="BM67" i="11" s="1"/>
  <c r="CE31" i="11"/>
  <c r="AR46" i="4"/>
  <c r="BI33" i="4"/>
  <c r="BI34" i="4"/>
  <c r="BI53" i="4" s="1"/>
  <c r="BO24" i="4"/>
  <c r="BQ11" i="4"/>
  <c r="BJ63" i="4"/>
  <c r="BO40" i="4"/>
  <c r="AS31" i="4"/>
  <c r="AS46" i="4" s="1"/>
  <c r="AX42" i="4"/>
  <c r="AY42" i="4"/>
  <c r="BJ25" i="4"/>
  <c r="BJ32" i="4"/>
  <c r="BH35" i="4"/>
  <c r="AX37" i="4"/>
  <c r="AU18" i="4"/>
  <c r="AU25" i="4" s="1"/>
  <c r="AS45" i="4"/>
  <c r="AS44" i="4"/>
  <c r="AT29" i="4"/>
  <c r="AT43" i="4" s="1"/>
  <c r="BL21" i="4"/>
  <c r="BK22" i="4"/>
  <c r="BK23" i="4" s="1"/>
  <c r="AY9" i="4"/>
  <c r="BP14" i="4"/>
  <c r="AV13" i="4"/>
  <c r="AV16" i="4" s="1"/>
  <c r="BQ42" i="4"/>
  <c r="BQ13" i="4"/>
  <c r="BQ12" i="4"/>
  <c r="BQ14" i="4" s="1"/>
  <c r="BQ40" i="4" s="1"/>
  <c r="BR8" i="4"/>
  <c r="BQ41" i="4"/>
  <c r="BQ16" i="4"/>
  <c r="BK77" i="8" l="1"/>
  <c r="BK64" i="8"/>
  <c r="CH48" i="8" s="1"/>
  <c r="CH52" i="8" s="1"/>
  <c r="CH41" i="8" s="1"/>
  <c r="CH43" i="8" s="1"/>
  <c r="BM55" i="8"/>
  <c r="BM38" i="8"/>
  <c r="BM51" i="8"/>
  <c r="BM45" i="8"/>
  <c r="BM43" i="8"/>
  <c r="BM44" i="8"/>
  <c r="AU48" i="8"/>
  <c r="AW32" i="8"/>
  <c r="BO32" i="8"/>
  <c r="BO33" i="8" s="1"/>
  <c r="AW46" i="8"/>
  <c r="AW44" i="8"/>
  <c r="AW45" i="8"/>
  <c r="AY15" i="8"/>
  <c r="AY17" i="8"/>
  <c r="BA29" i="8"/>
  <c r="AZ11" i="8"/>
  <c r="AV40" i="8"/>
  <c r="AV47" i="8"/>
  <c r="BN35" i="8"/>
  <c r="BN72" i="8"/>
  <c r="BN71" i="8"/>
  <c r="BN42" i="8"/>
  <c r="BL52" i="8"/>
  <c r="BL63" i="8"/>
  <c r="BL82" i="8"/>
  <c r="BL84" i="8"/>
  <c r="BL85" i="8"/>
  <c r="BL83" i="8"/>
  <c r="BL86" i="8"/>
  <c r="BL87" i="8"/>
  <c r="BL88" i="8"/>
  <c r="BL53" i="8"/>
  <c r="BL66" i="8"/>
  <c r="BL62" i="8"/>
  <c r="BL64" i="8" s="1"/>
  <c r="CI48" i="8" s="1"/>
  <c r="CI52" i="8" s="1"/>
  <c r="CI41" i="8" s="1"/>
  <c r="CI43" i="8" s="1"/>
  <c r="BL102" i="8"/>
  <c r="BL103" i="8"/>
  <c r="BL104" i="8"/>
  <c r="BL105" i="8"/>
  <c r="BL106" i="8"/>
  <c r="BL107" i="8"/>
  <c r="BL108" i="8"/>
  <c r="BK36" i="10"/>
  <c r="BK34" i="10"/>
  <c r="BK35" i="10"/>
  <c r="AS48" i="10"/>
  <c r="BK46" i="10"/>
  <c r="BK29" i="10"/>
  <c r="BK42" i="10"/>
  <c r="BK77" i="10"/>
  <c r="BK78" i="10"/>
  <c r="BK75" i="10"/>
  <c r="BK74" i="10"/>
  <c r="BK76" i="10"/>
  <c r="BK73" i="10"/>
  <c r="BK79" i="10"/>
  <c r="AU32" i="10"/>
  <c r="AU46" i="10"/>
  <c r="BM23" i="10"/>
  <c r="BM24" i="10" s="1"/>
  <c r="AU44" i="10"/>
  <c r="AU45" i="10"/>
  <c r="AW17" i="10"/>
  <c r="AW19" i="10"/>
  <c r="AY10" i="10"/>
  <c r="AX14" i="10"/>
  <c r="AX43" i="10"/>
  <c r="BN23" i="10"/>
  <c r="AV46" i="10"/>
  <c r="AV44" i="10"/>
  <c r="AV45" i="10"/>
  <c r="AV32" i="10"/>
  <c r="BN24" i="10"/>
  <c r="BL63" i="10"/>
  <c r="BL26" i="10"/>
  <c r="BL62" i="10"/>
  <c r="BL33" i="10"/>
  <c r="BJ68" i="10"/>
  <c r="BF92" i="10"/>
  <c r="BJ88" i="10"/>
  <c r="BJ55" i="10"/>
  <c r="CG39" i="10" s="1"/>
  <c r="CG43" i="10" s="1"/>
  <c r="CG32" i="10" s="1"/>
  <c r="CG34" i="10" s="1"/>
  <c r="BF90" i="8"/>
  <c r="BG90" i="8" s="1"/>
  <c r="BT77" i="8"/>
  <c r="BT97" i="8"/>
  <c r="BF110" i="8"/>
  <c r="BG110" i="8" s="1"/>
  <c r="BU96" i="8"/>
  <c r="BU76" i="8"/>
  <c r="BV51" i="8"/>
  <c r="BV21" i="8"/>
  <c r="BV67" i="8"/>
  <c r="BV33" i="8"/>
  <c r="BV63" i="8"/>
  <c r="BV25" i="8"/>
  <c r="BW8" i="8"/>
  <c r="BV26" i="8"/>
  <c r="BU56" i="8"/>
  <c r="BV53" i="8"/>
  <c r="BV23" i="8"/>
  <c r="BU34" i="8"/>
  <c r="BV28" i="8"/>
  <c r="BV52" i="8"/>
  <c r="BV50" i="8"/>
  <c r="BV20" i="8"/>
  <c r="BV61" i="8"/>
  <c r="BV66" i="8"/>
  <c r="BV22" i="8"/>
  <c r="BV9" i="8"/>
  <c r="BU36" i="8"/>
  <c r="BU71" i="8" s="1"/>
  <c r="BU55" i="8"/>
  <c r="BV64" i="8"/>
  <c r="BU35" i="8"/>
  <c r="BS87" i="11"/>
  <c r="BE100" i="11"/>
  <c r="BF100" i="11" s="1"/>
  <c r="BE80" i="11"/>
  <c r="BF80" i="11" s="1"/>
  <c r="BS67" i="11"/>
  <c r="BT86" i="11"/>
  <c r="BT66" i="11"/>
  <c r="BU41" i="11"/>
  <c r="BU12" i="11"/>
  <c r="BU53" i="11"/>
  <c r="BU16" i="11"/>
  <c r="BT46" i="11"/>
  <c r="BU23" i="11"/>
  <c r="BU57" i="11"/>
  <c r="BU9" i="11"/>
  <c r="BT26" i="11"/>
  <c r="BT25" i="11"/>
  <c r="BT24" i="11"/>
  <c r="BU43" i="11"/>
  <c r="BU56" i="11"/>
  <c r="BU11" i="11"/>
  <c r="BU13" i="11"/>
  <c r="BV8" i="11"/>
  <c r="BU17" i="11"/>
  <c r="BU18" i="11"/>
  <c r="BU42" i="11"/>
  <c r="BT45" i="11"/>
  <c r="BU54" i="11"/>
  <c r="BU51" i="11"/>
  <c r="BU40" i="11"/>
  <c r="BU14" i="11"/>
  <c r="BT61" i="11"/>
  <c r="BT62" i="11"/>
  <c r="BT63" i="10"/>
  <c r="CE32" i="10"/>
  <c r="BE81" i="10"/>
  <c r="BF81" i="10" s="1"/>
  <c r="BS68" i="10"/>
  <c r="BS88" i="10"/>
  <c r="BE101" i="10"/>
  <c r="BF101" i="10" s="1"/>
  <c r="BT87" i="10"/>
  <c r="BT67" i="10"/>
  <c r="BU42" i="10"/>
  <c r="BU13" i="10"/>
  <c r="BU24" i="10"/>
  <c r="BU58" i="10"/>
  <c r="BT47" i="10"/>
  <c r="BU54" i="10"/>
  <c r="BU17" i="10"/>
  <c r="BV8" i="10"/>
  <c r="BU18" i="10"/>
  <c r="BU55" i="10"/>
  <c r="BT25" i="10"/>
  <c r="BU19" i="10"/>
  <c r="BT26" i="10"/>
  <c r="BU41" i="10"/>
  <c r="BT27" i="10"/>
  <c r="BT62" i="10" s="1"/>
  <c r="BU57" i="10"/>
  <c r="BU15" i="10"/>
  <c r="BU43" i="10"/>
  <c r="BU52" i="10"/>
  <c r="BU12" i="10"/>
  <c r="BU44" i="10"/>
  <c r="BU14" i="10"/>
  <c r="BT46" i="10"/>
  <c r="BU9" i="10"/>
  <c r="BP25" i="9"/>
  <c r="BP61" i="9"/>
  <c r="BP32" i="9"/>
  <c r="BP62" i="9"/>
  <c r="BM87" i="9"/>
  <c r="BF94" i="9"/>
  <c r="BM57" i="9"/>
  <c r="CE33" i="9"/>
  <c r="BN77" i="9"/>
  <c r="BN75" i="9"/>
  <c r="BQ22" i="9"/>
  <c r="BQ23" i="9" s="1"/>
  <c r="AY43" i="9"/>
  <c r="AY45" i="9"/>
  <c r="AG29" i="9"/>
  <c r="AY44" i="9"/>
  <c r="BR21" i="9"/>
  <c r="AZ25" i="9"/>
  <c r="AZ29" i="9" s="1"/>
  <c r="BN73" i="9"/>
  <c r="CH42" i="9"/>
  <c r="BE100" i="9"/>
  <c r="BS87" i="9"/>
  <c r="BT62" i="9"/>
  <c r="AY31" i="9"/>
  <c r="BO45" i="9"/>
  <c r="BO46" i="9" s="1"/>
  <c r="BO41" i="9"/>
  <c r="BO28" i="9"/>
  <c r="BU41" i="9"/>
  <c r="BU12" i="9"/>
  <c r="BU23" i="9"/>
  <c r="BU57" i="9"/>
  <c r="BU53" i="9"/>
  <c r="BU16" i="9"/>
  <c r="BV8" i="9"/>
  <c r="BU17" i="9"/>
  <c r="BT46" i="9"/>
  <c r="BU11" i="9"/>
  <c r="BU13" i="9"/>
  <c r="BU40" i="9"/>
  <c r="BU18" i="9"/>
  <c r="BU56" i="9"/>
  <c r="BU51" i="9"/>
  <c r="BU9" i="9"/>
  <c r="BT25" i="9"/>
  <c r="BT26" i="9"/>
  <c r="BT61" i="9" s="1"/>
  <c r="BT24" i="9"/>
  <c r="BU54" i="9"/>
  <c r="BU14" i="9"/>
  <c r="BU43" i="9"/>
  <c r="BU42" i="9"/>
  <c r="BT45" i="9"/>
  <c r="BN42" i="9"/>
  <c r="BN43" i="9" s="1"/>
  <c r="BN53" i="9"/>
  <c r="AX39" i="9"/>
  <c r="AX46" i="9"/>
  <c r="BN72" i="9"/>
  <c r="BN46" i="9"/>
  <c r="BO33" i="9"/>
  <c r="BO34" i="9"/>
  <c r="BO35" i="9"/>
  <c r="AW47" i="9"/>
  <c r="BT86" i="9"/>
  <c r="BT66" i="9"/>
  <c r="BE80" i="9"/>
  <c r="BS67" i="9"/>
  <c r="BN78" i="9"/>
  <c r="BN76" i="9"/>
  <c r="BN56" i="9"/>
  <c r="BN57" i="9" s="1"/>
  <c r="BN52" i="9"/>
  <c r="BN95" i="9"/>
  <c r="BN96" i="9"/>
  <c r="BN97" i="9"/>
  <c r="BN98" i="9"/>
  <c r="BP35" i="8"/>
  <c r="BP72" i="8"/>
  <c r="BP71" i="8"/>
  <c r="BP42" i="8"/>
  <c r="AX40" i="8"/>
  <c r="AX47" i="8"/>
  <c r="BA15" i="8"/>
  <c r="BA17" i="8"/>
  <c r="BP25" i="7"/>
  <c r="BP61" i="7"/>
  <c r="BP32" i="7"/>
  <c r="BP62" i="7"/>
  <c r="BN75" i="7"/>
  <c r="BN46" i="7"/>
  <c r="BT86" i="7"/>
  <c r="BT66" i="7"/>
  <c r="BS87" i="7"/>
  <c r="BE100" i="7"/>
  <c r="BF100" i="7" s="1"/>
  <c r="BT62" i="7"/>
  <c r="BN53" i="7"/>
  <c r="BN42" i="7"/>
  <c r="BN43" i="7" s="1"/>
  <c r="BN74" i="7"/>
  <c r="BO41" i="7"/>
  <c r="BO28" i="7"/>
  <c r="BO45" i="7"/>
  <c r="BO46" i="7" s="1"/>
  <c r="BN73" i="7"/>
  <c r="BN72" i="7"/>
  <c r="BE80" i="7"/>
  <c r="BF80" i="7" s="1"/>
  <c r="BS67" i="7"/>
  <c r="BN56" i="7"/>
  <c r="BN52" i="7"/>
  <c r="BN95" i="7"/>
  <c r="BN96" i="7"/>
  <c r="BN97" i="7"/>
  <c r="BN98" i="7"/>
  <c r="BU41" i="7"/>
  <c r="BU12" i="7"/>
  <c r="BU23" i="7"/>
  <c r="BU57" i="7"/>
  <c r="BT46" i="7"/>
  <c r="BU53" i="7"/>
  <c r="BU16" i="7"/>
  <c r="BV8" i="7"/>
  <c r="BU17" i="7"/>
  <c r="BU11" i="7"/>
  <c r="BT25" i="7"/>
  <c r="BU42" i="7"/>
  <c r="BU56" i="7"/>
  <c r="BU13" i="7"/>
  <c r="BU18" i="7"/>
  <c r="BT45" i="7"/>
  <c r="BU43" i="7"/>
  <c r="BU9" i="7"/>
  <c r="BU51" i="7"/>
  <c r="BT24" i="7"/>
  <c r="BT26" i="7"/>
  <c r="BT61" i="7" s="1"/>
  <c r="BU54" i="7"/>
  <c r="BU14" i="7"/>
  <c r="BU40" i="7"/>
  <c r="BQ22" i="7"/>
  <c r="AY45" i="7"/>
  <c r="AY43" i="7"/>
  <c r="AG29" i="7"/>
  <c r="AY44" i="7"/>
  <c r="BM57" i="7"/>
  <c r="BQ23" i="7"/>
  <c r="BO35" i="7"/>
  <c r="BO33" i="7"/>
  <c r="BO34" i="7"/>
  <c r="BO78" i="7" s="1"/>
  <c r="AW47" i="7"/>
  <c r="BM67" i="7"/>
  <c r="BN78" i="7"/>
  <c r="BR21" i="7"/>
  <c r="AZ25" i="7"/>
  <c r="AZ29" i="7" s="1"/>
  <c r="AZ31" i="7" s="1"/>
  <c r="CE31" i="7"/>
  <c r="BM87" i="7"/>
  <c r="BF94" i="7"/>
  <c r="BM54" i="7"/>
  <c r="AY31" i="7"/>
  <c r="AY45" i="11"/>
  <c r="BQ22" i="11"/>
  <c r="BQ23" i="11" s="1"/>
  <c r="AY43" i="11"/>
  <c r="AG29" i="11"/>
  <c r="AY44" i="11"/>
  <c r="CI38" i="11"/>
  <c r="BN78" i="11"/>
  <c r="BN52" i="11"/>
  <c r="BN56" i="11"/>
  <c r="BN95" i="11"/>
  <c r="BN96" i="11"/>
  <c r="BN97" i="11"/>
  <c r="BN98" i="11"/>
  <c r="BM87" i="11"/>
  <c r="BF94" i="11"/>
  <c r="BN77" i="11"/>
  <c r="BP25" i="11"/>
  <c r="BP61" i="11"/>
  <c r="BP32" i="11"/>
  <c r="BP62" i="11"/>
  <c r="BR21" i="11"/>
  <c r="AZ25" i="11"/>
  <c r="AZ29" i="11" s="1"/>
  <c r="AZ31" i="11" s="1"/>
  <c r="AY31" i="11"/>
  <c r="BO33" i="11"/>
  <c r="BO35" i="11"/>
  <c r="BO34" i="11"/>
  <c r="BO74" i="11" s="1"/>
  <c r="AW47" i="11"/>
  <c r="BN42" i="11"/>
  <c r="BN43" i="11" s="1"/>
  <c r="BN53" i="11"/>
  <c r="BM54" i="11"/>
  <c r="CJ38" i="11" s="1"/>
  <c r="CJ42" i="11" s="1"/>
  <c r="CJ31" i="11" s="1"/>
  <c r="CJ33" i="11" s="1"/>
  <c r="BN74" i="11"/>
  <c r="CE33" i="11"/>
  <c r="BN76" i="11"/>
  <c r="BN73" i="11"/>
  <c r="BN67" i="11" s="1"/>
  <c r="BO41" i="11"/>
  <c r="BO28" i="11"/>
  <c r="BO45" i="11"/>
  <c r="BO46" i="11" s="1"/>
  <c r="BO77" i="11"/>
  <c r="BO78" i="11"/>
  <c r="BQ17" i="4"/>
  <c r="BQ18" i="4"/>
  <c r="BJ28" i="4"/>
  <c r="BJ56" i="4" s="1"/>
  <c r="BJ33" i="4"/>
  <c r="AR47" i="4"/>
  <c r="BI42" i="4"/>
  <c r="AY37" i="4"/>
  <c r="BP24" i="4"/>
  <c r="AS39" i="4"/>
  <c r="BK63" i="4"/>
  <c r="BK64" i="4"/>
  <c r="BJ45" i="4"/>
  <c r="BP40" i="4"/>
  <c r="AT31" i="4"/>
  <c r="AT39" i="4" s="1"/>
  <c r="BJ41" i="4"/>
  <c r="BK25" i="4"/>
  <c r="BK28" i="4" s="1"/>
  <c r="BK32" i="4"/>
  <c r="BI35" i="4"/>
  <c r="BD71" i="4"/>
  <c r="BD91" i="4"/>
  <c r="AV18" i="4"/>
  <c r="AV25" i="4" s="1"/>
  <c r="AT46" i="4"/>
  <c r="AT45" i="4"/>
  <c r="AT44" i="4"/>
  <c r="AU29" i="4"/>
  <c r="AU43" i="4" s="1"/>
  <c r="BM21" i="4"/>
  <c r="BL22" i="4"/>
  <c r="BL23" i="4" s="1"/>
  <c r="BG16" i="4"/>
  <c r="BG18" i="4" s="1"/>
  <c r="BG56" i="4" s="1"/>
  <c r="BG57" i="4" s="1"/>
  <c r="BH16" i="4"/>
  <c r="BJ16" i="4"/>
  <c r="BK16" i="4"/>
  <c r="BK17" i="4" s="1"/>
  <c r="BK18" i="4" s="1"/>
  <c r="BK51" i="4" s="1"/>
  <c r="BL16" i="4"/>
  <c r="BM16" i="4"/>
  <c r="BM17" i="4" s="1"/>
  <c r="BM18" i="4" s="1"/>
  <c r="BM51" i="4" s="1"/>
  <c r="BN16" i="4"/>
  <c r="BO16" i="4"/>
  <c r="BO17" i="4" s="1"/>
  <c r="BO18" i="4" s="1"/>
  <c r="BO51" i="4" s="1"/>
  <c r="BP16" i="4"/>
  <c r="BP17" i="4" s="1"/>
  <c r="BP18" i="4" s="1"/>
  <c r="BP51" i="4" s="1"/>
  <c r="AW13" i="4"/>
  <c r="AW16" i="4" s="1"/>
  <c r="BQ68" i="4"/>
  <c r="BQ88" i="4"/>
  <c r="BQ46" i="4"/>
  <c r="BR11" i="4"/>
  <c r="BR9" i="4"/>
  <c r="BR23" i="4"/>
  <c r="BQ45" i="4"/>
  <c r="BR12" i="4"/>
  <c r="BR16" i="4"/>
  <c r="BR13" i="4"/>
  <c r="BS8" i="4"/>
  <c r="BA11" i="8" l="1"/>
  <c r="BA13" i="8" s="1"/>
  <c r="BA30" i="8"/>
  <c r="BL77" i="8"/>
  <c r="BN43" i="8"/>
  <c r="BN45" i="8"/>
  <c r="BN44" i="8"/>
  <c r="AV48" i="8"/>
  <c r="BN55" i="8"/>
  <c r="BN38" i="8"/>
  <c r="BN51" i="8"/>
  <c r="AZ13" i="8"/>
  <c r="AY26" i="8"/>
  <c r="BQ31" i="8"/>
  <c r="BO35" i="8"/>
  <c r="BO72" i="8"/>
  <c r="BO71" i="8"/>
  <c r="BO42" i="8"/>
  <c r="AW40" i="8"/>
  <c r="AW47" i="8"/>
  <c r="BM63" i="8"/>
  <c r="BM52" i="8"/>
  <c r="BM88" i="8"/>
  <c r="BM87" i="8"/>
  <c r="BM82" i="8"/>
  <c r="BM86" i="8"/>
  <c r="BM85" i="8"/>
  <c r="BM83" i="8"/>
  <c r="BM84" i="8"/>
  <c r="BM53" i="8"/>
  <c r="BM62" i="8"/>
  <c r="BM64" i="8" s="1"/>
  <c r="BM66" i="8"/>
  <c r="BM103" i="8"/>
  <c r="BM104" i="8"/>
  <c r="BM105" i="8"/>
  <c r="BM106" i="8"/>
  <c r="BM107" i="8"/>
  <c r="BM108" i="8"/>
  <c r="BL34" i="10"/>
  <c r="BL35" i="10" s="1"/>
  <c r="BL36" i="10"/>
  <c r="AT48" i="10"/>
  <c r="BL46" i="10"/>
  <c r="BL29" i="10"/>
  <c r="BL42" i="10"/>
  <c r="BL78" i="10"/>
  <c r="BL77" i="10"/>
  <c r="BL73" i="10"/>
  <c r="BL76" i="10"/>
  <c r="BL79" i="10"/>
  <c r="BL74" i="10"/>
  <c r="BL75" i="10"/>
  <c r="BN26" i="10"/>
  <c r="BN33" i="10"/>
  <c r="BN62" i="10"/>
  <c r="BN63" i="10"/>
  <c r="AV40" i="10"/>
  <c r="AV47" i="10"/>
  <c r="AX17" i="10"/>
  <c r="AX19" i="10"/>
  <c r="AZ10" i="10"/>
  <c r="AY43" i="10"/>
  <c r="AY14" i="10"/>
  <c r="AG10" i="10"/>
  <c r="BO22" i="10"/>
  <c r="AW26" i="10"/>
  <c r="AW30" i="10" s="1"/>
  <c r="AW32" i="10"/>
  <c r="BM26" i="10"/>
  <c r="BM62" i="10"/>
  <c r="BM63" i="10"/>
  <c r="BM33" i="10"/>
  <c r="AU40" i="10"/>
  <c r="AU47" i="10"/>
  <c r="BK68" i="10"/>
  <c r="BK57" i="10"/>
  <c r="BK53" i="10"/>
  <c r="BK93" i="10"/>
  <c r="BK94" i="10"/>
  <c r="BK95" i="10"/>
  <c r="BK96" i="10"/>
  <c r="BK97" i="10"/>
  <c r="BK98" i="10"/>
  <c r="BK99" i="10"/>
  <c r="BK47" i="10"/>
  <c r="BL47" i="10"/>
  <c r="BK54" i="10"/>
  <c r="BK43" i="10"/>
  <c r="BK44" i="10" s="1"/>
  <c r="BO75" i="9"/>
  <c r="BO72" i="9"/>
  <c r="BU86" i="11"/>
  <c r="BU66" i="11"/>
  <c r="BV41" i="11"/>
  <c r="BV12" i="11"/>
  <c r="BV23" i="11"/>
  <c r="BV57" i="11"/>
  <c r="BV33" i="11"/>
  <c r="BV34" i="11" s="1"/>
  <c r="BU46" i="11"/>
  <c r="BV53" i="11"/>
  <c r="BV16" i="11"/>
  <c r="BU28" i="11"/>
  <c r="BU52" i="11" s="1"/>
  <c r="BU26" i="11"/>
  <c r="BU25" i="11"/>
  <c r="BU24" i="11"/>
  <c r="BV56" i="11"/>
  <c r="BV11" i="11"/>
  <c r="BV31" i="11"/>
  <c r="BV32" i="11"/>
  <c r="BV35" i="11" s="1"/>
  <c r="BV13" i="11"/>
  <c r="BV17" i="11"/>
  <c r="BV42" i="11"/>
  <c r="BU45" i="11"/>
  <c r="BV9" i="11"/>
  <c r="BV18" i="11"/>
  <c r="BV54" i="11"/>
  <c r="BV43" i="11"/>
  <c r="BV51" i="11"/>
  <c r="BV40" i="11"/>
  <c r="BV14" i="11"/>
  <c r="BU61" i="11"/>
  <c r="BU62" i="11"/>
  <c r="BE81" i="11"/>
  <c r="BF81" i="11" s="1"/>
  <c r="BT67" i="11"/>
  <c r="BE101" i="11"/>
  <c r="BF101" i="11" s="1"/>
  <c r="BT87" i="11"/>
  <c r="BV96" i="8"/>
  <c r="BV76" i="8"/>
  <c r="BW51" i="8"/>
  <c r="BW21" i="8"/>
  <c r="BW33" i="8"/>
  <c r="BW67" i="8"/>
  <c r="BW43" i="8"/>
  <c r="BW44" i="8" s="1"/>
  <c r="BW26" i="8"/>
  <c r="BW42" i="8"/>
  <c r="BW45" i="8" s="1"/>
  <c r="BW53" i="8"/>
  <c r="BW23" i="8"/>
  <c r="BV34" i="8"/>
  <c r="BW28" i="8"/>
  <c r="BW63" i="8"/>
  <c r="BW52" i="8"/>
  <c r="BW20" i="8"/>
  <c r="BW41" i="8"/>
  <c r="BW61" i="8"/>
  <c r="BW66" i="8"/>
  <c r="BV38" i="8"/>
  <c r="BV62" i="8" s="1"/>
  <c r="BW22" i="8"/>
  <c r="BW9" i="8"/>
  <c r="BW50" i="8"/>
  <c r="BV36" i="8"/>
  <c r="BW64" i="8"/>
  <c r="BW25" i="8"/>
  <c r="BV35" i="8"/>
  <c r="BV55" i="8"/>
  <c r="BV56" i="8"/>
  <c r="BV71" i="8"/>
  <c r="BV72" i="8"/>
  <c r="BF91" i="8"/>
  <c r="BG91" i="8" s="1"/>
  <c r="BU77" i="8"/>
  <c r="BF111" i="8"/>
  <c r="BG111" i="8" s="1"/>
  <c r="BU97" i="8"/>
  <c r="BE82" i="10"/>
  <c r="BF82" i="10" s="1"/>
  <c r="BT68" i="10"/>
  <c r="BV42" i="10"/>
  <c r="BV13" i="10"/>
  <c r="BV54" i="10"/>
  <c r="BV24" i="10"/>
  <c r="BV58" i="10"/>
  <c r="BV34" i="10"/>
  <c r="BV35" i="10" s="1"/>
  <c r="BU47" i="10"/>
  <c r="BV17" i="10"/>
  <c r="BV18" i="10"/>
  <c r="BV33" i="10"/>
  <c r="BV36" i="10" s="1"/>
  <c r="BV32" i="10"/>
  <c r="BV55" i="10"/>
  <c r="BU25" i="10"/>
  <c r="BV19" i="10"/>
  <c r="BV12" i="10"/>
  <c r="BU26" i="10"/>
  <c r="BV9" i="10"/>
  <c r="BU27" i="10"/>
  <c r="BU62" i="10" s="1"/>
  <c r="BV52" i="10"/>
  <c r="BV15" i="10"/>
  <c r="BV57" i="10"/>
  <c r="BU29" i="10"/>
  <c r="BU53" i="10" s="1"/>
  <c r="BV43" i="10"/>
  <c r="BV44" i="10"/>
  <c r="BU46" i="10"/>
  <c r="BV14" i="10"/>
  <c r="BV41" i="10"/>
  <c r="BE102" i="10"/>
  <c r="BF102" i="10" s="1"/>
  <c r="BT88" i="10"/>
  <c r="BU63" i="10"/>
  <c r="CE34" i="10"/>
  <c r="BU87" i="10"/>
  <c r="BU67" i="10"/>
  <c r="BQ25" i="9"/>
  <c r="BQ61" i="9"/>
  <c r="BQ32" i="9"/>
  <c r="BQ62" i="9"/>
  <c r="BO53" i="9"/>
  <c r="BO42" i="9"/>
  <c r="BO43" i="9" s="1"/>
  <c r="BO56" i="9"/>
  <c r="BO52" i="9"/>
  <c r="BO54" i="9" s="1"/>
  <c r="CL38" i="9" s="1"/>
  <c r="CL42" i="9" s="1"/>
  <c r="CL31" i="9" s="1"/>
  <c r="CL33" i="9" s="1"/>
  <c r="BO96" i="9"/>
  <c r="BO97" i="9"/>
  <c r="BO98" i="9"/>
  <c r="AY39" i="9"/>
  <c r="AG39" i="9" s="1"/>
  <c r="AY46" i="9"/>
  <c r="AG31" i="9"/>
  <c r="BN67" i="9"/>
  <c r="BE101" i="9"/>
  <c r="BT87" i="9"/>
  <c r="BV41" i="9"/>
  <c r="BV12" i="9"/>
  <c r="BV23" i="9"/>
  <c r="BU46" i="9"/>
  <c r="BV57" i="9"/>
  <c r="BV33" i="9"/>
  <c r="BV34" i="9" s="1"/>
  <c r="BV17" i="9"/>
  <c r="BV32" i="9"/>
  <c r="BV35" i="9" s="1"/>
  <c r="BV11" i="9"/>
  <c r="BV9" i="9"/>
  <c r="BV13" i="9"/>
  <c r="BV40" i="9"/>
  <c r="BV18" i="9"/>
  <c r="BV53" i="9"/>
  <c r="BV31" i="9"/>
  <c r="BV51" i="9"/>
  <c r="BU28" i="9"/>
  <c r="BU52" i="9" s="1"/>
  <c r="BV56" i="9"/>
  <c r="BV54" i="9"/>
  <c r="BU24" i="9"/>
  <c r="BU45" i="9"/>
  <c r="BV42" i="9"/>
  <c r="BV16" i="9"/>
  <c r="BV14" i="9"/>
  <c r="BV43" i="9"/>
  <c r="BU26" i="9"/>
  <c r="BU25" i="9"/>
  <c r="AZ45" i="9"/>
  <c r="BR22" i="9"/>
  <c r="AZ43" i="9"/>
  <c r="AZ44" i="9"/>
  <c r="BO78" i="9"/>
  <c r="BR23" i="9"/>
  <c r="BP33" i="9"/>
  <c r="BP34" i="9"/>
  <c r="BP72" i="9" s="1"/>
  <c r="BP35" i="9"/>
  <c r="AX47" i="9"/>
  <c r="BE81" i="9"/>
  <c r="BT67" i="9"/>
  <c r="BU61" i="9"/>
  <c r="BU62" i="9"/>
  <c r="BN87" i="9"/>
  <c r="BF95" i="9"/>
  <c r="BO77" i="9"/>
  <c r="AZ31" i="9"/>
  <c r="CH31" i="9"/>
  <c r="BN54" i="9"/>
  <c r="BO76" i="9"/>
  <c r="BP41" i="9"/>
  <c r="BP28" i="9"/>
  <c r="BP45" i="9"/>
  <c r="BP46" i="9" s="1"/>
  <c r="BP74" i="9"/>
  <c r="BP73" i="9"/>
  <c r="BP76" i="9"/>
  <c r="BP75" i="9"/>
  <c r="BP77" i="9"/>
  <c r="BP78" i="9"/>
  <c r="BU86" i="9"/>
  <c r="BU66" i="9"/>
  <c r="BO74" i="9"/>
  <c r="BO73" i="9"/>
  <c r="BP43" i="8"/>
  <c r="BP44" i="8" s="1"/>
  <c r="BP45" i="8"/>
  <c r="AX48" i="8"/>
  <c r="BS31" i="8"/>
  <c r="BA26" i="8"/>
  <c r="BP55" i="8"/>
  <c r="BP38" i="8"/>
  <c r="BP51" i="8"/>
  <c r="CJ48" i="8"/>
  <c r="AZ39" i="7"/>
  <c r="AZ46" i="7"/>
  <c r="BU86" i="7"/>
  <c r="BU66" i="7"/>
  <c r="BN67" i="7"/>
  <c r="BO52" i="7"/>
  <c r="BO56" i="7"/>
  <c r="BO57" i="7" s="1"/>
  <c r="BO96" i="7"/>
  <c r="BO97" i="7"/>
  <c r="BO98" i="7"/>
  <c r="BR23" i="7"/>
  <c r="BN54" i="7"/>
  <c r="CK38" i="7" s="1"/>
  <c r="CK42" i="7" s="1"/>
  <c r="CK31" i="7" s="1"/>
  <c r="CK33" i="7" s="1"/>
  <c r="BO53" i="7"/>
  <c r="BO42" i="7"/>
  <c r="BO43" i="7" s="1"/>
  <c r="BV41" i="7"/>
  <c r="BV12" i="7"/>
  <c r="BV23" i="7"/>
  <c r="BV53" i="7"/>
  <c r="BV57" i="7"/>
  <c r="BV33" i="7"/>
  <c r="BV34" i="7" s="1"/>
  <c r="BU46" i="7"/>
  <c r="BV17" i="7"/>
  <c r="BV32" i="7"/>
  <c r="BV35" i="7" s="1"/>
  <c r="BV42" i="7"/>
  <c r="BV13" i="7"/>
  <c r="BU45" i="7"/>
  <c r="BV56" i="7"/>
  <c r="BV9" i="7"/>
  <c r="BU24" i="7"/>
  <c r="BU25" i="7"/>
  <c r="BV51" i="7"/>
  <c r="BU26" i="7"/>
  <c r="BU61" i="7" s="1"/>
  <c r="BV43" i="7"/>
  <c r="BV18" i="7"/>
  <c r="BU28" i="7"/>
  <c r="BU52" i="7" s="1"/>
  <c r="BV31" i="7"/>
  <c r="BV54" i="7"/>
  <c r="BV16" i="7"/>
  <c r="BV14" i="7"/>
  <c r="BV40" i="7"/>
  <c r="BV11" i="7"/>
  <c r="CJ38" i="7"/>
  <c r="BO73" i="7"/>
  <c r="BP33" i="7"/>
  <c r="BP35" i="7"/>
  <c r="BP34" i="7"/>
  <c r="AX47" i="7"/>
  <c r="BR22" i="7"/>
  <c r="AZ45" i="7"/>
  <c r="AZ43" i="7"/>
  <c r="AZ44" i="7"/>
  <c r="BO74" i="7"/>
  <c r="BP41" i="7"/>
  <c r="BP28" i="7"/>
  <c r="BP45" i="7"/>
  <c r="BP46" i="7" s="1"/>
  <c r="BP76" i="7"/>
  <c r="BP74" i="7"/>
  <c r="BO75" i="7"/>
  <c r="CE33" i="7"/>
  <c r="BN87" i="7"/>
  <c r="BF95" i="7"/>
  <c r="BN57" i="7"/>
  <c r="BE81" i="7"/>
  <c r="BF81" i="7" s="1"/>
  <c r="BT67" i="7"/>
  <c r="BE101" i="7"/>
  <c r="BF101" i="7" s="1"/>
  <c r="BT87" i="7"/>
  <c r="BQ25" i="7"/>
  <c r="BQ61" i="7"/>
  <c r="BQ32" i="7"/>
  <c r="AB9" i="7" s="1"/>
  <c r="BQ62" i="7"/>
  <c r="BO77" i="7"/>
  <c r="AY39" i="7"/>
  <c r="AG39" i="7" s="1"/>
  <c r="AG31" i="7"/>
  <c r="AY46" i="7"/>
  <c r="BO76" i="7"/>
  <c r="BO72" i="7"/>
  <c r="BU62" i="7"/>
  <c r="AZ39" i="11"/>
  <c r="AZ46" i="11"/>
  <c r="BQ25" i="11"/>
  <c r="BQ61" i="11"/>
  <c r="BQ62" i="11"/>
  <c r="BQ32" i="11"/>
  <c r="BO76" i="11"/>
  <c r="AY39" i="11"/>
  <c r="AG39" i="11" s="1"/>
  <c r="AY46" i="11"/>
  <c r="AG31" i="11"/>
  <c r="BN57" i="11"/>
  <c r="CI42" i="11"/>
  <c r="BN87" i="11"/>
  <c r="BF95" i="11"/>
  <c r="BO72" i="11"/>
  <c r="BP41" i="11"/>
  <c r="BP28" i="11"/>
  <c r="BP45" i="11"/>
  <c r="BP46" i="11" s="1"/>
  <c r="BO56" i="11"/>
  <c r="BO57" i="11" s="1"/>
  <c r="BO52" i="11"/>
  <c r="BO96" i="11"/>
  <c r="BO97" i="11"/>
  <c r="BO98" i="11"/>
  <c r="BO42" i="11"/>
  <c r="BO43" i="11" s="1"/>
  <c r="BO53" i="11"/>
  <c r="BN54" i="11"/>
  <c r="BO75" i="11"/>
  <c r="BO73" i="11"/>
  <c r="BR22" i="11"/>
  <c r="BR23" i="11" s="1"/>
  <c r="AZ45" i="11"/>
  <c r="AZ43" i="11"/>
  <c r="AZ44" i="11"/>
  <c r="BP35" i="11"/>
  <c r="BP33" i="11"/>
  <c r="BP34" i="11"/>
  <c r="BP74" i="11" s="1"/>
  <c r="AX47" i="11"/>
  <c r="BK56" i="4"/>
  <c r="BG51" i="4"/>
  <c r="BR17" i="4"/>
  <c r="BR18" i="4"/>
  <c r="BR14" i="4"/>
  <c r="BJ52" i="4"/>
  <c r="BK33" i="4"/>
  <c r="AS47" i="4"/>
  <c r="BK45" i="4"/>
  <c r="BL63" i="4"/>
  <c r="BL64" i="4"/>
  <c r="AU31" i="4"/>
  <c r="BK41" i="4"/>
  <c r="BL25" i="4"/>
  <c r="BL28" i="4" s="1"/>
  <c r="BL32" i="4"/>
  <c r="BJ35" i="4"/>
  <c r="AW18" i="4"/>
  <c r="AW25" i="4" s="1"/>
  <c r="AW29" i="4" s="1"/>
  <c r="AU46" i="4"/>
  <c r="AU39" i="4"/>
  <c r="AU45" i="4"/>
  <c r="AU44" i="4"/>
  <c r="AV29" i="4"/>
  <c r="AV43" i="4" s="1"/>
  <c r="BN21" i="4"/>
  <c r="BM22" i="4"/>
  <c r="BM23" i="4" s="1"/>
  <c r="BN17" i="4"/>
  <c r="BN18" i="4" s="1"/>
  <c r="BN51" i="4" s="1"/>
  <c r="BL17" i="4"/>
  <c r="BL18" i="4" s="1"/>
  <c r="BL51" i="4" s="1"/>
  <c r="BJ17" i="4"/>
  <c r="BJ18" i="4" s="1"/>
  <c r="BJ51" i="4" s="1"/>
  <c r="BI17" i="4"/>
  <c r="BI18" i="4" s="1"/>
  <c r="BI51" i="4" s="1"/>
  <c r="BH17" i="4"/>
  <c r="AX13" i="4"/>
  <c r="BQ69" i="4"/>
  <c r="BD81" i="4"/>
  <c r="BE81" i="4" s="1"/>
  <c r="BS11" i="4"/>
  <c r="BS23" i="4"/>
  <c r="BR25" i="4"/>
  <c r="BR41" i="4" s="1"/>
  <c r="BS9" i="4"/>
  <c r="BR45" i="4"/>
  <c r="BS12" i="4"/>
  <c r="BR28" i="4"/>
  <c r="BR24" i="4"/>
  <c r="BS13" i="4"/>
  <c r="BT8" i="4"/>
  <c r="BR26" i="4"/>
  <c r="BR63" i="4" s="1"/>
  <c r="BR46" i="4"/>
  <c r="BR64" i="4"/>
  <c r="BS16" i="4"/>
  <c r="BD101" i="4"/>
  <c r="BE101" i="4" s="1"/>
  <c r="BQ89" i="4"/>
  <c r="AX16" i="4" l="1"/>
  <c r="AF13" i="4"/>
  <c r="BM77" i="8"/>
  <c r="BO45" i="8"/>
  <c r="BO43" i="8"/>
  <c r="BO44" i="8" s="1"/>
  <c r="AW48" i="8"/>
  <c r="BO55" i="8"/>
  <c r="BO51" i="8"/>
  <c r="BO38" i="8"/>
  <c r="AY32" i="8"/>
  <c r="AY44" i="8"/>
  <c r="AY46" i="8"/>
  <c r="BQ32" i="8"/>
  <c r="BQ33" i="8" s="1"/>
  <c r="AY45" i="8"/>
  <c r="AZ15" i="8"/>
  <c r="AZ17" i="8" s="1"/>
  <c r="BN66" i="8"/>
  <c r="BN62" i="8"/>
  <c r="BN104" i="8"/>
  <c r="BN105" i="8"/>
  <c r="BN106" i="8"/>
  <c r="BN107" i="8"/>
  <c r="BN108" i="8"/>
  <c r="BN82" i="8"/>
  <c r="BN83" i="8"/>
  <c r="BN84" i="8"/>
  <c r="BN63" i="8"/>
  <c r="BN52" i="8"/>
  <c r="BN53" i="8" s="1"/>
  <c r="BN88" i="8"/>
  <c r="BN86" i="8"/>
  <c r="BN87" i="8"/>
  <c r="BN85" i="8"/>
  <c r="BN77" i="8" s="1"/>
  <c r="BK88" i="10"/>
  <c r="BF93" i="10"/>
  <c r="BK55" i="10"/>
  <c r="CH39" i="10" s="1"/>
  <c r="CH43" i="10" s="1"/>
  <c r="BK58" i="10"/>
  <c r="BM34" i="10"/>
  <c r="BM36" i="10"/>
  <c r="BM35" i="10"/>
  <c r="AU48" i="10"/>
  <c r="BM46" i="10"/>
  <c r="BM29" i="10"/>
  <c r="BM42" i="10"/>
  <c r="BM74" i="10"/>
  <c r="BM73" i="10"/>
  <c r="BM77" i="10"/>
  <c r="BM76" i="10"/>
  <c r="BM78" i="10"/>
  <c r="BM75" i="10"/>
  <c r="AW40" i="10"/>
  <c r="AW47" i="10"/>
  <c r="BO23" i="10"/>
  <c r="BO24" i="10" s="1"/>
  <c r="AW46" i="10"/>
  <c r="AW44" i="10"/>
  <c r="AW45" i="10"/>
  <c r="AY17" i="10"/>
  <c r="AY19" i="10"/>
  <c r="AG14" i="10"/>
  <c r="AZ14" i="10"/>
  <c r="AZ43" i="10"/>
  <c r="BP22" i="10"/>
  <c r="AX26" i="10"/>
  <c r="AX30" i="10" s="1"/>
  <c r="AX32" i="10"/>
  <c r="BN34" i="10"/>
  <c r="BN36" i="10"/>
  <c r="BN35" i="10"/>
  <c r="AV48" i="10"/>
  <c r="BN42" i="10"/>
  <c r="BN46" i="10"/>
  <c r="BN29" i="10"/>
  <c r="BN73" i="10"/>
  <c r="BN75" i="10"/>
  <c r="BL68" i="10"/>
  <c r="BL57" i="10"/>
  <c r="BL58" i="10" s="1"/>
  <c r="BL53" i="10"/>
  <c r="BL94" i="10"/>
  <c r="BF94" i="10" s="1"/>
  <c r="BL95" i="10"/>
  <c r="BL96" i="10"/>
  <c r="BL97" i="10"/>
  <c r="BL98" i="10"/>
  <c r="BL99" i="10"/>
  <c r="BL88" i="10" s="1"/>
  <c r="BM47" i="10"/>
  <c r="BL43" i="10"/>
  <c r="BL44" i="10" s="1"/>
  <c r="BL54" i="10"/>
  <c r="BO67" i="9"/>
  <c r="BP67" i="9"/>
  <c r="BW76" i="8"/>
  <c r="BW96" i="8"/>
  <c r="BW71" i="8"/>
  <c r="BW72" i="8"/>
  <c r="BF92" i="8"/>
  <c r="BG92" i="8" s="1"/>
  <c r="BV77" i="8"/>
  <c r="BF112" i="8"/>
  <c r="BG112" i="8" s="1"/>
  <c r="BV97" i="8"/>
  <c r="BV86" i="11"/>
  <c r="BV66" i="11"/>
  <c r="BV61" i="11"/>
  <c r="BV62" i="11"/>
  <c r="BE82" i="11"/>
  <c r="BF82" i="11" s="1"/>
  <c r="BU67" i="11"/>
  <c r="BE102" i="11"/>
  <c r="BF102" i="11" s="1"/>
  <c r="BU87" i="11"/>
  <c r="BE83" i="10"/>
  <c r="BF83" i="10" s="1"/>
  <c r="BU68" i="10"/>
  <c r="CH32" i="10"/>
  <c r="BE103" i="10"/>
  <c r="BF103" i="10" s="1"/>
  <c r="BU88" i="10"/>
  <c r="BV62" i="10"/>
  <c r="BV63" i="10"/>
  <c r="BV87" i="10"/>
  <c r="BV67" i="10"/>
  <c r="BP56" i="9"/>
  <c r="BP52" i="9"/>
  <c r="BP97" i="9"/>
  <c r="BP98" i="9"/>
  <c r="BR61" i="9"/>
  <c r="AB24" i="9" s="1"/>
  <c r="BR62" i="9"/>
  <c r="AB25" i="9" s="1"/>
  <c r="BO57" i="9"/>
  <c r="BP57" i="9"/>
  <c r="BO87" i="9"/>
  <c r="BF96" i="9"/>
  <c r="BV66" i="9"/>
  <c r="BV86" i="9"/>
  <c r="BE102" i="9"/>
  <c r="BU87" i="9"/>
  <c r="BP53" i="9"/>
  <c r="BP42" i="9"/>
  <c r="BP43" i="9" s="1"/>
  <c r="BE82" i="9"/>
  <c r="BU67" i="9"/>
  <c r="CH33" i="9"/>
  <c r="BV61" i="9"/>
  <c r="BV62" i="9"/>
  <c r="BQ35" i="9"/>
  <c r="BQ33" i="9"/>
  <c r="BQ34" i="9" s="1"/>
  <c r="AB9" i="9"/>
  <c r="AY47" i="9"/>
  <c r="AZ47" i="9" s="1"/>
  <c r="CK38" i="9"/>
  <c r="AZ39" i="9"/>
  <c r="AZ46" i="9"/>
  <c r="BQ41" i="9"/>
  <c r="BQ28" i="9"/>
  <c r="BQ45" i="9"/>
  <c r="BQ46" i="9" s="1"/>
  <c r="AB18" i="9" s="1" a="1"/>
  <c r="AB18" i="9" s="1"/>
  <c r="BP63" i="8"/>
  <c r="BP52" i="8"/>
  <c r="BP84" i="8"/>
  <c r="BP86" i="8"/>
  <c r="BP87" i="8"/>
  <c r="BP88" i="8"/>
  <c r="BP82" i="8"/>
  <c r="BP83" i="8"/>
  <c r="BP85" i="8"/>
  <c r="BA44" i="8"/>
  <c r="BA46" i="8"/>
  <c r="BS32" i="8"/>
  <c r="BA45" i="8"/>
  <c r="BA32" i="8"/>
  <c r="CJ52" i="8"/>
  <c r="BP53" i="8"/>
  <c r="BP66" i="8"/>
  <c r="BP62" i="8"/>
  <c r="BP106" i="8"/>
  <c r="BP107" i="8"/>
  <c r="BP108" i="8"/>
  <c r="BS33" i="8"/>
  <c r="BQ33" i="7"/>
  <c r="BQ35" i="7"/>
  <c r="BQ34" i="7"/>
  <c r="AY47" i="7"/>
  <c r="AZ47" i="7" s="1"/>
  <c r="BO54" i="7"/>
  <c r="CL38" i="7" s="1"/>
  <c r="CL42" i="7" s="1"/>
  <c r="CL31" i="7" s="1"/>
  <c r="CL33" i="7" s="1"/>
  <c r="BU87" i="7"/>
  <c r="BE102" i="7"/>
  <c r="BF102" i="7" s="1"/>
  <c r="BO87" i="7"/>
  <c r="BF96" i="7"/>
  <c r="BR61" i="7"/>
  <c r="AB24" i="7" s="1"/>
  <c r="BR62" i="7"/>
  <c r="AB25" i="7" s="1"/>
  <c r="BP42" i="7"/>
  <c r="BP43" i="7" s="1"/>
  <c r="BP53" i="7"/>
  <c r="BE82" i="7"/>
  <c r="BF82" i="7" s="1"/>
  <c r="BU67" i="7"/>
  <c r="BP78" i="7"/>
  <c r="CJ42" i="7"/>
  <c r="BV86" i="7"/>
  <c r="BV66" i="7"/>
  <c r="BP77" i="7"/>
  <c r="BP72" i="7"/>
  <c r="BP75" i="7"/>
  <c r="BV61" i="7"/>
  <c r="BV62" i="7"/>
  <c r="BP56" i="7"/>
  <c r="BP57" i="7" s="1"/>
  <c r="BP52" i="7"/>
  <c r="BP97" i="7"/>
  <c r="BP98" i="7"/>
  <c r="BQ41" i="7"/>
  <c r="BQ28" i="7"/>
  <c r="BQ45" i="7"/>
  <c r="BQ46" i="7" s="1"/>
  <c r="AB18" i="7" s="1" a="1"/>
  <c r="AB18" i="7" s="1"/>
  <c r="BQ77" i="7"/>
  <c r="BF77" i="7" s="1"/>
  <c r="BQ74" i="7"/>
  <c r="BF74" i="7" s="1"/>
  <c r="BQ73" i="7"/>
  <c r="BQ75" i="7"/>
  <c r="BF75" i="7" s="1"/>
  <c r="BO67" i="7"/>
  <c r="BP73" i="7"/>
  <c r="CK38" i="11"/>
  <c r="CI31" i="11"/>
  <c r="AB9" i="11"/>
  <c r="BQ33" i="11"/>
  <c r="BQ35" i="11"/>
  <c r="BQ34" i="11"/>
  <c r="BQ72" i="11" s="1"/>
  <c r="AY47" i="11"/>
  <c r="AZ47" i="11" s="1"/>
  <c r="BR61" i="11"/>
  <c r="AB24" i="11" s="1"/>
  <c r="BR62" i="11"/>
  <c r="AB25" i="11" s="1"/>
  <c r="BP72" i="11"/>
  <c r="BP78" i="11"/>
  <c r="BQ41" i="11"/>
  <c r="BQ28" i="11"/>
  <c r="BQ45" i="11"/>
  <c r="BQ46" i="11" s="1"/>
  <c r="AB18" i="11" s="1" a="1"/>
  <c r="AB18" i="11" s="1"/>
  <c r="BQ73" i="11"/>
  <c r="BQ74" i="11"/>
  <c r="BF74" i="11" s="1"/>
  <c r="BQ76" i="11"/>
  <c r="BO87" i="11"/>
  <c r="BF96" i="11"/>
  <c r="BP76" i="11"/>
  <c r="BP56" i="11"/>
  <c r="BP57" i="11" s="1"/>
  <c r="BP52" i="11"/>
  <c r="BP97" i="11"/>
  <c r="BP98" i="11"/>
  <c r="BO54" i="11"/>
  <c r="CL38" i="11" s="1"/>
  <c r="CL42" i="11" s="1"/>
  <c r="CL31" i="11" s="1"/>
  <c r="CL33" i="11" s="1"/>
  <c r="BP42" i="11"/>
  <c r="BP43" i="11" s="1"/>
  <c r="BP53" i="11"/>
  <c r="BP77" i="11"/>
  <c r="BP73" i="11"/>
  <c r="BP75" i="11"/>
  <c r="BO67" i="11"/>
  <c r="BL56" i="4"/>
  <c r="BS18" i="4"/>
  <c r="BS17" i="4"/>
  <c r="BR52" i="4"/>
  <c r="BR56" i="4"/>
  <c r="BS14" i="4"/>
  <c r="BR40" i="4"/>
  <c r="BR51" i="4"/>
  <c r="BL33" i="4"/>
  <c r="AT47" i="4"/>
  <c r="BK52" i="4"/>
  <c r="BM63" i="4"/>
  <c r="BM64" i="4"/>
  <c r="BL45" i="4"/>
  <c r="AV31" i="4"/>
  <c r="AV46" i="4" s="1"/>
  <c r="BH18" i="4"/>
  <c r="BH51" i="4" s="1"/>
  <c r="BD93" i="4"/>
  <c r="BL41" i="4"/>
  <c r="BM25" i="4"/>
  <c r="BM28" i="4" s="1"/>
  <c r="BM32" i="4"/>
  <c r="BJ34" i="4"/>
  <c r="BJ53" i="4" s="1"/>
  <c r="BJ54" i="4" s="1"/>
  <c r="CG38" i="4" s="1"/>
  <c r="CG42" i="4" s="1"/>
  <c r="CG31" i="4" s="1"/>
  <c r="CG33" i="4" s="1"/>
  <c r="BK35" i="4"/>
  <c r="BD72" i="4"/>
  <c r="BD92" i="4"/>
  <c r="AX18" i="4"/>
  <c r="AX25" i="4" s="1"/>
  <c r="AV45" i="4"/>
  <c r="AV44" i="4"/>
  <c r="AW43" i="4"/>
  <c r="BO21" i="4"/>
  <c r="BD73" i="4"/>
  <c r="BK34" i="4"/>
  <c r="BN22" i="4"/>
  <c r="BN23" i="4" s="1"/>
  <c r="AY13" i="4"/>
  <c r="AY16" i="4" s="1"/>
  <c r="BT23" i="4"/>
  <c r="BS25" i="4"/>
  <c r="BS41" i="4" s="1"/>
  <c r="BT9" i="4"/>
  <c r="BS45" i="4"/>
  <c r="BU8" i="4"/>
  <c r="BT12" i="4"/>
  <c r="BS52" i="4"/>
  <c r="BT16" i="4"/>
  <c r="BT18" i="4" s="1"/>
  <c r="BS24" i="4"/>
  <c r="BS64" i="4"/>
  <c r="BS46" i="4"/>
  <c r="BT17" i="4"/>
  <c r="BT11" i="4"/>
  <c r="BS26" i="4"/>
  <c r="BS63" i="4" s="1"/>
  <c r="BN97" i="8" l="1"/>
  <c r="BN64" i="8"/>
  <c r="CK48" i="8" s="1"/>
  <c r="CK52" i="8" s="1"/>
  <c r="CK41" i="8" s="1"/>
  <c r="CK43" i="8" s="1"/>
  <c r="BR31" i="8"/>
  <c r="AZ26" i="8"/>
  <c r="AZ32" i="8"/>
  <c r="BQ35" i="8"/>
  <c r="BQ71" i="8"/>
  <c r="BQ72" i="8"/>
  <c r="BQ42" i="8"/>
  <c r="AY40" i="8"/>
  <c r="AY47" i="8"/>
  <c r="BO66" i="8"/>
  <c r="BO62" i="8"/>
  <c r="BO105" i="8"/>
  <c r="BO106" i="8"/>
  <c r="BO107" i="8"/>
  <c r="BO108" i="8"/>
  <c r="BO63" i="8"/>
  <c r="BO52" i="8"/>
  <c r="BO53" i="8" s="1"/>
  <c r="BO83" i="8"/>
  <c r="BO82" i="8"/>
  <c r="BO84" i="8"/>
  <c r="BO86" i="8"/>
  <c r="BO87" i="8"/>
  <c r="BO85" i="8"/>
  <c r="BO88" i="8"/>
  <c r="BL55" i="10"/>
  <c r="CI39" i="10" s="1"/>
  <c r="CI43" i="10" s="1"/>
  <c r="CI32" i="10" s="1"/>
  <c r="CI34" i="10" s="1"/>
  <c r="BN57" i="10"/>
  <c r="BN53" i="10"/>
  <c r="BN96" i="10"/>
  <c r="BN97" i="10"/>
  <c r="BN98" i="10"/>
  <c r="BN99" i="10"/>
  <c r="BN43" i="10"/>
  <c r="BN44" i="10" s="1"/>
  <c r="BN54" i="10"/>
  <c r="BN79" i="10"/>
  <c r="BN78" i="10"/>
  <c r="BN77" i="10"/>
  <c r="BN74" i="10"/>
  <c r="BN76" i="10"/>
  <c r="AX40" i="10"/>
  <c r="AX47" i="10"/>
  <c r="AX46" i="10"/>
  <c r="BP23" i="10"/>
  <c r="BP24" i="10" s="1"/>
  <c r="AX44" i="10"/>
  <c r="AX45" i="10"/>
  <c r="AZ17" i="10"/>
  <c r="AZ19" i="10"/>
  <c r="BQ22" i="10"/>
  <c r="AY26" i="10"/>
  <c r="AY30" i="10" s="1"/>
  <c r="AG19" i="10"/>
  <c r="BO26" i="10"/>
  <c r="BO63" i="10"/>
  <c r="BO62" i="10"/>
  <c r="BO33" i="10"/>
  <c r="BM57" i="10"/>
  <c r="BM58" i="10" s="1"/>
  <c r="BM53" i="10"/>
  <c r="BM95" i="10"/>
  <c r="BM96" i="10"/>
  <c r="BF96" i="10" s="1"/>
  <c r="BM97" i="10"/>
  <c r="BM98" i="10"/>
  <c r="BM99" i="10"/>
  <c r="BN47" i="10"/>
  <c r="BM79" i="10"/>
  <c r="BM68" i="10" s="1"/>
  <c r="BM54" i="10"/>
  <c r="BM43" i="10"/>
  <c r="BM44" i="10" s="1"/>
  <c r="BF76" i="11"/>
  <c r="BF73" i="11"/>
  <c r="BF73" i="7"/>
  <c r="BE83" i="11"/>
  <c r="BF83" i="11" s="1"/>
  <c r="BV67" i="11"/>
  <c r="BE103" i="11"/>
  <c r="BF103" i="11" s="1"/>
  <c r="BV87" i="11"/>
  <c r="BF113" i="8"/>
  <c r="BG113" i="8" s="1"/>
  <c r="BW97" i="8"/>
  <c r="BW77" i="8"/>
  <c r="BF93" i="8"/>
  <c r="BG93" i="8" s="1"/>
  <c r="BE84" i="10"/>
  <c r="BF84" i="10" s="1"/>
  <c r="BV68" i="10"/>
  <c r="CH34" i="10"/>
  <c r="BE104" i="10"/>
  <c r="BF104" i="10" s="1"/>
  <c r="BV88" i="10"/>
  <c r="BQ42" i="9"/>
  <c r="BQ53" i="9"/>
  <c r="BQ74" i="9"/>
  <c r="BF74" i="9" s="1"/>
  <c r="BQ73" i="9"/>
  <c r="BF73" i="9" s="1"/>
  <c r="BQ78" i="9"/>
  <c r="BF78" i="9" s="1"/>
  <c r="BQ77" i="9"/>
  <c r="BF77" i="9" s="1"/>
  <c r="BQ75" i="9"/>
  <c r="BF75" i="9" s="1"/>
  <c r="BQ76" i="9"/>
  <c r="BF76" i="9" s="1"/>
  <c r="BQ72" i="9"/>
  <c r="BV67" i="9"/>
  <c r="BE83" i="9"/>
  <c r="BQ43" i="9"/>
  <c r="AB13" i="9" s="1"/>
  <c r="CK42" i="9"/>
  <c r="BP87" i="9"/>
  <c r="BF97" i="9"/>
  <c r="BP54" i="9"/>
  <c r="BQ56" i="9"/>
  <c r="BQ57" i="9" s="1"/>
  <c r="AB22" i="9" s="1"/>
  <c r="BQ52" i="9"/>
  <c r="BQ54" i="9" s="1"/>
  <c r="BQ98" i="9"/>
  <c r="BE103" i="9"/>
  <c r="BV87" i="9"/>
  <c r="BS71" i="8"/>
  <c r="BS72" i="8"/>
  <c r="BP64" i="8"/>
  <c r="BP77" i="8"/>
  <c r="BA40" i="8"/>
  <c r="BA47" i="8"/>
  <c r="CJ41" i="8"/>
  <c r="BP97" i="8"/>
  <c r="CJ31" i="7"/>
  <c r="BP87" i="7"/>
  <c r="BF97" i="7"/>
  <c r="BP67" i="7"/>
  <c r="BP54" i="7"/>
  <c r="CM38" i="7" s="1"/>
  <c r="CM42" i="7" s="1"/>
  <c r="CM31" i="7" s="1"/>
  <c r="CM33" i="7" s="1"/>
  <c r="BQ42" i="7"/>
  <c r="BQ43" i="7" s="1"/>
  <c r="BQ53" i="7"/>
  <c r="BQ78" i="7"/>
  <c r="BF78" i="7" s="1"/>
  <c r="BV67" i="7"/>
  <c r="BE83" i="7"/>
  <c r="BF83" i="7" s="1"/>
  <c r="BQ56" i="7"/>
  <c r="BQ57" i="7" s="1"/>
  <c r="AB22" i="7" s="1"/>
  <c r="BQ52" i="7"/>
  <c r="BQ54" i="7" s="1"/>
  <c r="CN38" i="7" s="1"/>
  <c r="CN42" i="7" s="1"/>
  <c r="CN31" i="7" s="1"/>
  <c r="CN33" i="7" s="1"/>
  <c r="BQ98" i="7"/>
  <c r="BG59" i="7"/>
  <c r="BQ76" i="7"/>
  <c r="BF76" i="7" s="1"/>
  <c r="BE103" i="7"/>
  <c r="BF103" i="7" s="1"/>
  <c r="BV87" i="7"/>
  <c r="BQ72" i="7"/>
  <c r="BF72" i="11"/>
  <c r="BQ56" i="11"/>
  <c r="BQ57" i="11" s="1"/>
  <c r="AB22" i="11" s="1"/>
  <c r="BQ52" i="11"/>
  <c r="BQ98" i="11"/>
  <c r="BP67" i="11"/>
  <c r="CI33" i="11"/>
  <c r="BP87" i="11"/>
  <c r="BF97" i="11"/>
  <c r="BP54" i="11"/>
  <c r="CM38" i="11" s="1"/>
  <c r="CM42" i="11" s="1"/>
  <c r="CM31" i="11" s="1"/>
  <c r="CM33" i="11" s="1"/>
  <c r="BQ42" i="11"/>
  <c r="BQ43" i="11" s="1"/>
  <c r="BQ53" i="11"/>
  <c r="BQ78" i="11"/>
  <c r="BF78" i="11" s="1"/>
  <c r="BQ75" i="11"/>
  <c r="BF75" i="11" s="1"/>
  <c r="BQ77" i="11"/>
  <c r="BF77" i="11" s="1"/>
  <c r="CK42" i="11"/>
  <c r="BK53" i="4"/>
  <c r="BM56" i="4"/>
  <c r="BT13" i="4"/>
  <c r="BT14" i="4" s="1"/>
  <c r="BR53" i="4"/>
  <c r="BR54" i="4" s="1"/>
  <c r="BR42" i="4"/>
  <c r="BS40" i="4"/>
  <c r="BS51" i="4"/>
  <c r="BS56" i="4"/>
  <c r="BM33" i="4"/>
  <c r="AU47" i="4"/>
  <c r="BK42" i="4"/>
  <c r="BJ42" i="4"/>
  <c r="BL52" i="4"/>
  <c r="BM45" i="4"/>
  <c r="BN64" i="4"/>
  <c r="BN63" i="4"/>
  <c r="AV39" i="4"/>
  <c r="BO22" i="4"/>
  <c r="BO23" i="4" s="1"/>
  <c r="AW31" i="4"/>
  <c r="AW46" i="4" s="1"/>
  <c r="BM41" i="4"/>
  <c r="BN25" i="4"/>
  <c r="BN28" i="4" s="1"/>
  <c r="BN32" i="4"/>
  <c r="BL35" i="4"/>
  <c r="BJ43" i="4"/>
  <c r="AY18" i="4"/>
  <c r="AY25" i="4" s="1"/>
  <c r="AW45" i="4"/>
  <c r="AW44" i="4"/>
  <c r="AX29" i="4"/>
  <c r="AX43" i="4" s="1"/>
  <c r="BP21" i="4"/>
  <c r="BK43" i="4"/>
  <c r="BK54" i="4"/>
  <c r="CH38" i="4" s="1"/>
  <c r="CH42" i="4" s="1"/>
  <c r="CH31" i="4" s="1"/>
  <c r="CH33" i="4" s="1"/>
  <c r="BL34" i="4"/>
  <c r="AF18" i="4"/>
  <c r="BU41" i="4"/>
  <c r="BU23" i="4"/>
  <c r="BU12" i="4"/>
  <c r="BT24" i="4"/>
  <c r="BT64" i="4"/>
  <c r="BT25" i="4"/>
  <c r="BT41" i="4" s="1"/>
  <c r="BU9" i="4"/>
  <c r="BT45" i="4"/>
  <c r="BU16" i="4"/>
  <c r="BU18" i="4" s="1"/>
  <c r="BT28" i="4"/>
  <c r="BT26" i="4"/>
  <c r="BT63" i="4" s="1"/>
  <c r="BT46" i="4"/>
  <c r="BU31" i="4"/>
  <c r="BU32" i="4" s="1"/>
  <c r="BU17" i="4"/>
  <c r="BU11" i="4"/>
  <c r="BO77" i="8" l="1"/>
  <c r="BO97" i="8"/>
  <c r="BO64" i="8"/>
  <c r="CL48" i="8" s="1"/>
  <c r="CL52" i="8" s="1"/>
  <c r="CL41" i="8" s="1"/>
  <c r="CL43" i="8" s="1"/>
  <c r="BQ45" i="8"/>
  <c r="BQ43" i="8"/>
  <c r="BQ44" i="8" s="1"/>
  <c r="AY48" i="8"/>
  <c r="BQ55" i="8"/>
  <c r="BQ51" i="8"/>
  <c r="BQ38" i="8"/>
  <c r="AZ40" i="8"/>
  <c r="AZ47" i="8"/>
  <c r="AZ44" i="8"/>
  <c r="AZ46" i="8"/>
  <c r="BR32" i="8"/>
  <c r="AZ45" i="8"/>
  <c r="BR33" i="8"/>
  <c r="BM88" i="10"/>
  <c r="BF95" i="10"/>
  <c r="BM55" i="10"/>
  <c r="CJ39" i="10" s="1"/>
  <c r="CJ43" i="10" s="1"/>
  <c r="CJ32" i="10" s="1"/>
  <c r="CJ34" i="10" s="1"/>
  <c r="BO36" i="10"/>
  <c r="BO34" i="10"/>
  <c r="BO35" i="10"/>
  <c r="AW48" i="10"/>
  <c r="BO42" i="10"/>
  <c r="BO46" i="10"/>
  <c r="BO47" i="10" s="1"/>
  <c r="BO29" i="10"/>
  <c r="BO75" i="10"/>
  <c r="BO76" i="10"/>
  <c r="BO74" i="10"/>
  <c r="BO77" i="10"/>
  <c r="BO78" i="10"/>
  <c r="BO79" i="10"/>
  <c r="BO73" i="10"/>
  <c r="BO68" i="10" s="1"/>
  <c r="AY32" i="10"/>
  <c r="BQ23" i="10"/>
  <c r="AY46" i="10"/>
  <c r="AY44" i="10"/>
  <c r="AG30" i="10"/>
  <c r="AY45" i="10"/>
  <c r="BQ24" i="10"/>
  <c r="BR22" i="10"/>
  <c r="AZ26" i="10"/>
  <c r="AZ30" i="10" s="1"/>
  <c r="AZ32" i="10"/>
  <c r="BP26" i="10"/>
  <c r="BP62" i="10"/>
  <c r="BP33" i="10"/>
  <c r="BP63" i="10"/>
  <c r="BN68" i="10"/>
  <c r="BN88" i="10"/>
  <c r="BN55" i="10"/>
  <c r="CK39" i="10" s="1"/>
  <c r="BN58" i="10"/>
  <c r="CK43" i="10"/>
  <c r="CM38" i="9"/>
  <c r="BG59" i="9"/>
  <c r="BQ67" i="9"/>
  <c r="BF72" i="9"/>
  <c r="BQ87" i="9"/>
  <c r="BF98" i="9"/>
  <c r="CN38" i="9"/>
  <c r="CN42" i="9" s="1"/>
  <c r="CN31" i="9" s="1"/>
  <c r="CN33" i="9" s="1"/>
  <c r="BG58" i="9"/>
  <c r="AB20" i="9" s="1"/>
  <c r="BG48" i="9"/>
  <c r="AB17" i="9" s="1"/>
  <c r="CK31" i="9"/>
  <c r="BG47" i="9"/>
  <c r="AB16" i="9" s="1"/>
  <c r="CJ43" i="8"/>
  <c r="CM48" i="8"/>
  <c r="BG47" i="7"/>
  <c r="AB16" i="7" s="1"/>
  <c r="BG48" i="7"/>
  <c r="AB17" i="7" s="1"/>
  <c r="AB13" i="7"/>
  <c r="BQ87" i="7"/>
  <c r="BF98" i="7"/>
  <c r="CD43" i="7"/>
  <c r="CB10" i="7"/>
  <c r="BG58" i="7"/>
  <c r="AB20" i="7" s="1"/>
  <c r="CD44" i="7"/>
  <c r="CJ33" i="7"/>
  <c r="CB31" i="7"/>
  <c r="CB32" i="7" s="1"/>
  <c r="CJ9" i="7" s="1"/>
  <c r="CJ10" i="7"/>
  <c r="BQ67" i="7"/>
  <c r="BF72" i="7"/>
  <c r="BG47" i="11"/>
  <c r="AB16" i="11" s="1"/>
  <c r="AB13" i="11"/>
  <c r="BG48" i="11"/>
  <c r="AB17" i="11" s="1"/>
  <c r="CK31" i="11"/>
  <c r="BQ87" i="11"/>
  <c r="BF98" i="11"/>
  <c r="BQ54" i="11"/>
  <c r="BQ67" i="11"/>
  <c r="BN56" i="4"/>
  <c r="BU13" i="4"/>
  <c r="BU35" i="4"/>
  <c r="BU33" i="4"/>
  <c r="BU34" i="4" s="1"/>
  <c r="BT52" i="4"/>
  <c r="BT56" i="4"/>
  <c r="BR68" i="4"/>
  <c r="BR88" i="4"/>
  <c r="BR43" i="4"/>
  <c r="BS53" i="4"/>
  <c r="BS54" i="4" s="1"/>
  <c r="BS42" i="4"/>
  <c r="BT51" i="4"/>
  <c r="BT40" i="4"/>
  <c r="BN33" i="4"/>
  <c r="AV47" i="4"/>
  <c r="BL42" i="4"/>
  <c r="BL53" i="4"/>
  <c r="BO25" i="4"/>
  <c r="BO64" i="4"/>
  <c r="BO63" i="4"/>
  <c r="AW39" i="4"/>
  <c r="BN45" i="4"/>
  <c r="BM52" i="4"/>
  <c r="AX31" i="4"/>
  <c r="AF31" i="4" s="1"/>
  <c r="BO32" i="4"/>
  <c r="BP22" i="4"/>
  <c r="BN41" i="4"/>
  <c r="BM35" i="4"/>
  <c r="BP23" i="4"/>
  <c r="AX46" i="4"/>
  <c r="AX39" i="4"/>
  <c r="AX45" i="4"/>
  <c r="AX44" i="4"/>
  <c r="AY29" i="4"/>
  <c r="AY31" i="4" s="1"/>
  <c r="BQ21" i="4"/>
  <c r="BL43" i="4"/>
  <c r="BL54" i="4"/>
  <c r="CI38" i="4" s="1"/>
  <c r="CI42" i="4" s="1"/>
  <c r="CI31" i="4" s="1"/>
  <c r="CI33" i="4" s="1"/>
  <c r="BM34" i="4"/>
  <c r="BM53" i="4" s="1"/>
  <c r="AF29" i="4"/>
  <c r="BU63" i="4"/>
  <c r="BU64" i="4"/>
  <c r="BR35" i="8" l="1"/>
  <c r="BR71" i="8"/>
  <c r="BR42" i="8"/>
  <c r="BR72" i="8"/>
  <c r="BQ66" i="8"/>
  <c r="BQ62" i="8"/>
  <c r="BQ107" i="8"/>
  <c r="BQ108" i="8"/>
  <c r="BQ52" i="8"/>
  <c r="BQ53" i="8" s="1"/>
  <c r="BQ63" i="8"/>
  <c r="BQ82" i="8"/>
  <c r="BQ84" i="8"/>
  <c r="BQ87" i="8"/>
  <c r="BQ88" i="8"/>
  <c r="BQ85" i="8"/>
  <c r="BQ83" i="8"/>
  <c r="BQ86" i="8"/>
  <c r="BP34" i="10"/>
  <c r="BP36" i="10"/>
  <c r="BP35" i="10"/>
  <c r="AX48" i="10"/>
  <c r="BP42" i="10"/>
  <c r="BP29" i="10"/>
  <c r="BP46" i="10"/>
  <c r="BP47" i="10" s="1"/>
  <c r="BP74" i="10"/>
  <c r="BP75" i="10"/>
  <c r="BP76" i="10"/>
  <c r="BP73" i="10"/>
  <c r="BP79" i="10"/>
  <c r="BP78" i="10"/>
  <c r="BP77" i="10"/>
  <c r="AZ40" i="10"/>
  <c r="AZ47" i="10"/>
  <c r="BR23" i="10"/>
  <c r="AZ46" i="10"/>
  <c r="AZ44" i="10"/>
  <c r="AZ45" i="10"/>
  <c r="BR24" i="10"/>
  <c r="BQ26" i="10"/>
  <c r="BQ62" i="10"/>
  <c r="BQ63" i="10"/>
  <c r="BQ33" i="10"/>
  <c r="AY40" i="10"/>
  <c r="AG40" i="10" s="1"/>
  <c r="AY47" i="10"/>
  <c r="AG32" i="10"/>
  <c r="BO57" i="10"/>
  <c r="BO58" i="10" s="1"/>
  <c r="BO53" i="10"/>
  <c r="BO97" i="10"/>
  <c r="BO98" i="10"/>
  <c r="BO99" i="10"/>
  <c r="BO54" i="10"/>
  <c r="BO43" i="10"/>
  <c r="BO44" i="10" s="1"/>
  <c r="CK32" i="10"/>
  <c r="CK33" i="9"/>
  <c r="CM42" i="9"/>
  <c r="CJ10" i="9"/>
  <c r="CM52" i="8"/>
  <c r="CB8" i="7"/>
  <c r="CB9" i="7"/>
  <c r="CN38" i="11"/>
  <c r="BG58" i="11"/>
  <c r="AB20" i="11" s="1"/>
  <c r="BG59" i="11"/>
  <c r="CK33" i="11"/>
  <c r="BS68" i="4"/>
  <c r="BS88" i="4"/>
  <c r="BS43" i="4"/>
  <c r="BR89" i="4"/>
  <c r="BD102" i="4"/>
  <c r="BE102" i="4" s="1"/>
  <c r="BD82" i="4"/>
  <c r="BE82" i="4" s="1"/>
  <c r="BR69" i="4"/>
  <c r="BT53" i="4"/>
  <c r="BT54" i="4" s="1"/>
  <c r="BT42" i="4"/>
  <c r="BU53" i="4"/>
  <c r="BU42" i="4"/>
  <c r="BU14" i="4"/>
  <c r="BO33" i="4"/>
  <c r="AW47" i="4"/>
  <c r="BM42" i="4"/>
  <c r="BO41" i="4"/>
  <c r="BO28" i="4"/>
  <c r="BP25" i="4"/>
  <c r="BP28" i="4" s="1"/>
  <c r="BP64" i="4"/>
  <c r="BP63" i="4"/>
  <c r="BO45" i="4"/>
  <c r="BP32" i="4"/>
  <c r="AA9" i="4" s="1"/>
  <c r="BQ22" i="4"/>
  <c r="AY43" i="4"/>
  <c r="BN35" i="4"/>
  <c r="BD94" i="4"/>
  <c r="BG74" i="4"/>
  <c r="AY46" i="4"/>
  <c r="AY39" i="4"/>
  <c r="AY45" i="4"/>
  <c r="AY44" i="4"/>
  <c r="BN52" i="4"/>
  <c r="BM43" i="4"/>
  <c r="BM54" i="4"/>
  <c r="CJ38" i="4" s="1"/>
  <c r="CJ42" i="4" s="1"/>
  <c r="CJ31" i="4" s="1"/>
  <c r="CJ33" i="4" s="1"/>
  <c r="BD95" i="4"/>
  <c r="BK95" i="4" s="1"/>
  <c r="BD75" i="4"/>
  <c r="BN34" i="4"/>
  <c r="BQ77" i="8" l="1"/>
  <c r="BQ97" i="8"/>
  <c r="BQ64" i="8"/>
  <c r="BR43" i="8"/>
  <c r="BR44" i="8"/>
  <c r="BR45" i="8"/>
  <c r="AC9" i="8"/>
  <c r="AZ48" i="8"/>
  <c r="BR51" i="8"/>
  <c r="BR38" i="8"/>
  <c r="BR55" i="8"/>
  <c r="BR82" i="8"/>
  <c r="BR85" i="8"/>
  <c r="BR83" i="8"/>
  <c r="BR84" i="8"/>
  <c r="BR87" i="8"/>
  <c r="BR86" i="8"/>
  <c r="BR88" i="8"/>
  <c r="BO88" i="10"/>
  <c r="BF97" i="10"/>
  <c r="BO55" i="10"/>
  <c r="CL39" i="10" s="1"/>
  <c r="CL43" i="10" s="1"/>
  <c r="CL32" i="10" s="1"/>
  <c r="CL34" i="10" s="1"/>
  <c r="BQ34" i="10"/>
  <c r="BQ36" i="10"/>
  <c r="AB9" i="10"/>
  <c r="BQ35" i="10"/>
  <c r="AY48" i="10"/>
  <c r="AZ48" i="10" s="1"/>
  <c r="BQ42" i="10"/>
  <c r="BQ46" i="10"/>
  <c r="BQ47" i="10" s="1"/>
  <c r="AB19" i="10" s="1" a="1"/>
  <c r="AB19" i="10" s="1"/>
  <c r="BQ29" i="10"/>
  <c r="BQ73" i="10"/>
  <c r="BQ75" i="10"/>
  <c r="BF75" i="10" s="1"/>
  <c r="BQ74" i="10"/>
  <c r="BF74" i="10" s="1"/>
  <c r="BQ78" i="10"/>
  <c r="BF78" i="10" s="1"/>
  <c r="BQ79" i="10"/>
  <c r="BF79" i="10" s="1"/>
  <c r="BQ76" i="10"/>
  <c r="BF76" i="10" s="1"/>
  <c r="BR62" i="10"/>
  <c r="AB25" i="10" s="1"/>
  <c r="BR63" i="10"/>
  <c r="AB26" i="10" s="1"/>
  <c r="BP68" i="10"/>
  <c r="BP57" i="10"/>
  <c r="BP58" i="10" s="1"/>
  <c r="BP53" i="10"/>
  <c r="BP98" i="10"/>
  <c r="BP99" i="10"/>
  <c r="BP43" i="10"/>
  <c r="BP44" i="10" s="1"/>
  <c r="BP54" i="10"/>
  <c r="CK34" i="10"/>
  <c r="CM31" i="9"/>
  <c r="CD43" i="9"/>
  <c r="CB10" i="9"/>
  <c r="CD44" i="9"/>
  <c r="CM41" i="8"/>
  <c r="CN42" i="11"/>
  <c r="CJ10" i="11"/>
  <c r="BN53" i="4"/>
  <c r="BP56" i="4"/>
  <c r="BO56" i="4"/>
  <c r="BU51" i="4"/>
  <c r="BU54" i="4" s="1"/>
  <c r="BU40" i="4"/>
  <c r="BU43" i="4" s="1"/>
  <c r="BU56" i="4"/>
  <c r="BU68" i="4"/>
  <c r="BU88" i="4"/>
  <c r="BT68" i="4"/>
  <c r="BT88" i="4"/>
  <c r="BT43" i="4"/>
  <c r="BS89" i="4"/>
  <c r="BD103" i="4"/>
  <c r="BE103" i="4" s="1"/>
  <c r="BS69" i="4"/>
  <c r="BD83" i="4"/>
  <c r="BE83" i="4" s="1"/>
  <c r="BP33" i="4"/>
  <c r="AX47" i="4"/>
  <c r="AY47" i="4" s="1"/>
  <c r="BN42" i="4"/>
  <c r="BQ63" i="4"/>
  <c r="AA24" i="4" s="1"/>
  <c r="BQ64" i="4"/>
  <c r="AA25" i="4" s="1"/>
  <c r="BK74" i="4"/>
  <c r="BJ74" i="4"/>
  <c r="BL74" i="4"/>
  <c r="BM74" i="4"/>
  <c r="BN74" i="4"/>
  <c r="BP45" i="4"/>
  <c r="BP41" i="4"/>
  <c r="BJ94" i="4"/>
  <c r="BK75" i="4"/>
  <c r="BJ75" i="4"/>
  <c r="BL75" i="4"/>
  <c r="BM75" i="4"/>
  <c r="BN75" i="4"/>
  <c r="BJ95" i="4"/>
  <c r="BO35" i="4"/>
  <c r="BP35" i="4"/>
  <c r="BO52" i="4"/>
  <c r="BN54" i="4"/>
  <c r="CK38" i="4" s="1"/>
  <c r="CK42" i="4" s="1"/>
  <c r="CK31" i="4" s="1"/>
  <c r="CK33" i="4" s="1"/>
  <c r="BN43" i="4"/>
  <c r="BD76" i="4"/>
  <c r="BD96" i="4"/>
  <c r="BL96" i="4" s="1"/>
  <c r="BO34" i="4"/>
  <c r="BP34" i="4"/>
  <c r="BP53" i="4" l="1"/>
  <c r="BP42" i="4"/>
  <c r="BA48" i="8"/>
  <c r="BR77" i="8"/>
  <c r="BR66" i="8"/>
  <c r="BR62" i="8"/>
  <c r="BR108" i="8"/>
  <c r="BR63" i="8"/>
  <c r="BR52" i="8"/>
  <c r="BR53" i="8" s="1"/>
  <c r="CN48" i="8"/>
  <c r="BP88" i="10"/>
  <c r="BF98" i="10"/>
  <c r="BP55" i="10"/>
  <c r="BF73" i="10"/>
  <c r="BQ57" i="10"/>
  <c r="BQ58" i="10" s="1"/>
  <c r="AB23" i="10" s="1"/>
  <c r="BQ53" i="10"/>
  <c r="BQ99" i="10"/>
  <c r="BQ77" i="10"/>
  <c r="BQ43" i="10"/>
  <c r="BQ44" i="10" s="1"/>
  <c r="BQ54" i="10"/>
  <c r="CB8" i="9"/>
  <c r="CB9" i="9"/>
  <c r="CM33" i="9"/>
  <c r="CB31" i="9"/>
  <c r="CB32" i="9" s="1"/>
  <c r="CJ9" i="9" s="1"/>
  <c r="CM43" i="8"/>
  <c r="CN31" i="11"/>
  <c r="CD43" i="11"/>
  <c r="CD44" i="11"/>
  <c r="CB10" i="11"/>
  <c r="BO53" i="4"/>
  <c r="BT89" i="4"/>
  <c r="BD104" i="4"/>
  <c r="BE104" i="4" s="1"/>
  <c r="BD84" i="4"/>
  <c r="BE84" i="4" s="1"/>
  <c r="BT69" i="4"/>
  <c r="BU89" i="4"/>
  <c r="BD105" i="4"/>
  <c r="BE105" i="4" s="1"/>
  <c r="BD85" i="4"/>
  <c r="BE85" i="4" s="1"/>
  <c r="BU69" i="4"/>
  <c r="BO75" i="4"/>
  <c r="BO42" i="4"/>
  <c r="BP75" i="4"/>
  <c r="BP74" i="4"/>
  <c r="BO74" i="4"/>
  <c r="BJ76" i="4"/>
  <c r="BK76" i="4"/>
  <c r="BL76" i="4"/>
  <c r="BM76" i="4"/>
  <c r="BN76" i="4"/>
  <c r="BO76" i="4"/>
  <c r="BP76" i="4"/>
  <c r="BJ96" i="4"/>
  <c r="BK96" i="4"/>
  <c r="BP43" i="4"/>
  <c r="BP52" i="4"/>
  <c r="BO43" i="4"/>
  <c r="BO54" i="4"/>
  <c r="CL38" i="4" s="1"/>
  <c r="CL42" i="4" s="1"/>
  <c r="CL31" i="4" s="1"/>
  <c r="CL33" i="4" s="1"/>
  <c r="BD77" i="4"/>
  <c r="BD97" i="4"/>
  <c r="BM97" i="4" s="1"/>
  <c r="CN52" i="8" l="1"/>
  <c r="BR97" i="8"/>
  <c r="BR64" i="8"/>
  <c r="BG48" i="10"/>
  <c r="AB17" i="10" s="1"/>
  <c r="BG49" i="10"/>
  <c r="AB18" i="10" s="1"/>
  <c r="AB14" i="10"/>
  <c r="BF77" i="10"/>
  <c r="BQ68" i="10"/>
  <c r="BQ88" i="10"/>
  <c r="BF99" i="10"/>
  <c r="BQ55" i="10"/>
  <c r="CN39" i="10" s="1"/>
  <c r="CN43" i="10" s="1"/>
  <c r="CM39" i="10"/>
  <c r="BG59" i="10"/>
  <c r="AB21" i="10" s="1"/>
  <c r="BG60" i="10"/>
  <c r="CN32" i="10"/>
  <c r="CB8" i="11"/>
  <c r="CB9" i="11"/>
  <c r="CN33" i="11"/>
  <c r="CB31" i="11"/>
  <c r="CB32" i="11" s="1"/>
  <c r="CJ9" i="11" s="1"/>
  <c r="BP54" i="4"/>
  <c r="CM38" i="4" s="1"/>
  <c r="CM42" i="4" s="1"/>
  <c r="CM31" i="4" s="1"/>
  <c r="CM33" i="4" s="1"/>
  <c r="BK97" i="4"/>
  <c r="BJ97" i="4"/>
  <c r="BL97" i="4"/>
  <c r="BJ77" i="4"/>
  <c r="BK77" i="4"/>
  <c r="BL77" i="4"/>
  <c r="BM77" i="4"/>
  <c r="BN77" i="4"/>
  <c r="BO77" i="4"/>
  <c r="BP77" i="4"/>
  <c r="BD78" i="4"/>
  <c r="BD98" i="4"/>
  <c r="BN98" i="4" s="1"/>
  <c r="CO48" i="8" l="1"/>
  <c r="CN41" i="8"/>
  <c r="CM43" i="10"/>
  <c r="CJ10" i="10"/>
  <c r="CN34" i="10"/>
  <c r="BK98" i="4"/>
  <c r="BJ98" i="4"/>
  <c r="BL98" i="4"/>
  <c r="BM98" i="4"/>
  <c r="BK78" i="4"/>
  <c r="BJ78" i="4"/>
  <c r="BL78" i="4"/>
  <c r="BM78" i="4"/>
  <c r="BN78" i="4"/>
  <c r="BO78" i="4"/>
  <c r="BP78" i="4"/>
  <c r="BD80" i="4"/>
  <c r="BD100" i="4"/>
  <c r="BP100" i="4" s="1"/>
  <c r="BD79" i="4"/>
  <c r="BD99" i="4"/>
  <c r="BO99" i="4" s="1"/>
  <c r="CN43" i="8" l="1"/>
  <c r="CO52" i="8"/>
  <c r="CM32" i="10"/>
  <c r="CB10" i="10"/>
  <c r="CD45" i="10"/>
  <c r="CD44" i="10"/>
  <c r="BJ99" i="4"/>
  <c r="BK99" i="4"/>
  <c r="BL99" i="4"/>
  <c r="BM99" i="4"/>
  <c r="BN99" i="4"/>
  <c r="BK100" i="4"/>
  <c r="BJ100" i="4"/>
  <c r="BL100" i="4"/>
  <c r="BL89" i="4" s="1"/>
  <c r="BM100" i="4"/>
  <c r="BM89" i="4" s="1"/>
  <c r="BN100" i="4"/>
  <c r="BO100" i="4"/>
  <c r="BP89" i="4"/>
  <c r="BJ79" i="4"/>
  <c r="BK79" i="4"/>
  <c r="BL79" i="4"/>
  <c r="BM79" i="4"/>
  <c r="BN79" i="4"/>
  <c r="BO79" i="4"/>
  <c r="BP79" i="4"/>
  <c r="BJ80" i="4"/>
  <c r="BK80" i="4"/>
  <c r="BK69" i="4" s="1"/>
  <c r="BL80" i="4"/>
  <c r="BM80" i="4"/>
  <c r="BN80" i="4"/>
  <c r="BO80" i="4"/>
  <c r="BP80" i="4"/>
  <c r="CO41" i="8" l="1"/>
  <c r="CB8" i="10"/>
  <c r="CB9" i="10"/>
  <c r="CM34" i="10"/>
  <c r="CB32" i="10"/>
  <c r="CB33" i="10" s="1"/>
  <c r="CJ9" i="10" s="1"/>
  <c r="BL69" i="4"/>
  <c r="BO69" i="4"/>
  <c r="BM69" i="4"/>
  <c r="BJ69" i="4"/>
  <c r="BO89" i="4"/>
  <c r="BP69" i="4"/>
  <c r="BN69" i="4"/>
  <c r="CO43" i="8" l="1"/>
  <c r="BN89" i="4"/>
  <c r="AN33" i="4" l="1"/>
  <c r="AP37" i="4"/>
  <c r="AQ37" i="4"/>
  <c r="BI24" i="4" s="1"/>
  <c r="BI25" i="4" s="1"/>
  <c r="AM39" i="4"/>
  <c r="AO39" i="4"/>
  <c r="AF39" i="4" s="1"/>
  <c r="AP39" i="4"/>
  <c r="AQ39" i="4"/>
  <c r="BI45" i="4"/>
  <c r="AO46" i="4"/>
  <c r="AQ46" i="4"/>
  <c r="BI72" i="4"/>
  <c r="BI73" i="4"/>
  <c r="BI74" i="4"/>
  <c r="BI75" i="4"/>
  <c r="BI76" i="4"/>
  <c r="BI77" i="4"/>
  <c r="BI78" i="4"/>
  <c r="BI79" i="4"/>
  <c r="BI80" i="4"/>
  <c r="BI28" i="4" l="1"/>
  <c r="BI41" i="4"/>
  <c r="BI43" i="4" s="1"/>
  <c r="BH24" i="4"/>
  <c r="BH25" i="4" s="1"/>
  <c r="BH41" i="4" s="1"/>
  <c r="AP46" i="4"/>
  <c r="BI56" i="4"/>
  <c r="BI93" i="4"/>
  <c r="BI94" i="4"/>
  <c r="BI100" i="4"/>
  <c r="BH73" i="4"/>
  <c r="BI69" i="4"/>
  <c r="AF37" i="4"/>
  <c r="BI52" i="4" l="1"/>
  <c r="BI54" i="4" s="1"/>
  <c r="CF38" i="4" s="1"/>
  <c r="CF42" i="4" s="1"/>
  <c r="CF31" i="4" s="1"/>
  <c r="CF33" i="4" s="1"/>
  <c r="BI95" i="4"/>
  <c r="BI96" i="4"/>
  <c r="BI97" i="4"/>
  <c r="BI98" i="4"/>
  <c r="BI99" i="4"/>
  <c r="BH28" i="4"/>
  <c r="BH56" i="4" s="1"/>
  <c r="BH43" i="4"/>
  <c r="BH45" i="4"/>
  <c r="BH72" i="4"/>
  <c r="BH74" i="4"/>
  <c r="BH75" i="4"/>
  <c r="BH76" i="4"/>
  <c r="BH77" i="4"/>
  <c r="BH78" i="4"/>
  <c r="BH79" i="4"/>
  <c r="BH80" i="4"/>
  <c r="BG71" i="4"/>
  <c r="BG72" i="4"/>
  <c r="BE72" i="4" s="1"/>
  <c r="BG73" i="4"/>
  <c r="BE73" i="4" s="1"/>
  <c r="BE74" i="4"/>
  <c r="BG75" i="4"/>
  <c r="BE75" i="4" s="1"/>
  <c r="BG76" i="4"/>
  <c r="BE76" i="4" s="1"/>
  <c r="BG77" i="4"/>
  <c r="BE77" i="4" s="1"/>
  <c r="BG78" i="4"/>
  <c r="BE78" i="4" s="1"/>
  <c r="BG79" i="4"/>
  <c r="BE79" i="4" s="1"/>
  <c r="BG80" i="4"/>
  <c r="BE80" i="4" s="1"/>
  <c r="BG91" i="4" l="1"/>
  <c r="BH99" i="4"/>
  <c r="BQ57" i="4"/>
  <c r="BR57" i="4"/>
  <c r="BS57" i="4"/>
  <c r="BT57" i="4"/>
  <c r="BU57" i="4"/>
  <c r="BH69" i="4"/>
  <c r="BH52" i="4"/>
  <c r="BH54" i="4" s="1"/>
  <c r="CE38" i="4" s="1"/>
  <c r="CE42" i="4" s="1"/>
  <c r="CE31" i="4" s="1"/>
  <c r="CE33" i="4" s="1"/>
  <c r="BH92" i="4"/>
  <c r="BH93" i="4"/>
  <c r="BH94" i="4"/>
  <c r="BH95" i="4"/>
  <c r="BH96" i="4"/>
  <c r="BH97" i="4"/>
  <c r="BH98" i="4"/>
  <c r="BH100" i="4"/>
  <c r="BG69" i="4"/>
  <c r="BE71" i="4"/>
  <c r="BH46" i="4"/>
  <c r="BI46" i="4"/>
  <c r="BJ46" i="4"/>
  <c r="BK46" i="4"/>
  <c r="BL46" i="4"/>
  <c r="BM46" i="4"/>
  <c r="BN46" i="4"/>
  <c r="BO46" i="4"/>
  <c r="BP46" i="4"/>
  <c r="AA18" i="4" s="1" a="1"/>
  <c r="AA18" i="4" s="1"/>
  <c r="BG54" i="4"/>
  <c r="BF61" i="4" s="1"/>
  <c r="BH91" i="4"/>
  <c r="BH89" i="4" s="1"/>
  <c r="BI91" i="4"/>
  <c r="BI89" i="4" s="1"/>
  <c r="BJ91" i="4"/>
  <c r="BJ89" i="4" s="1"/>
  <c r="BK91" i="4"/>
  <c r="BK89" i="4" s="1"/>
  <c r="BG92" i="4"/>
  <c r="BE92" i="4" s="1"/>
  <c r="BG93" i="4"/>
  <c r="BE93" i="4" s="1"/>
  <c r="BG94" i="4"/>
  <c r="BE94" i="4" s="1"/>
  <c r="BG95" i="4"/>
  <c r="BE95" i="4" s="1"/>
  <c r="BG96" i="4"/>
  <c r="BE96" i="4" s="1"/>
  <c r="BG97" i="4"/>
  <c r="BE97" i="4" s="1"/>
  <c r="BG98" i="4"/>
  <c r="BE98" i="4" s="1"/>
  <c r="BG99" i="4"/>
  <c r="BE99" i="4" s="1"/>
  <c r="BG100" i="4"/>
  <c r="BF48" i="4" l="1"/>
  <c r="BF47" i="4"/>
  <c r="BF58" i="4"/>
  <c r="CD38" i="4"/>
  <c r="AA13" i="4"/>
  <c r="AA16" i="4"/>
  <c r="T17" i="4" s="1"/>
  <c r="AA17" i="4"/>
  <c r="U17" i="4" s="1"/>
  <c r="CD42" i="4"/>
  <c r="CI10" i="4"/>
  <c r="BE100" i="4"/>
  <c r="BI57" i="4"/>
  <c r="BH57" i="4"/>
  <c r="AA21" i="4"/>
  <c r="U18" i="4" s="1"/>
  <c r="BJ57" i="4"/>
  <c r="BG89" i="4"/>
  <c r="BE91" i="4"/>
  <c r="BK57" i="4"/>
  <c r="BL57" i="4"/>
  <c r="BM57" i="4"/>
  <c r="BN57" i="4"/>
  <c r="BO57" i="4"/>
  <c r="BP57" i="4"/>
  <c r="AA22" i="4" s="1"/>
  <c r="AA20" i="4" l="1"/>
  <c r="T18" i="4" s="1"/>
  <c r="CA10" i="4"/>
  <c r="CD31" i="4"/>
  <c r="CC43" i="4"/>
  <c r="CC44" i="4"/>
  <c r="CD33" i="4" l="1"/>
  <c r="CA31" i="4"/>
  <c r="CA32" i="4" s="1"/>
  <c r="CI9" i="4" s="1"/>
  <c r="CA8" i="4"/>
  <c r="CA9" i="4"/>
  <c r="AL45" i="8"/>
  <c r="AL15" i="8"/>
  <c r="AL47" i="8"/>
  <c r="AL32" i="8"/>
  <c r="AL40" i="8"/>
  <c r="AL46" i="8"/>
  <c r="AL11" i="8"/>
  <c r="AL13" i="8"/>
  <c r="AL17" i="8"/>
  <c r="AL26" i="8"/>
  <c r="AL30" i="8"/>
  <c r="AL44" i="8"/>
  <c r="CC8" i="8"/>
  <c r="CC10" i="8"/>
  <c r="CC9" i="8"/>
  <c r="CK10" i="8"/>
  <c r="BG108" i="8"/>
  <c r="BI108" i="8"/>
  <c r="AC19" i="8"/>
  <c r="BH58" i="8"/>
  <c r="AC15" i="8"/>
  <c r="BI51" i="8"/>
  <c r="BI53" i="8"/>
  <c r="BH57" i="8"/>
  <c r="AC18" i="8"/>
  <c r="BG82" i="8"/>
  <c r="BI82" i="8"/>
  <c r="AH48" i="8"/>
  <c r="AQ48" i="8"/>
  <c r="BG85" i="8"/>
  <c r="BI85" i="8"/>
  <c r="BG83" i="8"/>
  <c r="BI83" i="8"/>
  <c r="BG84" i="8"/>
  <c r="BI84" i="8"/>
  <c r="BG87" i="8"/>
  <c r="BI87" i="8"/>
  <c r="BG86" i="8"/>
  <c r="BI86" i="8"/>
  <c r="BG88" i="8"/>
  <c r="BI88" i="8"/>
  <c r="BG107" i="8"/>
  <c r="BI107" i="8"/>
  <c r="AC27" i="8"/>
  <c r="BI71" i="8"/>
  <c r="AC28" i="8"/>
  <c r="BI72" i="8"/>
  <c r="AH40" i="8"/>
  <c r="AQ40" i="8"/>
  <c r="AH32" i="8"/>
  <c r="AQ32" i="8"/>
  <c r="AQ47" i="8"/>
  <c r="AH47" i="8"/>
  <c r="AH44" i="8"/>
  <c r="AQ44" i="8"/>
  <c r="AO26" i="8"/>
  <c r="AH30" i="8"/>
  <c r="BI32" i="8"/>
  <c r="AO30" i="8"/>
  <c r="AQ26" i="8"/>
  <c r="AQ30" i="8"/>
  <c r="AQ46" i="8"/>
  <c r="AH46" i="8"/>
  <c r="AH45" i="8"/>
  <c r="AQ45" i="8"/>
  <c r="BG105" i="8"/>
  <c r="BI105" i="8"/>
  <c r="BG106" i="8"/>
  <c r="BI106" i="8"/>
  <c r="BG104" i="8"/>
  <c r="BI104" i="8"/>
  <c r="BJ97" i="8"/>
  <c r="BJ99" i="8"/>
  <c r="BG103" i="8"/>
  <c r="BI103" i="8"/>
  <c r="CE53" i="8"/>
  <c r="CE54" i="8"/>
  <c r="CF43" i="8"/>
  <c r="CF48" i="8"/>
  <c r="CF52" i="8"/>
  <c r="CF41" i="8"/>
  <c r="CC41" i="8"/>
  <c r="CC42" i="8"/>
  <c r="CK9" i="8"/>
  <c r="BH69" i="8"/>
  <c r="BI62" i="8"/>
  <c r="BI64" i="8"/>
  <c r="BH68" i="8"/>
  <c r="AC23" i="8"/>
  <c r="BG102" i="8"/>
  <c r="BI102" i="8"/>
  <c r="AC25" i="8"/>
  <c r="BR67" i="8"/>
  <c r="BQ67" i="8"/>
  <c r="BP67" i="8"/>
  <c r="BO67" i="8"/>
  <c r="BN67" i="8"/>
  <c r="BM67" i="8"/>
  <c r="BL67" i="8"/>
  <c r="BI67" i="8"/>
  <c r="BJ67" i="8"/>
  <c r="BI66" i="8"/>
  <c r="BK67" i="8"/>
  <c r="BG99" i="8"/>
  <c r="BI99" i="8"/>
  <c r="BI97" i="8"/>
  <c r="BG79" i="8"/>
  <c r="BI79" i="8"/>
  <c r="BI77" i="8"/>
  <c r="AM48" i="8"/>
  <c r="AL48" i="8"/>
  <c r="AN48" i="8"/>
  <c r="BI43" i="8"/>
  <c r="BI45" i="8"/>
  <c r="BI63" i="8"/>
  <c r="BI42" i="8"/>
  <c r="BI44" i="8"/>
  <c r="BI52" i="8"/>
  <c r="AC21" i="8"/>
  <c r="AC21" i="8" a="1"/>
  <c r="BR56" i="8"/>
  <c r="BQ56" i="8"/>
  <c r="BP56" i="8"/>
  <c r="BO56" i="8"/>
  <c r="BN56" i="8"/>
  <c r="BM56" i="8"/>
  <c r="BI56" i="8"/>
  <c r="BJ56" i="8"/>
  <c r="BK56" i="8"/>
  <c r="BI55" i="8"/>
  <c r="BL56" i="8"/>
  <c r="BL97" i="8"/>
  <c r="BL99" i="8"/>
  <c r="BK97" i="8"/>
  <c r="BK99" i="8"/>
  <c r="BM97" i="8"/>
  <c r="BM99" i="8"/>
  <c r="BG100" i="8"/>
  <c r="BI100" i="8"/>
  <c r="BI38" i="8"/>
  <c r="BI101" i="8"/>
  <c r="BG101" i="8"/>
  <c r="BG80" i="8"/>
  <c r="BI80" i="8"/>
  <c r="BI35" i="8"/>
  <c r="BI81" i="8"/>
  <c r="BG81" i="8"/>
  <c r="BI31" i="8"/>
  <c r="BI33" i="8"/>
  <c r="AC6" i="8"/>
  <c r="AC4" i="8"/>
  <c r="AN47" i="8"/>
  <c r="AN32" i="8"/>
  <c r="AN40" i="8"/>
  <c r="AN44" i="8"/>
  <c r="AN30" i="8"/>
  <c r="AN46" i="8"/>
  <c r="AM44" i="8"/>
  <c r="AM30" i="8"/>
  <c r="AM46" i="8"/>
  <c r="AM47" i="8"/>
  <c r="AM32" i="8"/>
  <c r="AM40" i="8"/>
  <c r="AN45" i="8"/>
  <c r="AM15" i="8"/>
  <c r="AM13" i="8"/>
  <c r="AM17" i="8"/>
  <c r="AM26" i="8"/>
  <c r="AM11" i="8"/>
  <c r="AM45" i="8"/>
  <c r="AH11" i="8"/>
  <c r="AO11" i="8"/>
  <c r="AO13" i="8"/>
  <c r="AH13" i="8"/>
  <c r="AH15" i="8"/>
  <c r="AN15" i="8"/>
  <c r="AQ15" i="8"/>
  <c r="AO15" i="8"/>
  <c r="AO40" i="8"/>
  <c r="AO32" i="8"/>
  <c r="AO17" i="8"/>
  <c r="AN13" i="8"/>
  <c r="AN17" i="8"/>
  <c r="AN26" i="8"/>
  <c r="AN11" i="8"/>
  <c r="AQ11" i="8"/>
  <c r="AQ13" i="8"/>
  <c r="AQ17" i="8"/>
  <c r="AH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tc={6121EFF8-0DBD-4C10-8435-BD246334E35F}</author>
    <author>tc={5B6D5CA2-0F17-4426-9F89-496546944088}</author>
    <author>tc={7ACF765C-7450-42E6-81CE-241A5785FAFA}</author>
  </authors>
  <commentList>
    <comment ref="C8" authorId="0" shapeId="0" xr:uid="{06D5374B-59F3-43AF-9822-5392AD31CF35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G8" authorId="1" shapeId="0" xr:uid="{6121EFF8-0DBD-4C10-8435-BD246334E35F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C10" authorId="0" shapeId="0" xr:uid="{E0971A4C-1CFD-463C-A7D9-719DE123439D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C17" authorId="0" shapeId="0" xr:uid="{26F9BAFF-9FF8-4D8F-A811-B0BF8B124968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A33" authorId="2" shapeId="0" xr:uid="{5B6D5CA2-0F17-4426-9F89-4965469440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the name of this field
</t>
      </text>
    </comment>
    <comment ref="BP100" authorId="3" shapeId="0" xr:uid="{7ACF765C-7450-42E6-81CE-241A5785FA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tc={7B6435A4-0557-43B5-9AD2-3B23D7128882}</author>
    <author>tc={29F2CD88-5D66-428C-9B97-CE9CABD94509}</author>
  </authors>
  <commentList>
    <comment ref="D8" authorId="0" shapeId="0" xr:uid="{4D9C5F43-C12E-4132-AC27-BD58A2E5AACA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H8" authorId="1" shapeId="0" xr:uid="{7B6435A4-0557-43B5-9AD2-3B23D7128882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D10" authorId="0" shapeId="0" xr:uid="{5B9F34C6-F9E1-4942-AC54-75A0B113FDA1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D17" authorId="0" shapeId="0" xr:uid="{5741233D-56B5-4AF3-BB8D-02757D25A92A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BQ98" authorId="2" shapeId="0" xr:uid="{29F2CD88-5D66-428C-9B97-CE9CABD945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tc={48AB8BC3-B1D9-4D49-8436-A040C7BEF3F3}</author>
    <author>tc={9E2C4319-BABE-4262-B207-127F5ED63622}</author>
  </authors>
  <commentList>
    <comment ref="D8" authorId="0" shapeId="0" xr:uid="{C1DC63D3-169E-40D1-A27F-181409137AA5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H8" authorId="1" shapeId="0" xr:uid="{48AB8BC3-B1D9-4D49-8436-A040C7BEF3F3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D10" authorId="0" shapeId="0" xr:uid="{813746CC-73B6-4D29-9540-22E8CC34D906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D17" authorId="0" shapeId="0" xr:uid="{9780C2DF-48CB-433B-85F5-5071D9207084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BQ98" authorId="2" shapeId="0" xr:uid="{9E2C4319-BABE-4262-B207-127F5ED636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tc={DB728C8C-6B7C-4F1D-B980-2D629B03CB97}</author>
    <author>tc={4B860957-E4FD-4EF4-97B7-AD02E2A6E276}</author>
  </authors>
  <commentList>
    <comment ref="D8" authorId="0" shapeId="0" xr:uid="{7A679079-249A-43DD-BE74-7BE2A218BA39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H8" authorId="1" shapeId="0" xr:uid="{DB728C8C-6B7C-4F1D-B980-2D629B03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D10" authorId="0" shapeId="0" xr:uid="{00AAEDD9-A619-417C-A057-0CB7F4601BB3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D17" authorId="0" shapeId="0" xr:uid="{52E83D3C-BCF5-4161-86AB-8C197C221E87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BQ98" authorId="2" shapeId="0" xr:uid="{4B860957-E4FD-4EF4-97B7-AD02E2A6E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tc={623BEB51-E4BE-48C0-AAD7-121D7E87BA73}</author>
    <author>tc={F7ABD9AB-9295-47C3-8733-28CE9791CF25}</author>
  </authors>
  <commentList>
    <comment ref="D8" authorId="0" shapeId="0" xr:uid="{EA70F047-3F24-4A82-A7A3-C508667F0D1F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I8" authorId="1" shapeId="0" xr:uid="{623BEB51-E4BE-48C0-AAD7-121D7E87BA73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D10" authorId="0" shapeId="0" xr:uid="{F474DCAB-CEA9-4284-B1ED-B44B30A2EB33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D23" authorId="0" shapeId="0" xr:uid="{7CA6D19F-323B-4AB1-9296-F73E4B032D56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BR108" authorId="2" shapeId="0" xr:uid="{F7ABD9AB-9295-47C3-8733-28CE9791CF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burton</author>
    <author>tc={493BCCC0-0894-4CA4-B8EF-70243A784CFD}</author>
    <author>tc={900B7591-8F1E-4479-A102-960572E9DF6A}</author>
  </authors>
  <commentList>
    <comment ref="D8" authorId="0" shapeId="0" xr:uid="{83101258-F2B2-434A-80CB-63A551CDEA8B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Must start on first day of month.</t>
        </r>
      </text>
    </comment>
    <comment ref="BH8" authorId="1" shapeId="0" xr:uid="{493BCCC0-0894-4CA4-B8EF-70243A784CFD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extends till analysis period ends with extra yr for terminal value</t>
      </text>
    </comment>
    <comment ref="D10" authorId="0" shapeId="0" xr:uid="{0EDAF2FF-3D14-4CA2-8E12-821CC8D9A17A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Minimum 1 year</t>
        </r>
        <r>
          <rPr>
            <sz val="9"/>
            <color rgb="FF000000"/>
            <rFont val="Tahoma"/>
            <family val="2"/>
          </rPr>
          <t xml:space="preserve">
Maximum 15 years</t>
        </r>
      </text>
    </comment>
    <comment ref="D18" authorId="0" shapeId="0" xr:uid="{7A0E324F-2868-43D8-9A7A-73E9B5785EDD}">
      <text>
        <r>
          <rPr>
            <b/>
            <sz val="9"/>
            <color rgb="FF000000"/>
            <rFont val="Tahoma"/>
            <family val="2"/>
          </rPr>
          <t>burton:</t>
        </r>
        <r>
          <rPr>
            <sz val="9"/>
            <color rgb="FF000000"/>
            <rFont val="Tahoma"/>
            <family val="2"/>
          </rPr>
          <t xml:space="preserve">
Exclusing Lease-up and ARGUS included year one CapEx.</t>
        </r>
      </text>
    </comment>
    <comment ref="BQ99" authorId="2" shapeId="0" xr:uid="{900B7591-8F1E-4479-A102-960572E9DF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Reconciles with levered CF in the base model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<sst xmlns="http://schemas.openxmlformats.org/spreadsheetml/2006/main" count="7331" uniqueCount="640">
  <si>
    <t>PARTNERSHIP-LEVEL RETURNS - EQUITY WATERFALL (IRR &amp; EQUITY MULTIPLE HURDLES)</t>
  </si>
  <si>
    <t> </t>
  </si>
  <si>
    <t>HILAND OFFICE</t>
  </si>
  <si>
    <t>Promote Hurdle Method</t>
  </si>
  <si>
    <t>IRR</t>
  </si>
  <si>
    <t>Return of Capital</t>
  </si>
  <si>
    <t>Pari Passu</t>
  </si>
  <si>
    <t>Yes</t>
  </si>
  <si>
    <t>Equity Contributions</t>
  </si>
  <si>
    <t>%</t>
  </si>
  <si>
    <t>Amount</t>
  </si>
  <si>
    <t>General Partner (GP)</t>
  </si>
  <si>
    <t>Error Check:</t>
  </si>
  <si>
    <t>OK</t>
  </si>
  <si>
    <t>Limited Partner (LP)</t>
  </si>
  <si>
    <t>Profit Dist.:</t>
  </si>
  <si>
    <t>7.906MM</t>
  </si>
  <si>
    <t>Total Equity</t>
  </si>
  <si>
    <t>Net BTCF:</t>
  </si>
  <si>
    <t>Hurdle Rate Method Used:</t>
  </si>
  <si>
    <t>Promote Structure Incentive Breakdown</t>
  </si>
  <si>
    <t>Distribution as %</t>
  </si>
  <si>
    <t>Partnership Distribution Assumptions (IRR Hurdles)</t>
  </si>
  <si>
    <t>GP %</t>
  </si>
  <si>
    <t>LP %</t>
  </si>
  <si>
    <t>Notes</t>
  </si>
  <si>
    <t>Tier 1 (Pref + Return of Capital)</t>
  </si>
  <si>
    <t>Equity Multiple</t>
  </si>
  <si>
    <t xml:space="preserve"> Up to 8.0% IRR to LP</t>
  </si>
  <si>
    <t>GP Promote</t>
  </si>
  <si>
    <t>Pref prorata to LP/GP, then Pro rata return of capital</t>
  </si>
  <si>
    <t>Tier 2 (Promote)</t>
  </si>
  <si>
    <t>&gt; 2.00X EM to LP</t>
  </si>
  <si>
    <t>&gt; 8.0% IRR to LP</t>
  </si>
  <si>
    <t xml:space="preserve"> up to 12.0% IRR to LP</t>
  </si>
  <si>
    <t>Prorata to LP/GP to 8.0%, then 76.0%/24.0% to 12.0%</t>
  </si>
  <si>
    <t>Tier 3 (Promote)</t>
  </si>
  <si>
    <t>&gt; 2.50X EM to LP</t>
  </si>
  <si>
    <t>&gt; 12.0% IRR to LP</t>
  </si>
  <si>
    <t xml:space="preserve"> up to 15.0% IRR to LP</t>
  </si>
  <si>
    <t>76.0%/24.0% to 12.0%, then 66.5%/33.5% to 15.0%</t>
  </si>
  <si>
    <t>Tier 4 (Promote)</t>
  </si>
  <si>
    <t>&gt; 3.00X EM to LP</t>
  </si>
  <si>
    <t>&gt; 15.0% IRR to LP</t>
  </si>
  <si>
    <t>66.5%/33.5% to 15.0%, then 57.0%/43.0% thereafter</t>
  </si>
  <si>
    <t>Summary of Partnership-Level Returns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</si>
  <si>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</si>
  <si>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</si>
  <si>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</si>
  <si>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</si>
  <si>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</si>
  <si>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</si>
  <si>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</si>
  <si>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</si>
  <si>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</si>
  <si>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</si>
  <si>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</si>
  <si>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Limited Partner (LP) Returns</t>
  </si>
  <si>
    <t>Total LP Distributions</t>
  </si>
  <si>
    <t xml:space="preserve">                                -</t>
  </si>
  <si>
    <t xml:space="preserve">                              -</t>
  </si>
  <si>
    <t xml:space="preserve">  </t>
  </si>
  <si>
    <t>Total LP Contributions</t>
  </si>
  <si>
    <t>Total LP Profit</t>
  </si>
  <si>
    <t>LP IRR</t>
  </si>
  <si>
    <t>LP Equity Multiple</t>
  </si>
  <si>
    <t>1.59x</t>
  </si>
  <si>
    <t>GP Returns</t>
  </si>
  <si>
    <t>Total GP Distributions</t>
  </si>
  <si>
    <t>Total GP Fees</t>
  </si>
  <si>
    <t>Total GP Contributions</t>
  </si>
  <si>
    <t>Total GP Profit</t>
  </si>
  <si>
    <t>GP IRR</t>
  </si>
  <si>
    <t>GP Equity Multiple</t>
  </si>
  <si>
    <t>Property-Level Cash and GP Fees</t>
  </si>
  <si>
    <t>Year Ending</t>
  </si>
  <si>
    <t>Net Property-Level Cash Flow</t>
  </si>
  <si>
    <t>Asset Management Fees</t>
  </si>
  <si>
    <t xml:space="preserve">                          -</t>
  </si>
  <si>
    <t>Acquisition/Disposition Fees</t>
  </si>
  <si>
    <t>Adjusted Net Property-Level Cash Flow</t>
  </si>
  <si>
    <t>Levered IRR</t>
  </si>
  <si>
    <t>1.59X</t>
  </si>
  <si>
    <t>What tenant pays</t>
  </si>
  <si>
    <t>Lease type</t>
  </si>
  <si>
    <t>Opex Payer (Tax, Insurance, CAM, etc)</t>
  </si>
  <si>
    <t>Commonly used for</t>
  </si>
  <si>
    <t>Note</t>
  </si>
  <si>
    <t>Lease Type</t>
  </si>
  <si>
    <t>Base Rent</t>
  </si>
  <si>
    <t>Taxes</t>
  </si>
  <si>
    <t>Insurance</t>
  </si>
  <si>
    <t>Maintenance</t>
  </si>
  <si>
    <t>CapEx</t>
  </si>
  <si>
    <t>Utilities</t>
  </si>
  <si>
    <t>Gross Lease</t>
  </si>
  <si>
    <r>
      <rPr>
        <b/>
        <sz val="11"/>
        <color rgb="FF000000"/>
        <rFont val="Calibri"/>
        <family val="2"/>
      </rPr>
      <t>Landlord</t>
    </r>
    <r>
      <rPr>
        <sz val="11"/>
        <color rgb="FF000000"/>
        <rFont val="Calibri"/>
        <family val="2"/>
      </rPr>
      <t xml:space="preserve"> pays everything</t>
    </r>
  </si>
  <si>
    <t>Multi-Fam</t>
  </si>
  <si>
    <t>No</t>
  </si>
  <si>
    <t>All-inclusive, predictable for tenant</t>
  </si>
  <si>
    <t>Modified Gross</t>
  </si>
  <si>
    <t>Split (tenant may pay utilities or some ops)</t>
  </si>
  <si>
    <t>Split</t>
  </si>
  <si>
    <t>negociated</t>
  </si>
  <si>
    <t>Triple Net (NNN)</t>
  </si>
  <si>
    <r>
      <rPr>
        <b/>
        <sz val="11"/>
        <color rgb="FF000000"/>
        <rFont val="Calibri"/>
        <family val="2"/>
      </rPr>
      <t>Tenant</t>
    </r>
    <r>
      <rPr>
        <sz val="11"/>
        <color rgb="FF000000"/>
        <rFont val="Calibri"/>
        <family val="2"/>
      </rPr>
      <t xml:space="preserve"> pays taxes, insurance, maintenance</t>
    </r>
  </si>
  <si>
    <t>Retail - almost always</t>
  </si>
  <si>
    <t>used for most retail</t>
  </si>
  <si>
    <t>Absolute Net</t>
  </si>
  <si>
    <r>
      <rPr>
        <b/>
        <sz val="11"/>
        <color rgb="FF000000"/>
        <rFont val="Calibri"/>
        <family val="2"/>
      </rPr>
      <t>Tenant</t>
    </r>
    <r>
      <rPr>
        <sz val="11"/>
        <color rgb="FF000000"/>
        <rFont val="Calibri"/>
        <family val="2"/>
      </rPr>
      <t xml:space="preserve"> pays everything, even structure</t>
    </r>
  </si>
  <si>
    <t>Retail</t>
  </si>
  <si>
    <t>extreme version of NNN</t>
  </si>
  <si>
    <t>Percentage Lease</t>
  </si>
  <si>
    <r>
      <rPr>
        <b/>
        <sz val="11"/>
        <color rgb="FF000000"/>
        <rFont val="Calibri"/>
        <family val="2"/>
      </rPr>
      <t>Tenant</t>
    </r>
    <r>
      <rPr>
        <sz val="11"/>
        <color rgb="FF000000"/>
        <rFont val="Calibri"/>
        <family val="2"/>
      </rPr>
      <t xml:space="preserve"> pays Base Rent + % of tenant's revenue</t>
    </r>
  </si>
  <si>
    <t>Yes (+%)</t>
  </si>
  <si>
    <t>great for landlords in high-sale areas</t>
  </si>
  <si>
    <t>Inputs (Assumptions)</t>
  </si>
  <si>
    <t>Output 1 (Summary)</t>
  </si>
  <si>
    <t>Output 2 (Income Statement)</t>
  </si>
  <si>
    <t>Income Statement</t>
  </si>
  <si>
    <t>Output 3 (ACQUISITION MODE ACQUISITION MODEL)</t>
  </si>
  <si>
    <t>ACQUISITION MODE ACQUISITION MODEL</t>
  </si>
  <si>
    <t>Output 4</t>
  </si>
  <si>
    <t>Output 5 (Rent Roll)</t>
  </si>
  <si>
    <t>Rent Roll</t>
  </si>
  <si>
    <t>Property Summary</t>
  </si>
  <si>
    <t>All-in-Basis</t>
  </si>
  <si>
    <t>(1+(DD+CC))*Purchase Price+Lender Fees+Upfront CapEX</t>
  </si>
  <si>
    <t>SIMPLE ACQUISITION MODEL FOR OFFICE-RETAIL-INDUSTRIAL</t>
  </si>
  <si>
    <t>T12</t>
  </si>
  <si>
    <t>Pro Forma (Yr 1)</t>
  </si>
  <si>
    <t>Property Name</t>
  </si>
  <si>
    <t>Hiland Office</t>
  </si>
  <si>
    <t>Going-In Cap Rate</t>
  </si>
  <si>
    <t>Purchase price/First yr NOI</t>
  </si>
  <si>
    <t>Unit 1</t>
  </si>
  <si>
    <t>City, State</t>
  </si>
  <si>
    <t>Hiland, WI</t>
  </si>
  <si>
    <t>Price/SF</t>
  </si>
  <si>
    <t>Purchase price/property rentable area</t>
  </si>
  <si>
    <t>Unit 2</t>
  </si>
  <si>
    <t>Year 1 NOI</t>
  </si>
  <si>
    <t>Pro forma cash flow output</t>
  </si>
  <si>
    <t>OPERATING CASH FLOW</t>
  </si>
  <si>
    <t>Unit 3</t>
  </si>
  <si>
    <t>Purchase Price Method</t>
  </si>
  <si>
    <t>Manual Input</t>
  </si>
  <si>
    <t>Year 3 NOI</t>
  </si>
  <si>
    <t>Unit 4</t>
  </si>
  <si>
    <t>Analysis Start</t>
  </si>
  <si>
    <t>Terminal Cap Rate</t>
  </si>
  <si>
    <t>market cap rate yr.1 + (period*(exit cap rate growth per yr/10000))</t>
  </si>
  <si>
    <t>CAGR</t>
  </si>
  <si>
    <t>Unit 5</t>
  </si>
  <si>
    <t>Area Unit</t>
  </si>
  <si>
    <t>SF</t>
  </si>
  <si>
    <t>Terminal Value</t>
  </si>
  <si>
    <t>find corresponding year's (analysis period) sales price from pro forma table</t>
  </si>
  <si>
    <t>.</t>
  </si>
  <si>
    <t>Unit 6</t>
  </si>
  <si>
    <t>Analysis Period</t>
  </si>
  <si>
    <t>+ Base Rent</t>
  </si>
  <si>
    <t xml:space="preserve">+base rent </t>
  </si>
  <si>
    <t>Investment Cash Flow</t>
  </si>
  <si>
    <t>Unit 7</t>
  </si>
  <si>
    <t>Exit Valuation NOI</t>
  </si>
  <si>
    <t>Property Metrics</t>
  </si>
  <si>
    <t>+ Recovery Income</t>
  </si>
  <si>
    <t>Recovery income</t>
  </si>
  <si>
    <t>Purchase Price</t>
  </si>
  <si>
    <t>Unit 8</t>
  </si>
  <si>
    <t>Exit Cap Rate Growth/Yr</t>
  </si>
  <si>
    <t>if the user chooses manual input, use set purchase price, if DCF, use calculated DCF value, if use NOI/Cap Rate, do the calculation, if all false, do the replacement cost</t>
  </si>
  <si>
    <t>+ Other Income</t>
  </si>
  <si>
    <t>other income</t>
  </si>
  <si>
    <t>Upfront CapEx</t>
  </si>
  <si>
    <t>Unit 9</t>
  </si>
  <si>
    <t>Market Cap Rate Yr. 1</t>
  </si>
  <si>
    <t>DCF Value</t>
  </si>
  <si>
    <t>Find NPV by discocunting cash flows by the discount rate</t>
  </si>
  <si>
    <t>Potential Gross Income</t>
  </si>
  <si>
    <t>base rent + recovery income+ other income</t>
  </si>
  <si>
    <t>Due Diligence + Closing Costs</t>
  </si>
  <si>
    <t>Unit 10</t>
  </si>
  <si>
    <t>Discount Rate</t>
  </si>
  <si>
    <t>Replacement Cost</t>
  </si>
  <si>
    <t>replacement cost per sf*total rentable sf</t>
  </si>
  <si>
    <t>Total Acquisition Costs</t>
  </si>
  <si>
    <t>Unit 11</t>
  </si>
  <si>
    <t>Replacement Cost (PSF)</t>
  </si>
  <si>
    <t>- Rent Abatement</t>
  </si>
  <si>
    <t>rent Abatement</t>
  </si>
  <si>
    <t>Unit 12</t>
  </si>
  <si>
    <t>Unlevered IRR</t>
  </si>
  <si>
    <t>- Vacancy</t>
  </si>
  <si>
    <t>Potential Gross Income * Vacancy Rate</t>
  </si>
  <si>
    <t>Loan Amount</t>
  </si>
  <si>
    <t>Unit 13</t>
  </si>
  <si>
    <t>Unlevered Deal</t>
  </si>
  <si>
    <t>Unlevered Equity Multiple</t>
  </si>
  <si>
    <t>+/- Other Adjustment</t>
  </si>
  <si>
    <t>- Loan Fees</t>
  </si>
  <si>
    <t>Unit 14</t>
  </si>
  <si>
    <t>Due Diligence + Closing Cost</t>
  </si>
  <si>
    <t>Levered Deal</t>
  </si>
  <si>
    <t>Avg. Free and Clear Return</t>
  </si>
  <si>
    <t>find corresponding year's (analysis period) free and clear from pro forma table</t>
  </si>
  <si>
    <t>Effective Gross Revenue</t>
  </si>
  <si>
    <t>Potential Gross Income - rent abatement - vacancy +/- other Adjustment</t>
  </si>
  <si>
    <t>Net Loan Funding</t>
  </si>
  <si>
    <t>Selling Cost (at Exit)</t>
  </si>
  <si>
    <t>DONT TOUCH</t>
  </si>
  <si>
    <t>SUM</t>
  </si>
  <si>
    <t>Set Purchase Price if Manual Input</t>
  </si>
  <si>
    <t>- Marketing</t>
  </si>
  <si>
    <t>Marketing</t>
  </si>
  <si>
    <t>Operating Cash Flow</t>
  </si>
  <si>
    <t>Levered Equity Multiple</t>
  </si>
  <si>
    <t>- Administrative</t>
  </si>
  <si>
    <t>Administrative</t>
  </si>
  <si>
    <t>Financing Assumptions</t>
  </si>
  <si>
    <t>Avg. Cash-on-Cash Return</t>
  </si>
  <si>
    <t>find corresponding year's (analysis period)  COC from pro forma table</t>
  </si>
  <si>
    <t>- Utilities</t>
  </si>
  <si>
    <t>Operating Expenses</t>
  </si>
  <si>
    <t>- Payroll</t>
  </si>
  <si>
    <t>Payroll</t>
  </si>
  <si>
    <t>Net Operating Income</t>
  </si>
  <si>
    <t>Interest Rate</t>
  </si>
  <si>
    <t>Min. DSCR (NOI)</t>
  </si>
  <si>
    <t>min value from the corresponding array of CF table</t>
  </si>
  <si>
    <t xml:space="preserve"> -Repair and maintenance</t>
  </si>
  <si>
    <t>Repair and maintenance</t>
  </si>
  <si>
    <t>Capital Expenditures</t>
  </si>
  <si>
    <t>Years I/O</t>
  </si>
  <si>
    <t>Min. Debt Yield (NOI)</t>
  </si>
  <si>
    <t>- Mgmt (% of EGR)</t>
  </si>
  <si>
    <t>Cash Flow From Operations</t>
  </si>
  <si>
    <t>Amo. Period</t>
  </si>
  <si>
    <t xml:space="preserve"> -Insurance</t>
  </si>
  <si>
    <t>insurance</t>
  </si>
  <si>
    <t>Debt Service</t>
  </si>
  <si>
    <t>Term</t>
  </si>
  <si>
    <t>`</t>
  </si>
  <si>
    <t xml:space="preserve"> -Taxes</t>
  </si>
  <si>
    <t>taxes</t>
  </si>
  <si>
    <t>Cash Flow after Financing</t>
  </si>
  <si>
    <t>LTV</t>
  </si>
  <si>
    <t>Purchase price*LTV</t>
  </si>
  <si>
    <t>marketing+administrative+utilities+payroll+repair and maintenance+insurance+taxes+mgmt(% of EGR)</t>
  </si>
  <si>
    <t>Lender Fees (%)</t>
  </si>
  <si>
    <t>Lender Fees ($)</t>
  </si>
  <si>
    <t>Loan*Lender fee%</t>
  </si>
  <si>
    <t>Residual Cash Flow</t>
  </si>
  <si>
    <t>Equity Required</t>
  </si>
  <si>
    <t>Basis-Debt</t>
  </si>
  <si>
    <t>effective gross revenue - operating expenses</t>
  </si>
  <si>
    <t>x</t>
  </si>
  <si>
    <t>Cap Rate at Sale</t>
  </si>
  <si>
    <t>Operating Assumptions</t>
  </si>
  <si>
    <t>Gross Sales Price</t>
  </si>
  <si>
    <t>Annual Amo. Payment</t>
  </si>
  <si>
    <t>PMT(Interest rate/12, amortization yr *12, -loan)*12</t>
  </si>
  <si>
    <t>- Tenant Improvements</t>
  </si>
  <si>
    <t>Tenant Improvements</t>
  </si>
  <si>
    <t>Selling Costs</t>
  </si>
  <si>
    <t>Management Fee (% of EGR)</t>
  </si>
  <si>
    <t>Annual I/O Payment</t>
  </si>
  <si>
    <t>Loan amount*interest rate</t>
  </si>
  <si>
    <t>- Leasing Commissions</t>
  </si>
  <si>
    <t>Leasing Commissions</t>
  </si>
  <si>
    <t>Net Sales Proceeds</t>
  </si>
  <si>
    <t>- Capital Reserves</t>
  </si>
  <si>
    <t>Capital Reserves</t>
  </si>
  <si>
    <t>Net Sales Price PSF</t>
  </si>
  <si>
    <t>Cash Flow Historical Data Inputs</t>
  </si>
  <si>
    <t>- Misc. CapEx</t>
  </si>
  <si>
    <t>Misc. CapEx</t>
  </si>
  <si>
    <t>Done</t>
  </si>
  <si>
    <t>Tenant Improvements + leasing commissions+capital reserves+misc.CapEx</t>
  </si>
  <si>
    <t>Loan Payoff</t>
  </si>
  <si>
    <t>Partnership Returns</t>
  </si>
  <si>
    <t>net operating income - capital expenditures</t>
  </si>
  <si>
    <t>Unlevered Cash Flow and Returns</t>
  </si>
  <si>
    <t xml:space="preserve">                     -</t>
  </si>
  <si>
    <t xml:space="preserve">                  -</t>
  </si>
  <si>
    <t>Total Distributions + Fees</t>
  </si>
  <si>
    <t>Total Contributions</t>
  </si>
  <si>
    <t>Operating Metrics</t>
  </si>
  <si>
    <t>Total Profit</t>
  </si>
  <si>
    <t>Rent PSF</t>
  </si>
  <si>
    <t>base rent /$ net rentable area(SF)</t>
  </si>
  <si>
    <t>Reversion Cash Flow</t>
  </si>
  <si>
    <t>Expenses PSF</t>
  </si>
  <si>
    <t>operating expenses / net rentable area(SF)</t>
  </si>
  <si>
    <t>Net Unlevered Cash Flow</t>
  </si>
  <si>
    <t xml:space="preserve"> - Vacancy</t>
  </si>
  <si>
    <t>Limited Partner(s)</t>
  </si>
  <si>
    <t>Expense Recovery %</t>
  </si>
  <si>
    <t>Expense Ratio</t>
  </si>
  <si>
    <t>Free and Clear Return</t>
  </si>
  <si>
    <t>S</t>
  </si>
  <si>
    <t>CapEx as % of NOI</t>
  </si>
  <si>
    <t>Tier 1 - Preferred Return + Return of Capital</t>
  </si>
  <si>
    <t>Tax Mill Rate</t>
  </si>
  <si>
    <t>Return Threshold - Up to:</t>
  </si>
  <si>
    <t>Beginning Balance (LP Capital Account)</t>
  </si>
  <si>
    <t>LP Return of Capital</t>
  </si>
  <si>
    <t>Levered Cash Flow and Returns</t>
  </si>
  <si>
    <t>Req'd Return by LP to hit Hurdle 1</t>
  </si>
  <si>
    <t>SF Anlsysis</t>
  </si>
  <si>
    <t>Contributions from LP</t>
  </si>
  <si>
    <t>Year 1 Cost / SF</t>
  </si>
  <si>
    <t>Distributions to LP (Hurdle 1)</t>
  </si>
  <si>
    <t>Ending Balance (LP Capital Account)</t>
  </si>
  <si>
    <t>Distribution to LP</t>
  </si>
  <si>
    <t>Cash-on-Cash Return</t>
  </si>
  <si>
    <t>Beginning Balance (GP Capital Account)</t>
  </si>
  <si>
    <t>Req'd Return by GP (Pref)</t>
  </si>
  <si>
    <t>Contributions from GP</t>
  </si>
  <si>
    <t>s</t>
  </si>
  <si>
    <t>Distribution to GP</t>
  </si>
  <si>
    <t>Debt Coverage Ratio (NOI)</t>
  </si>
  <si>
    <t>Ending Balance (GP Capital Account)</t>
  </si>
  <si>
    <t>Debt Yield (NOI)</t>
  </si>
  <si>
    <t>Internal Rate of Return Calculation (Hide/Unhide)</t>
  </si>
  <si>
    <t>Detailed Vacancy and Growth Rates</t>
  </si>
  <si>
    <t>Unlevered</t>
  </si>
  <si>
    <t>Cash Flow Remaining</t>
  </si>
  <si>
    <t>Vacancy</t>
  </si>
  <si>
    <t>Year</t>
  </si>
  <si>
    <t>Rent Income Growth</t>
  </si>
  <si>
    <t>Tier 2</t>
  </si>
  <si>
    <t>Opex Growth (Excluding Taxes)</t>
  </si>
  <si>
    <t>Property Tax Growth</t>
  </si>
  <si>
    <t>CapEx Growth</t>
  </si>
  <si>
    <t>Req'd Return by LP to hit Hurdle 2</t>
  </si>
  <si>
    <t>Property Management Fee</t>
  </si>
  <si>
    <t>Prior Distributions</t>
  </si>
  <si>
    <t>Tier 3</t>
  </si>
  <si>
    <t>Base Rent***</t>
  </si>
  <si>
    <t>Levered</t>
  </si>
  <si>
    <t>Req'd Return by LP to hit Hurdle 3</t>
  </si>
  <si>
    <t>Inputs</t>
  </si>
  <si>
    <t>Unit Number</t>
  </si>
  <si>
    <t>Status</t>
  </si>
  <si>
    <t>Tenant Name</t>
  </si>
  <si>
    <t>Y0 Monthly Rent</t>
  </si>
  <si>
    <t>y0 Pro forma Annualized Gross</t>
  </si>
  <si>
    <t>T12 Monthly Rent</t>
  </si>
  <si>
    <t>t12 Pro forma Annualized Gross</t>
  </si>
  <si>
    <t xml:space="preserve"> Pro Forma Monthly Rent</t>
  </si>
  <si>
    <t xml:space="preserve"> Pro forma Annualized Gross</t>
  </si>
  <si>
    <t>Lease From</t>
  </si>
  <si>
    <t>Lease To</t>
  </si>
  <si>
    <t>Months Remaining</t>
  </si>
  <si>
    <t>Amendment Type</t>
  </si>
  <si>
    <t>Security Deposit</t>
  </si>
  <si>
    <t>Rentable Area (SF)</t>
  </si>
  <si>
    <t>Actions</t>
  </si>
  <si>
    <t>occupied</t>
  </si>
  <si>
    <t>A</t>
  </si>
  <si>
    <t>NNN</t>
  </si>
  <si>
    <t>None</t>
  </si>
  <si>
    <t>B</t>
  </si>
  <si>
    <t>C</t>
  </si>
  <si>
    <t>D</t>
  </si>
  <si>
    <t>Task</t>
  </si>
  <si>
    <t>fill out this sample teant list</t>
  </si>
  <si>
    <t>have lease start and end date be the duration of the analaysis</t>
  </si>
  <si>
    <t>Tier 4</t>
  </si>
  <si>
    <t>determine what kind of commerical lease this analysis is for</t>
  </si>
  <si>
    <t>Return Threshold - Greater than:</t>
  </si>
  <si>
    <t xml:space="preserve">(Leverd CF need financial and debt related information to proceed with caculations) </t>
  </si>
  <si>
    <t>Below is not ready</t>
  </si>
  <si>
    <t>orange</t>
  </si>
  <si>
    <t>not working</t>
  </si>
  <si>
    <t>green</t>
  </si>
  <si>
    <t>working</t>
  </si>
  <si>
    <t>Acquisition Cost</t>
  </si>
  <si>
    <t>1.56x</t>
  </si>
  <si>
    <t>Section P-1: Core Property Information</t>
  </si>
  <si>
    <t>Field Name</t>
  </si>
  <si>
    <t>UI Component Type</t>
  </si>
  <si>
    <t>Options / Validation</t>
  </si>
  <si>
    <t>Property Name/Identifier</t>
  </si>
  <si>
    <t>Text Input</t>
  </si>
  <si>
    <t>An internal name for the property, e.g., "West Boylston Street Shoppes".</t>
  </si>
  <si>
    <t>Property Address</t>
  </si>
  <si>
    <t>The full street address of the property.</t>
  </si>
  <si>
    <t>Landlord Name</t>
  </si>
  <si>
    <t>The legal name of the property owner/landlord entity.</t>
  </si>
  <si>
    <t>Landlord Address</t>
  </si>
  <si>
    <t>Text Area</t>
  </si>
  <si>
    <t>The full mailing address for the Landlord.</t>
  </si>
  <si>
    <t>Total Leasable Square Feet</t>
  </si>
  <si>
    <t>Number Input</t>
  </si>
  <si>
    <t>Positive numbers only.</t>
  </si>
  <si>
    <t>The total square footage of all leasable area in the building.</t>
  </si>
  <si>
    <t>Property Documents Upload</t>
  </si>
  <si>
    <t>File Upload (Multiple)</t>
  </si>
  <si>
    <t>PDF, DOCX, JPG, PNG</t>
  </si>
  <si>
    <t>For property-wide documents like a Site Plan, building permits, or master declarations.</t>
  </si>
  <si>
    <t>Zoning Code</t>
  </si>
  <si>
    <t>Dropdown</t>
  </si>
  <si>
    <t>Commercial Zones, Office Zones, Retail Zones, Mixed-Use Zones, Industrial Zones, Special Purpose Zones, Other</t>
  </si>
  <si>
    <t>General zoning for the property.</t>
  </si>
  <si>
    <t>Easement Type</t>
  </si>
  <si>
    <t>Dropdown (Multi-Select)</t>
  </si>
  <si>
    <t>Easement by Necessity, Easement by Prescription, Easement by Condemnation, Easement Appurtenant, Easement in Gross, Express Easement, Utility Easement, Public Easement, Private Easement, Other</t>
  </si>
  <si>
    <t>Select all applicable easements for the property.</t>
  </si>
  <si>
    <t>Number of Superior Interest Holders</t>
  </si>
  <si>
    <t>The number of entities with a superior interest in the property.</t>
  </si>
  <si>
    <t>List of Superior Interest Holders</t>
  </si>
  <si>
    <t>The names/details of the superior interest holders.</t>
  </si>
  <si>
    <t>Section P-2: Property-Wide Facilities, Insurance &amp; Maintenance</t>
  </si>
  <si>
    <t>Parking Facilities Description</t>
  </si>
  <si>
    <t>A general description of the parking available at the property.</t>
  </si>
  <si>
    <t>Landlord General Repair Duty</t>
  </si>
  <si>
    <t>A description of Landlord's baseline responsibilities for the entire property (e.g., roof, foundation, structural portions).</t>
  </si>
  <si>
    <t>Landlord's Insurance Policies</t>
  </si>
  <si>
    <t>Checkbox Group</t>
  </si>
  <si>
    <t>General Liability, Commercial Property, Business Interruption, Excess Liability, Commercial Umbrella, Other</t>
  </si>
  <si>
    <t>The types of insurance the Landlord maintains for the entire property.</t>
  </si>
  <si>
    <t>Part 2: Tenant Level Data</t>
  </si>
  <si>
    <t>(This information is entered for each individual tenant lease)</t>
  </si>
  <si>
    <t>Section T-1: Core Lease Information</t>
  </si>
  <si>
    <t>(Parent Property)</t>
  </si>
  <si>
    <t>Hidden Field / Dropdown</t>
  </si>
  <si>
    <t>Associates this lease with a record from the Property Level data.</t>
  </si>
  <si>
    <t>Lease Status</t>
  </si>
  <si>
    <t>Active, Expired, Terminated, Holdover</t>
  </si>
  <si>
    <t>The current status of the tenancy.</t>
  </si>
  <si>
    <t>The legal name of the Tenant entity.</t>
  </si>
  <si>
    <t>Tenant Address</t>
  </si>
  <si>
    <t>The mailing address for the Tenant.</t>
  </si>
  <si>
    <t>Lease Document Upload</t>
  </si>
  <si>
    <t>File Upload</t>
  </si>
  <si>
    <t>PDF, DOCX</t>
  </si>
  <si>
    <t>The specific, signed lease for this tenancy.</t>
  </si>
  <si>
    <t>Riders/Addenda/Exhibits</t>
  </si>
  <si>
    <t>For all supporting documents like Riders, Work Letters, etc..</t>
  </si>
  <si>
    <t>Gross Lease, Modified Gross Lease, Net Lease (Single Net Lease, Double Net Lease, Triple Net Lease), Fixed Term Lease, Month-to-Month Lease, Percentage Lease, Absolute NNN, Full Service Gross Lease</t>
  </si>
  <si>
    <t>Lease Execution Date</t>
  </si>
  <si>
    <t>Date Picker</t>
  </si>
  <si>
    <t>The date the lease was signed.</t>
  </si>
  <si>
    <t>Lease Commencement Date</t>
  </si>
  <si>
    <t>The date the lease term begins.</t>
  </si>
  <si>
    <t>Lease Expiration Date</t>
  </si>
  <si>
    <t>The date the lease term ends.</t>
  </si>
  <si>
    <t>Section T-2: Premises, Use &amp; Parking</t>
  </si>
  <si>
    <t>Premises Description</t>
  </si>
  <si>
    <t>Description of the specific unit leased by the tenant.</t>
  </si>
  <si>
    <t>Rentable Square Feet</t>
  </si>
  <si>
    <t>The square footage of this specific tenant's premises.</t>
  </si>
  <si>
    <t>Tenant's Pro-Rata Share</t>
  </si>
  <si>
    <t>Percentage Input (%)</t>
  </si>
  <si>
    <t>Can be auto-calculated or entered manually.</t>
  </si>
  <si>
    <t>Permitted Use</t>
  </si>
  <si>
    <t>Describes what the tenant is allowed to do.</t>
  </si>
  <si>
    <t>Prohibited Uses</t>
  </si>
  <si>
    <t>Lists specific restrictions on the tenant's business.</t>
  </si>
  <si>
    <t>Tenant's Exclusive Use</t>
  </si>
  <si>
    <t>Grants the tenant exclusive right to conduct a certain type of business in the property.</t>
  </si>
  <si>
    <t>Parking Agreement</t>
  </si>
  <si>
    <t>All necessary parking, Limited number of spaces, None</t>
  </si>
  <si>
    <t>If Limited number of spaces, a number input appears for the count.</t>
  </si>
  <si>
    <t>Section T-3: Financial Obligations</t>
  </si>
  <si>
    <t>Base Rent Schedule</t>
  </si>
  <si>
    <t>Repeatable Group</t>
  </si>
  <si>
    <t>Add multiple entries for rent escalations.</t>
  </si>
  <si>
    <t>↳ Period</t>
  </si>
  <si>
    <t>e.g., "Years 1-5"</t>
  </si>
  <si>
    <t>↳ Annual Rent</t>
  </si>
  <si>
    <t>Currency Input ($)</t>
  </si>
  <si>
    <t>↳ Monthly Rent</t>
  </si>
  <si>
    <t>Rent-Free Period</t>
  </si>
  <si>
    <t>Describe any rent abatement periods.</t>
  </si>
  <si>
    <t>Additional Rent: Taxes</t>
  </si>
  <si>
    <t>Estimated Monthly Payment.</t>
  </si>
  <si>
    <t>Additional Rent: Insurance</t>
  </si>
  <si>
    <t>Additional Rent: CAM</t>
  </si>
  <si>
    <t>Expense Caps / Stops</t>
  </si>
  <si>
    <t>Describe any caps on controllable expenses, CAM, or expense stops.</t>
  </si>
  <si>
    <t>Can Tenant Contest Taxes?</t>
  </si>
  <si>
    <t>Yes/No Toggle</t>
  </si>
  <si>
    <t>If Yes, a text input for the time period appears.</t>
  </si>
  <si>
    <t>If Yes, a currency input for the amount appears.</t>
  </si>
  <si>
    <t>Liquidated Damages Clause</t>
  </si>
  <si>
    <t>If Yes, a currency input for the dollar amount appears.</t>
  </si>
  <si>
    <t>Letter of Credit</t>
  </si>
  <si>
    <t>Liability Cap</t>
  </si>
  <si>
    <t>Section T-4: Tenant Operations, Maintenance &amp; Signage</t>
  </si>
  <si>
    <t>Tenant Repair Duty</t>
  </si>
  <si>
    <t>Tenant's specific responsibilities.</t>
  </si>
  <si>
    <t>HVAC Repair/Replacement</t>
  </si>
  <si>
    <t>Details on HVAC responsibility, including any amortization caps for replacement.</t>
  </si>
  <si>
    <t>Tenant Insurance Requirements</t>
  </si>
  <si>
    <t>Add multiple policies as required by the lease.</t>
  </si>
  <si>
    <t>↳ Insurance Type</t>
  </si>
  <si>
    <t>Public Liability, Property Damage, Workers' Comp, Other</t>
  </si>
  <si>
    <t>↳ Coverage Amount</t>
  </si>
  <si>
    <t>Signage Clause</t>
  </si>
  <si>
    <t>Specifics on the tenant's right to signs.</t>
  </si>
  <si>
    <t>Interference with Signage</t>
  </si>
  <si>
    <t>Landlord can remove, block, interfere, or tamper with signage, Landlord cannot remove, block, interfere, or tamper with signage</t>
  </si>
  <si>
    <t>Pylon/Monument Signage</t>
  </si>
  <si>
    <t>Denotes tenant's right to a space on a pylon/monument sign.</t>
  </si>
  <si>
    <t>Prohibited Use</t>
  </si>
  <si>
    <t>Section T-5: Options &amp; Rights</t>
  </si>
  <si>
    <t>Tenant Purchase Option</t>
  </si>
  <si>
    <t>If Yes, the conditional fields below appear.</t>
  </si>
  <si>
    <t>↳ Exercise Notice Period</t>
  </si>
  <si>
    <t>e.g., "On [DATE] within [NUMBER] of days following notice from landlord".</t>
  </si>
  <si>
    <t>Additional Space Option</t>
  </si>
  <si>
    <t>↳ Default Affects Option?</t>
  </si>
  <si>
    <t>↳ Lease Amendment Required?</t>
  </si>
  <si>
    <t>↳ New Proportionate Share</t>
  </si>
  <si>
    <t>If Yes, a percentage input appears for the new value.</t>
  </si>
  <si>
    <t>Renewal/Extension Options</t>
  </si>
  <si>
    <t>↳ Option Term</t>
  </si>
  <si>
    <t>e.g., "2, 5-year"</t>
  </si>
  <si>
    <t>↳ Notice Period</t>
  </si>
  <si>
    <t>e.g., "180 days"</t>
  </si>
  <si>
    <t>↳ Rent for Option Term</t>
  </si>
  <si>
    <t>e.g., "Fair Market Value"</t>
  </si>
  <si>
    <t>Early Termination Rights</t>
  </si>
  <si>
    <t>Describe any rights for either Landlord or Tenant to terminate the lease early.</t>
  </si>
  <si>
    <t>Section T-6: Legal, Consents &amp; Default</t>
  </si>
  <si>
    <t>Consent for Assignment</t>
  </si>
  <si>
    <t>If Yes, show sub-fields.</t>
  </si>
  <si>
    <t>↳ Standard for Consent</t>
  </si>
  <si>
    <t>Dropdown (w/text override)</t>
  </si>
  <si>
    <t>Sole discretion, May not be unreasonably withheld, Other</t>
  </si>
  <si>
    <t>↳ Time Period for Approval</t>
  </si>
  <si>
    <t>In days.</t>
  </si>
  <si>
    <t>Consent for Sublease</t>
  </si>
  <si>
    <t>Sole Discretion, May not be unreasonably withheld, Other</t>
  </si>
  <si>
    <t>Consent for Alterations</t>
  </si>
  <si>
    <t>↳ Consent for Major Alterations</t>
  </si>
  <si>
    <t>If Yes, show text area for lease definition of "Major Alterations".</t>
  </si>
  <si>
    <t>↳ Consent for Non-Major Alterations</t>
  </si>
  <si>
    <t>If Yes, show text area for lease definition of "Non-Major Alterations".</t>
  </si>
  <si>
    <t>Tenant Default Conditions</t>
  </si>
  <si>
    <t>Failure to pay Rent, Failure to Perform, Insolvency, Other</t>
  </si>
  <si>
    <t>Default Cure Period (Rent)</t>
  </si>
  <si>
    <t>Default Cure Period (Other)</t>
  </si>
  <si>
    <t>Holdover Rent</t>
  </si>
  <si>
    <t>e.g., "150% of last paid rent"</t>
  </si>
  <si>
    <t>Landlord Default Clause</t>
  </si>
  <si>
    <t>Does the lease define Landlord default?</t>
  </si>
  <si>
    <t>↳ Remedies Waiver</t>
  </si>
  <si>
    <t>Is there a waiver of remedies for Landlord default?</t>
  </si>
  <si>
    <t>Landlord's Duty to Mitigate</t>
  </si>
  <si>
    <t>Choice of Law</t>
  </si>
  <si>
    <t>Alabama, Alaska, Arizona... (all 50 US States)</t>
  </si>
  <si>
    <t>Guarantor / Franchisor</t>
  </si>
  <si>
    <t>The name of the guaranteeing entity, if any.</t>
  </si>
  <si>
    <t>↳ Guarantor Rights</t>
  </si>
  <si>
    <t>Specific rights granted to the guarantor.</t>
  </si>
  <si>
    <t>SNDA Attached to Lease</t>
  </si>
  <si>
    <t>Lease Subordination Type</t>
  </si>
  <si>
    <t>Automatic, Conditional</t>
  </si>
  <si>
    <t>Force Majeure Terms</t>
  </si>
  <si>
    <t>Checkbox Group (Multi-Select)</t>
  </si>
  <si>
    <t>Acts of God, Floods, Fires, Earthquakes, Wars, Pandemics, Strikes, etc.</t>
  </si>
  <si>
    <t>Select all that apply as defined in the lease.</t>
  </si>
  <si>
    <t>Eminent Domain Clause</t>
  </si>
  <si>
    <t>Total Taking, Partial Taking, Condemnation Clause Present</t>
  </si>
  <si>
    <t>↳ Compensation Rights</t>
  </si>
  <si>
    <t>Just Compensation, Improvements, Relocation Benefits</t>
  </si>
  <si>
    <t>What the tenant can seek compensation for.</t>
  </si>
  <si>
    <t>Right to Enter/ Right of Inspection</t>
  </si>
  <si>
    <t>Output 1</t>
  </si>
  <si>
    <t>Output 2</t>
  </si>
  <si>
    <t>Output 3</t>
  </si>
  <si>
    <t>Output 5</t>
  </si>
  <si>
    <t>Vacancy Rate</t>
  </si>
  <si>
    <t>Note: rent has increased in conversion from NNN to Gross by spreading the lost recovery income out over the tenants (39% increase)</t>
  </si>
  <si>
    <t>usually close to 0 due to minimal responsibility of the landlord</t>
  </si>
  <si>
    <t>0 as tenants pay to vendors directly</t>
  </si>
  <si>
    <t>input historical data (numbers are made up)</t>
  </si>
  <si>
    <t>values are 0</t>
  </si>
  <si>
    <t>absolute net</t>
  </si>
  <si>
    <t>Base year Expense table</t>
  </si>
  <si>
    <t xml:space="preserve">Tenant </t>
  </si>
  <si>
    <t>Repair</t>
  </si>
  <si>
    <t>Occupancy</t>
  </si>
  <si>
    <t>Recovery Table</t>
  </si>
  <si>
    <t>Recovery Eligble</t>
  </si>
  <si>
    <t>Recovery %</t>
  </si>
  <si>
    <t>Recovery Income Base</t>
  </si>
  <si>
    <t>Y</t>
  </si>
  <si>
    <t>N</t>
  </si>
  <si>
    <t>Mkt</t>
  </si>
  <si>
    <t>Non-Recoverable Expense</t>
  </si>
  <si>
    <t xml:space="preserve">Expense  Escalator 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</si>
  <si>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</si>
  <si>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</si>
  <si>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</si>
  <si>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</si>
  <si>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</si>
  <si>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</si>
  <si>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</si>
  <si>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</si>
  <si>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</si>
  <si>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</si>
  <si>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</si>
  <si>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Recoverable Expense</t>
  </si>
  <si>
    <t>-Ultilities</t>
  </si>
  <si>
    <t>-Taxes</t>
  </si>
  <si>
    <t xml:space="preserve">Recoveries  Escalator </t>
  </si>
  <si>
    <t>Expense Allocation</t>
  </si>
  <si>
    <t>Expense Category</t>
  </si>
  <si>
    <t>Base-Yr $/SF</t>
  </si>
  <si>
    <t>Annual Escalator</t>
  </si>
  <si>
    <t>Allocation Method</t>
  </si>
  <si>
    <t>Pro Rata SF</t>
  </si>
  <si>
    <t>Management Fee</t>
  </si>
  <si>
    <t xml:space="preserve">Not Recoverable	</t>
  </si>
  <si>
    <t>CAM</t>
  </si>
  <si>
    <t>+ % Rent Rent Income</t>
  </si>
  <si>
    <t>iincome caculated from Percentage Rent Revenue Table / Income</t>
  </si>
  <si>
    <t xml:space="preserve">Tenant  Sales Revenue </t>
  </si>
  <si>
    <t xml:space="preserve">Projections </t>
  </si>
  <si>
    <t>Est. Sales (Y0)</t>
  </si>
  <si>
    <t>Sales Above Breakpoint</t>
  </si>
  <si>
    <t>YR 0</t>
  </si>
  <si>
    <t>Percentage Rent Revenue Table / Income</t>
  </si>
  <si>
    <t>% Lease</t>
  </si>
  <si>
    <t>[A]</t>
  </si>
  <si>
    <t>[B]</t>
  </si>
  <si>
    <t>[A-B]</t>
  </si>
  <si>
    <t>[C]</t>
  </si>
  <si>
    <t>[A-B] X C</t>
  </si>
  <si>
    <t>% Rental Table</t>
  </si>
  <si>
    <t>Breakpoint</t>
  </si>
  <si>
    <t xml:space="preserve">% Rental add on </t>
  </si>
  <si>
    <t xml:space="preserve">Rental Add on </t>
  </si>
  <si>
    <t>Tenant Sales Revnue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</si>
</sst>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 &quot;* #,##0&quot; &quot;;&quot; &quot;* &quot;(&quot;#,##0&quot;)&quot;;&quot; &quot;* &quot;- &quot;;&quot; &quot;@&quot; &quot;"/>
    <numFmt numFmtId="165" formatCode="&quot;&gt; &quot;0.0%&quot; IRR to LP&quot;"/>
    <numFmt numFmtId="166" formatCode="0.00&quot;x&quot;"/>
    <numFmt numFmtId="167" formatCode="0.0%"/>
    <numFmt numFmtId="168" formatCode="[$-409]d\-mmm\-yy;@"/>
    <numFmt numFmtId="169" formatCode="&quot;Year &quot;0"/>
    <numFmt numFmtId="170" formatCode="mmm\-yyyy"/>
    <numFmt numFmtId="171" formatCode="&quot; &quot;* #,##0.00&quot; &quot;;&quot; &quot;* &quot;(&quot;#,##0.00&quot;)&quot;;&quot; &quot;* &quot;-&quot;#&quot; &quot;;&quot; &quot;@&quot; &quot;"/>
    <numFmt numFmtId="172" formatCode="0000"/>
    <numFmt numFmtId="173" formatCode="0&quot; years&quot;"/>
    <numFmt numFmtId="174" formatCode="0&quot; bps&quot;"/>
    <numFmt numFmtId="175" formatCode="0.00&quot; years&quot;"/>
    <numFmt numFmtId="176" formatCode="0.0&quot; years&quot;"/>
    <numFmt numFmtId="177" formatCode="0.00&quot;X&quot;"/>
    <numFmt numFmtId="178" formatCode="&quot;IRR Error Check - &quot;0.0%"/>
    <numFmt numFmtId="179" formatCode="&quot; up to &quot;0.00&quot;X EM to LP&quot;"/>
    <numFmt numFmtId="180" formatCode="#,##0\ &quot;SF&quot;"/>
    <numFmt numFmtId="181" formatCode="&quot;Year&quot;\ 0"/>
    <numFmt numFmtId="182" formatCode="_(* #,##0.0_);_(* \(#,##0.0\);_(* &quot;-&quot;?_);_(@_)"/>
    <numFmt numFmtId="183" formatCode="_(* #,##0.0_);_(* \(#,##0.0\);_(* &quot;-&quot;_);_(@_)"/>
    <numFmt numFmtId="184" formatCode="_([$$-409]* #,##0.00_);_([$$-409]* \(#,##0.00\);_([$$-409]* &quot;-&quot;??_);_(@_)"/>
    <numFmt numFmtId="185" formatCode="0.000"/>
    <numFmt numFmtId="186" formatCode="&quot; &quot;* #,##0.0000&quot; &quot;;&quot; &quot;* &quot;(&quot;#,##0.0000&quot;)&quot;;&quot; &quot;* &quot;- &quot;;&quot; &quot;@&quot; &quot;"/>
    <numFmt numFmtId="187" formatCode="_(* #,##0.0_);_(* \(#,##0.0\);_(* &quot;-&quot;??_);_(@_)"/>
    <numFmt numFmtId="188" formatCode="_(* #,##0.00_);_(* \(#,##0.00\);_(* &quot;-&quot;_);_(@_)"/>
    <numFmt numFmtId="189" formatCode="_([$$-409]* #,##0_);_([$$-409]* \(#,##0\);_([$$-409]* &quot;-&quot;??_);_(@_)"/>
    <numFmt numFmtId="190" formatCode="_(* #,##0_);_(* \(#,##0\);_(* &quot;-&quot;??_);_(@_)"/>
  </numFmts>
  <fonts count="111"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FFFFFF"/>
      <name val="Calibri"/>
      <family val="2"/>
    </font>
    <font>
      <sz val="11"/>
      <color rgb="FF548235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Arial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9"/>
      <color rgb="FF000000"/>
      <name val="Calibri"/>
      <family val="2"/>
    </font>
    <font>
      <sz val="14"/>
      <color rgb="FFFFFFFF"/>
      <name val="Calibri"/>
      <family val="2"/>
    </font>
    <font>
      <sz val="13"/>
      <color rgb="FFFFFFFF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  <font>
      <b/>
      <sz val="20"/>
      <color rgb="FF000000"/>
      <name val="Calibri"/>
      <family val="2"/>
    </font>
    <font>
      <b/>
      <sz val="11"/>
      <color rgb="FF0000FF"/>
      <name val="Calibri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9"/>
      <color rgb="FF548235"/>
      <name val="Calibri"/>
      <family val="2"/>
    </font>
    <font>
      <u/>
      <sz val="11"/>
      <name val="Calibri"/>
      <family val="2"/>
    </font>
    <font>
      <b/>
      <u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 val="singleAccounting"/>
      <sz val="11"/>
      <color indexed="12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name val="Aptos Narrow"/>
      <family val="2"/>
      <scheme val="minor"/>
    </font>
    <font>
      <u/>
      <sz val="11"/>
      <color theme="0" tint="-4.9989318521683403E-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 val="singleAccounting"/>
      <sz val="1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u/>
      <sz val="11"/>
      <color indexed="12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 val="singleAccounting"/>
      <sz val="11"/>
      <color rgb="FF0000FF"/>
      <name val="Calibri"/>
      <family val="2"/>
    </font>
    <font>
      <u val="singleAccounting"/>
      <sz val="11"/>
      <name val="Calibri"/>
      <family val="2"/>
    </font>
    <font>
      <u val="singleAccounting"/>
      <sz val="11"/>
      <color rgb="FF000000"/>
      <name val="Calibri"/>
      <family val="2"/>
    </font>
    <font>
      <u val="singleAccounting"/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0"/>
      <name val="Calibri"/>
      <family val="2"/>
    </font>
    <font>
      <b/>
      <u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00000"/>
      <name val="Segoe UI"/>
      <family val="2"/>
    </font>
    <font>
      <sz val="11"/>
      <color rgb="FF000000"/>
      <name val="Browallia New"/>
      <family val="2"/>
      <charset val="222"/>
    </font>
    <font>
      <sz val="14"/>
      <color theme="0"/>
      <name val="Browallia New"/>
      <family val="2"/>
      <charset val="222"/>
    </font>
    <font>
      <sz val="13"/>
      <color theme="1"/>
      <name val="Browallia New"/>
      <family val="2"/>
      <charset val="222"/>
    </font>
    <font>
      <u/>
      <sz val="11"/>
      <color theme="1"/>
      <name val="Browallia New"/>
      <family val="2"/>
      <charset val="222"/>
    </font>
    <font>
      <sz val="11"/>
      <color rgb="FF242424"/>
      <name val="Browallia New"/>
      <family val="2"/>
      <charset val="222"/>
    </font>
    <font>
      <u val="singleAccounting"/>
      <sz val="11"/>
      <color indexed="12"/>
      <name val="Browallia New"/>
      <family val="2"/>
      <charset val="222"/>
    </font>
    <font>
      <b/>
      <sz val="11"/>
      <color theme="1"/>
      <name val="Browallia New"/>
      <family val="2"/>
      <charset val="222"/>
    </font>
    <font>
      <sz val="11"/>
      <name val="Browallia New"/>
      <family val="2"/>
      <charset val="222"/>
    </font>
    <font>
      <sz val="11"/>
      <color theme="1"/>
      <name val="Browallia New"/>
      <family val="2"/>
      <charset val="222"/>
    </font>
    <font>
      <sz val="11"/>
      <color rgb="FF0000FF"/>
      <name val="Aptos Narrow"/>
      <scheme val="minor"/>
    </font>
    <font>
      <sz val="11"/>
      <color theme="7"/>
      <name val="Calibri"/>
      <family val="2"/>
    </font>
    <font>
      <sz val="11"/>
      <color rgb="FF000000"/>
      <name val="Segoe UI"/>
      <family val="2"/>
    </font>
    <font>
      <sz val="11"/>
      <color rgb="FF0000FF"/>
      <name val="Aptos Narrow"/>
      <family val="2"/>
    </font>
    <font>
      <sz val="12"/>
      <color rgb="FF0000FF"/>
      <name val="Calibri"/>
      <family val="2"/>
    </font>
    <font>
      <sz val="9"/>
      <color rgb="FF0000FF"/>
      <name val="Calibri"/>
      <family val="2"/>
    </font>
    <font>
      <sz val="13"/>
      <color rgb="FF0000FF"/>
      <name val="Aptos Narrow"/>
      <family val="2"/>
      <scheme val="minor"/>
    </font>
    <font>
      <sz val="13"/>
      <color rgb="FF0000FF"/>
      <name val="Browallia New"/>
      <family val="2"/>
      <charset val="222"/>
    </font>
    <font>
      <sz val="11"/>
      <color rgb="FF0000FF"/>
      <name val="Browallia New"/>
      <family val="2"/>
      <charset val="222"/>
    </font>
    <font>
      <sz val="11"/>
      <color theme="0"/>
      <name val="Browallia New"/>
      <family val="2"/>
      <charset val="222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0"/>
      <color rgb="FF000000"/>
      <name val="Calibri"/>
      <family val="2"/>
    </font>
    <font>
      <sz val="14"/>
      <color rgb="FFFFFFFF"/>
      <name val="Aptos Narrow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i/>
      <sz val="14"/>
      <color rgb="FF000000"/>
      <name val="Arial"/>
      <charset val="1"/>
    </font>
    <font>
      <b/>
      <i/>
      <sz val="10"/>
      <color rgb="FF000000"/>
      <name val="Arial"/>
      <charset val="1"/>
    </font>
    <font>
      <sz val="11"/>
      <color rgb="FF000000"/>
      <name val="Aptos Narrow"/>
      <scheme val="minor"/>
    </font>
    <font>
      <sz val="11"/>
      <color rgb="FF000000"/>
      <name val="Browallia New"/>
      <charset val="222"/>
    </font>
  </fonts>
  <fills count="3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6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D9D9D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1">
    <xf numFmtId="0" fontId="0" fillId="0" borderId="0"/>
    <xf numFmtId="0" fontId="2" fillId="2" borderId="0" applyNumberFormat="0" applyFon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Fon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Fill="0" applyBorder="0" applyAlignment="0" applyProtection="0"/>
    <xf numFmtId="17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Border="0" applyProtection="0"/>
  </cellStyleXfs>
  <cellXfs count="853">
    <xf numFmtId="0" fontId="0" fillId="0" borderId="0" xfId="0"/>
    <xf numFmtId="0" fontId="3" fillId="0" borderId="0" xfId="0" applyFont="1"/>
    <xf numFmtId="10" fontId="3" fillId="0" borderId="0" xfId="0" applyNumberFormat="1" applyFont="1"/>
    <xf numFmtId="0" fontId="12" fillId="10" borderId="0" xfId="0" applyFont="1" applyFill="1"/>
    <xf numFmtId="0" fontId="0" fillId="11" borderId="0" xfId="0" applyFill="1"/>
    <xf numFmtId="0" fontId="30" fillId="12" borderId="0" xfId="0" applyFont="1" applyFill="1"/>
    <xf numFmtId="0" fontId="4" fillId="12" borderId="0" xfId="0" applyFont="1" applyFill="1"/>
    <xf numFmtId="0" fontId="4" fillId="0" borderId="0" xfId="0" applyFont="1"/>
    <xf numFmtId="0" fontId="29" fillId="0" borderId="0" xfId="0" applyFont="1"/>
    <xf numFmtId="0" fontId="0" fillId="12" borderId="0" xfId="0" applyFill="1"/>
    <xf numFmtId="0" fontId="13" fillId="11" borderId="0" xfId="0" applyFont="1" applyFill="1"/>
    <xf numFmtId="0" fontId="8" fillId="11" borderId="0" xfId="0" applyFont="1" applyFill="1"/>
    <xf numFmtId="0" fontId="13" fillId="0" borderId="0" xfId="0" applyFont="1"/>
    <xf numFmtId="0" fontId="3" fillId="12" borderId="0" xfId="0" applyFont="1" applyFill="1"/>
    <xf numFmtId="10" fontId="3" fillId="12" borderId="0" xfId="0" applyNumberFormat="1" applyFont="1" applyFill="1"/>
    <xf numFmtId="0" fontId="29" fillId="12" borderId="0" xfId="0" applyFont="1" applyFill="1"/>
    <xf numFmtId="3" fontId="29" fillId="12" borderId="0" xfId="0" applyNumberFormat="1" applyFont="1" applyFill="1"/>
    <xf numFmtId="0" fontId="10" fillId="12" borderId="3" xfId="0" applyFont="1" applyFill="1" applyBorder="1"/>
    <xf numFmtId="0" fontId="31" fillId="12" borderId="4" xfId="0" applyFont="1" applyFill="1" applyBorder="1"/>
    <xf numFmtId="10" fontId="0" fillId="12" borderId="0" xfId="0" applyNumberFormat="1" applyFill="1"/>
    <xf numFmtId="3" fontId="32" fillId="12" borderId="0" xfId="0" applyNumberFormat="1" applyFont="1" applyFill="1"/>
    <xf numFmtId="0" fontId="10" fillId="12" borderId="5" xfId="0" applyFont="1" applyFill="1" applyBorder="1"/>
    <xf numFmtId="0" fontId="10" fillId="12" borderId="7" xfId="0" applyFont="1" applyFill="1" applyBorder="1"/>
    <xf numFmtId="0" fontId="15" fillId="11" borderId="0" xfId="0" applyFont="1" applyFill="1"/>
    <xf numFmtId="0" fontId="33" fillId="13" borderId="0" xfId="0" applyFont="1" applyFill="1"/>
    <xf numFmtId="0" fontId="14" fillId="12" borderId="0" xfId="0" applyFont="1" applyFill="1"/>
    <xf numFmtId="0" fontId="16" fillId="12" borderId="0" xfId="0" applyFont="1" applyFill="1"/>
    <xf numFmtId="10" fontId="29" fillId="0" borderId="0" xfId="0" applyNumberFormat="1" applyFont="1"/>
    <xf numFmtId="0" fontId="3" fillId="11" borderId="0" xfId="0" applyFont="1" applyFill="1"/>
    <xf numFmtId="0" fontId="29" fillId="11" borderId="0" xfId="0" applyFont="1" applyFill="1"/>
    <xf numFmtId="0" fontId="19" fillId="12" borderId="0" xfId="0" applyFont="1" applyFill="1"/>
    <xf numFmtId="0" fontId="20" fillId="12" borderId="0" xfId="0" applyFont="1" applyFill="1"/>
    <xf numFmtId="15" fontId="3" fillId="0" borderId="0" xfId="0" applyNumberFormat="1" applyFont="1"/>
    <xf numFmtId="15" fontId="0" fillId="12" borderId="0" xfId="0" applyNumberFormat="1" applyFill="1"/>
    <xf numFmtId="0" fontId="21" fillId="0" borderId="0" xfId="0" applyFont="1"/>
    <xf numFmtId="173" fontId="0" fillId="7" borderId="0" xfId="0" applyNumberFormat="1" applyFill="1" applyAlignment="1" applyProtection="1">
      <alignment horizontal="left" vertical="center"/>
      <protection locked="0"/>
    </xf>
    <xf numFmtId="173" fontId="3" fillId="7" borderId="0" xfId="0" applyNumberFormat="1" applyFont="1" applyFill="1" applyAlignment="1" applyProtection="1">
      <alignment horizontal="right" vertical="center"/>
      <protection locked="0"/>
    </xf>
    <xf numFmtId="0" fontId="3" fillId="7" borderId="0" xfId="0" applyFont="1" applyFill="1" applyAlignment="1" applyProtection="1">
      <alignment horizontal="right" vertical="center"/>
      <protection locked="0"/>
    </xf>
    <xf numFmtId="167" fontId="3" fillId="7" borderId="0" xfId="0" applyNumberFormat="1" applyFont="1" applyFill="1" applyAlignment="1" applyProtection="1">
      <alignment horizontal="right" vertical="center"/>
      <protection locked="0"/>
    </xf>
    <xf numFmtId="14" fontId="3" fillId="7" borderId="0" xfId="0" applyNumberFormat="1" applyFont="1" applyFill="1" applyAlignment="1" applyProtection="1">
      <alignment horizontal="right" vertical="center"/>
      <protection locked="0"/>
    </xf>
    <xf numFmtId="1" fontId="3" fillId="7" borderId="0" xfId="0" applyNumberFormat="1" applyFont="1" applyFill="1" applyAlignment="1" applyProtection="1">
      <alignment horizontal="right" vertical="center"/>
      <protection locked="0"/>
    </xf>
    <xf numFmtId="169" fontId="3" fillId="7" borderId="0" xfId="0" applyNumberFormat="1" applyFont="1" applyFill="1" applyAlignment="1" applyProtection="1">
      <alignment horizontal="right" vertical="center"/>
      <protection locked="0"/>
    </xf>
    <xf numFmtId="174" fontId="3" fillId="7" borderId="0" xfId="0" applyNumberFormat="1" applyFont="1" applyFill="1" applyAlignment="1" applyProtection="1">
      <alignment horizontal="right" vertical="center"/>
      <protection locked="0"/>
    </xf>
    <xf numFmtId="10" fontId="3" fillId="7" borderId="0" xfId="0" applyNumberFormat="1" applyFont="1" applyFill="1" applyAlignment="1" applyProtection="1">
      <alignment horizontal="right" vertical="center"/>
      <protection locked="0"/>
    </xf>
    <xf numFmtId="4" fontId="3" fillId="7" borderId="0" xfId="0" applyNumberFormat="1" applyFont="1" applyFill="1" applyAlignment="1" applyProtection="1">
      <alignment horizontal="right" vertical="center"/>
      <protection locked="0"/>
    </xf>
    <xf numFmtId="164" fontId="3" fillId="7" borderId="0" xfId="0" applyNumberFormat="1" applyFont="1" applyFill="1" applyAlignment="1" applyProtection="1">
      <alignment horizontal="right" vertical="center"/>
      <protection locked="0"/>
    </xf>
    <xf numFmtId="10" fontId="3" fillId="19" borderId="0" xfId="0" applyNumberFormat="1" applyFont="1" applyFill="1"/>
    <xf numFmtId="0" fontId="11" fillId="4" borderId="0" xfId="0" applyFont="1" applyFill="1"/>
    <xf numFmtId="0" fontId="0" fillId="4" borderId="0" xfId="0" applyFill="1"/>
    <xf numFmtId="0" fontId="10" fillId="12" borderId="6" xfId="0" applyFont="1" applyFill="1" applyBorder="1"/>
    <xf numFmtId="0" fontId="10" fillId="12" borderId="8" xfId="0" applyFont="1" applyFill="1" applyBorder="1"/>
    <xf numFmtId="10" fontId="29" fillId="12" borderId="0" xfId="0" applyNumberFormat="1" applyFont="1" applyFill="1"/>
    <xf numFmtId="3" fontId="21" fillId="0" borderId="0" xfId="0" applyNumberFormat="1" applyFont="1"/>
    <xf numFmtId="3" fontId="3" fillId="0" borderId="0" xfId="0" applyNumberFormat="1" applyFont="1"/>
    <xf numFmtId="3" fontId="29" fillId="0" borderId="0" xfId="0" applyNumberFormat="1" applyFont="1"/>
    <xf numFmtId="0" fontId="0" fillId="0" borderId="0" xfId="0" applyAlignment="1">
      <alignment horizontal="center" vertical="center"/>
    </xf>
    <xf numFmtId="0" fontId="0" fillId="15" borderId="0" xfId="0" applyFill="1" applyAlignment="1" applyProtection="1">
      <alignment horizontal="right" vertical="center"/>
      <protection locked="0"/>
    </xf>
    <xf numFmtId="0" fontId="0" fillId="15" borderId="12" xfId="0" applyFill="1" applyBorder="1" applyAlignment="1" applyProtection="1">
      <alignment horizontal="right" vertical="center"/>
      <protection locked="0"/>
    </xf>
    <xf numFmtId="0" fontId="0" fillId="15" borderId="0" xfId="0" applyFill="1" applyAlignment="1" applyProtection="1">
      <alignment horizontal="center" vertical="center"/>
      <protection locked="0"/>
    </xf>
    <xf numFmtId="181" fontId="0" fillId="15" borderId="0" xfId="0" applyNumberFormat="1" applyFill="1" applyAlignment="1" applyProtection="1">
      <alignment horizontal="right" vertical="center"/>
      <protection locked="0"/>
    </xf>
    <xf numFmtId="0" fontId="48" fillId="15" borderId="0" xfId="0" applyFont="1" applyFill="1" applyAlignment="1" applyProtection="1">
      <alignment horizontal="left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172" fontId="35" fillId="15" borderId="0" xfId="0" applyNumberFormat="1" applyFont="1" applyFill="1" applyAlignment="1" applyProtection="1">
      <alignment horizontal="right" vertical="center"/>
      <protection locked="0"/>
    </xf>
    <xf numFmtId="0" fontId="35" fillId="15" borderId="0" xfId="0" applyFont="1" applyFill="1" applyAlignment="1" applyProtection="1">
      <alignment horizontal="right" vertical="center"/>
      <protection locked="0"/>
    </xf>
    <xf numFmtId="0" fontId="0" fillId="15" borderId="12" xfId="0" quotePrefix="1" applyFill="1" applyBorder="1" applyAlignment="1" applyProtection="1">
      <alignment horizontal="right" vertical="center"/>
      <protection locked="0"/>
    </xf>
    <xf numFmtId="181" fontId="35" fillId="15" borderId="0" xfId="0" applyNumberFormat="1" applyFont="1" applyFill="1" applyAlignment="1" applyProtection="1">
      <alignment horizontal="right" vertical="center"/>
      <protection locked="0"/>
    </xf>
    <xf numFmtId="0" fontId="35" fillId="15" borderId="0" xfId="0" applyFont="1" applyFill="1" applyAlignment="1" applyProtection="1">
      <alignment horizontal="left" vertical="center"/>
      <protection locked="0"/>
    </xf>
    <xf numFmtId="0" fontId="0" fillId="15" borderId="0" xfId="0" quotePrefix="1" applyFill="1" applyAlignment="1" applyProtection="1">
      <alignment horizontal="left" vertical="center" indent="1"/>
      <protection locked="0"/>
    </xf>
    <xf numFmtId="172" fontId="67" fillId="15" borderId="0" xfId="0" applyNumberFormat="1" applyFont="1" applyFill="1" applyAlignment="1" applyProtection="1">
      <alignment horizontal="right" vertical="center"/>
      <protection locked="0"/>
    </xf>
    <xf numFmtId="43" fontId="0" fillId="15" borderId="0" xfId="0" applyNumberFormat="1" applyFill="1" applyAlignment="1" applyProtection="1">
      <alignment horizontal="right" vertical="center"/>
      <protection locked="0"/>
    </xf>
    <xf numFmtId="41" fontId="0" fillId="15" borderId="12" xfId="0" applyNumberFormat="1" applyFill="1" applyBorder="1" applyAlignment="1" applyProtection="1">
      <alignment horizontal="right" vertical="center"/>
      <protection locked="0"/>
    </xf>
    <xf numFmtId="41" fontId="39" fillId="15" borderId="0" xfId="0" applyNumberFormat="1" applyFont="1" applyFill="1" applyAlignment="1" applyProtection="1">
      <alignment horizontal="right" vertical="center"/>
      <protection locked="0"/>
    </xf>
    <xf numFmtId="164" fontId="0" fillId="2" borderId="0" xfId="0" applyNumberFormat="1" applyFill="1" applyAlignment="1" applyProtection="1">
      <alignment horizontal="right" vertical="center"/>
      <protection locked="0"/>
    </xf>
    <xf numFmtId="41" fontId="0" fillId="15" borderId="0" xfId="0" applyNumberFormat="1" applyFill="1" applyAlignment="1" applyProtection="1">
      <alignment horizontal="right" vertical="center"/>
      <protection locked="0"/>
    </xf>
    <xf numFmtId="41" fontId="47" fillId="15" borderId="0" xfId="0" applyNumberFormat="1" applyFont="1" applyFill="1" applyAlignment="1" applyProtection="1">
      <alignment horizontal="right" vertical="center"/>
      <protection locked="0"/>
    </xf>
    <xf numFmtId="43" fontId="36" fillId="15" borderId="0" xfId="0" applyNumberFormat="1" applyFont="1" applyFill="1" applyAlignment="1" applyProtection="1">
      <alignment horizontal="right" vertical="center"/>
      <protection locked="0"/>
    </xf>
    <xf numFmtId="41" fontId="36" fillId="15" borderId="12" xfId="0" applyNumberFormat="1" applyFont="1" applyFill="1" applyBorder="1" applyAlignment="1" applyProtection="1">
      <alignment horizontal="right" vertical="center"/>
      <protection locked="0"/>
    </xf>
    <xf numFmtId="41" fontId="52" fillId="15" borderId="0" xfId="0" applyNumberFormat="1" applyFont="1" applyFill="1" applyAlignment="1" applyProtection="1">
      <alignment horizontal="right" vertical="center"/>
      <protection locked="0"/>
    </xf>
    <xf numFmtId="41" fontId="36" fillId="15" borderId="0" xfId="0" applyNumberFormat="1" applyFont="1" applyFill="1" applyAlignment="1" applyProtection="1">
      <alignment horizontal="right" vertical="center"/>
      <protection locked="0"/>
    </xf>
    <xf numFmtId="41" fontId="34" fillId="15" borderId="9" xfId="0" applyNumberFormat="1" applyFont="1" applyFill="1" applyBorder="1" applyAlignment="1" applyProtection="1">
      <alignment horizontal="right" vertical="center"/>
      <protection locked="0"/>
    </xf>
    <xf numFmtId="43" fontId="37" fillId="15" borderId="9" xfId="0" applyNumberFormat="1" applyFont="1" applyFill="1" applyBorder="1" applyAlignment="1" applyProtection="1">
      <alignment horizontal="right" vertical="center"/>
      <protection locked="0"/>
    </xf>
    <xf numFmtId="41" fontId="37" fillId="15" borderId="12" xfId="0" applyNumberFormat="1" applyFont="1" applyFill="1" applyBorder="1" applyAlignment="1" applyProtection="1">
      <alignment horizontal="right" vertical="center"/>
      <protection locked="0"/>
    </xf>
    <xf numFmtId="41" fontId="37" fillId="15" borderId="9" xfId="0" applyNumberFormat="1" applyFont="1" applyFill="1" applyBorder="1" applyAlignment="1" applyProtection="1">
      <alignment horizontal="right" vertical="center"/>
      <protection locked="0"/>
    </xf>
    <xf numFmtId="41" fontId="37" fillId="15" borderId="0" xfId="0" applyNumberFormat="1" applyFont="1" applyFill="1" applyAlignment="1" applyProtection="1">
      <alignment horizontal="right" vertical="center"/>
      <protection locked="0"/>
    </xf>
    <xf numFmtId="41" fontId="53" fillId="15" borderId="0" xfId="0" applyNumberFormat="1" applyFont="1" applyFill="1" applyAlignment="1" applyProtection="1">
      <alignment horizontal="right" vertical="center"/>
      <protection locked="0"/>
    </xf>
    <xf numFmtId="41" fontId="3" fillId="15" borderId="0" xfId="0" applyNumberFormat="1" applyFont="1" applyFill="1" applyAlignment="1" applyProtection="1">
      <alignment horizontal="right" vertical="center"/>
      <protection locked="0"/>
    </xf>
    <xf numFmtId="41" fontId="65" fillId="15" borderId="0" xfId="0" applyNumberFormat="1" applyFont="1" applyFill="1" applyAlignment="1" applyProtection="1">
      <alignment horizontal="right" vertical="center"/>
      <protection locked="0"/>
    </xf>
    <xf numFmtId="41" fontId="38" fillId="15" borderId="12" xfId="0" applyNumberFormat="1" applyFont="1" applyFill="1" applyBorder="1" applyAlignment="1" applyProtection="1">
      <alignment horizontal="right" vertical="center"/>
      <protection locked="0"/>
    </xf>
    <xf numFmtId="41" fontId="38" fillId="15" borderId="0" xfId="0" applyNumberFormat="1" applyFont="1" applyFill="1" applyAlignment="1" applyProtection="1">
      <alignment horizontal="right" vertical="center"/>
      <protection locked="0"/>
    </xf>
    <xf numFmtId="0" fontId="34" fillId="15" borderId="0" xfId="0" applyFont="1" applyFill="1" applyAlignment="1" applyProtection="1">
      <alignment horizontal="left" vertical="center" indent="1"/>
      <protection locked="0"/>
    </xf>
    <xf numFmtId="41" fontId="34" fillId="15" borderId="12" xfId="0" applyNumberFormat="1" applyFont="1" applyFill="1" applyBorder="1" applyAlignment="1" applyProtection="1">
      <alignment horizontal="right" vertical="center"/>
      <protection locked="0"/>
    </xf>
    <xf numFmtId="41" fontId="34" fillId="15" borderId="0" xfId="0" applyNumberFormat="1" applyFont="1" applyFill="1" applyAlignment="1" applyProtection="1">
      <alignment horizontal="right" vertical="center"/>
      <protection locked="0"/>
    </xf>
    <xf numFmtId="0" fontId="0" fillId="15" borderId="0" xfId="0" applyFill="1" applyAlignment="1" applyProtection="1">
      <alignment horizontal="left" vertical="center" indent="1"/>
      <protection locked="0"/>
    </xf>
    <xf numFmtId="0" fontId="13" fillId="19" borderId="0" xfId="0" applyFont="1" applyFill="1" applyAlignment="1" applyProtection="1">
      <alignment horizontal="right" vertical="center"/>
      <protection locked="0"/>
    </xf>
    <xf numFmtId="10" fontId="3" fillId="19" borderId="0" xfId="0" applyNumberFormat="1" applyFont="1" applyFill="1" applyAlignment="1" applyProtection="1">
      <alignment horizontal="right" vertical="center"/>
      <protection locked="0"/>
    </xf>
    <xf numFmtId="175" fontId="3" fillId="19" borderId="0" xfId="0" applyNumberFormat="1" applyFont="1" applyFill="1" applyAlignment="1" applyProtection="1">
      <alignment horizontal="right" vertical="center"/>
      <protection locked="0"/>
    </xf>
    <xf numFmtId="41" fontId="39" fillId="15" borderId="12" xfId="0" applyNumberFormat="1" applyFont="1" applyFill="1" applyBorder="1" applyAlignment="1" applyProtection="1">
      <alignment horizontal="right" vertical="center"/>
      <protection locked="0"/>
    </xf>
    <xf numFmtId="176" fontId="3" fillId="19" borderId="0" xfId="0" applyNumberFormat="1" applyFont="1" applyFill="1" applyAlignment="1" applyProtection="1">
      <alignment horizontal="right" vertical="center"/>
      <protection locked="0"/>
    </xf>
    <xf numFmtId="41" fontId="56" fillId="15" borderId="1" xfId="0" applyNumberFormat="1" applyFont="1" applyFill="1" applyBorder="1" applyAlignment="1" applyProtection="1">
      <alignment horizontal="right" vertical="center"/>
      <protection locked="0"/>
    </xf>
    <xf numFmtId="43" fontId="1" fillId="15" borderId="1" xfId="0" applyNumberFormat="1" applyFont="1" applyFill="1" applyBorder="1" applyAlignment="1" applyProtection="1">
      <alignment horizontal="right" vertical="center"/>
      <protection locked="0"/>
    </xf>
    <xf numFmtId="41" fontId="35" fillId="15" borderId="12" xfId="0" applyNumberFormat="1" applyFont="1" applyFill="1" applyBorder="1" applyAlignment="1" applyProtection="1">
      <alignment horizontal="right" vertical="center"/>
      <protection locked="0"/>
    </xf>
    <xf numFmtId="41" fontId="49" fillId="15" borderId="0" xfId="0" applyNumberFormat="1" applyFont="1" applyFill="1" applyAlignment="1" applyProtection="1">
      <alignment horizontal="right" vertical="center"/>
      <protection locked="0"/>
    </xf>
    <xf numFmtId="41" fontId="35" fillId="15" borderId="0" xfId="0" applyNumberFormat="1" applyFont="1" applyFill="1" applyAlignment="1" applyProtection="1">
      <alignment horizontal="right" vertical="center"/>
      <protection locked="0"/>
    </xf>
    <xf numFmtId="0" fontId="0" fillId="15" borderId="0" xfId="0" applyFill="1" applyAlignment="1" applyProtection="1">
      <alignment horizontal="left" vertical="center"/>
      <protection locked="0"/>
    </xf>
    <xf numFmtId="41" fontId="39" fillId="15" borderId="9" xfId="0" applyNumberFormat="1" applyFont="1" applyFill="1" applyBorder="1" applyAlignment="1" applyProtection="1">
      <alignment horizontal="right" vertical="center"/>
      <protection locked="0"/>
    </xf>
    <xf numFmtId="41" fontId="0" fillId="15" borderId="9" xfId="0" applyNumberFormat="1" applyFill="1" applyBorder="1" applyAlignment="1" applyProtection="1">
      <alignment horizontal="right" vertical="center"/>
      <protection locked="0"/>
    </xf>
    <xf numFmtId="0" fontId="34" fillId="15" borderId="0" xfId="0" applyFont="1" applyFill="1" applyAlignment="1" applyProtection="1">
      <alignment horizontal="left" vertical="center"/>
      <protection locked="0"/>
    </xf>
    <xf numFmtId="183" fontId="34" fillId="15" borderId="0" xfId="0" applyNumberFormat="1" applyFont="1" applyFill="1" applyAlignment="1" applyProtection="1">
      <alignment horizontal="right" vertical="center"/>
      <protection locked="0"/>
    </xf>
    <xf numFmtId="10" fontId="47" fillId="15" borderId="0" xfId="0" applyNumberFormat="1" applyFont="1" applyFill="1" applyAlignment="1" applyProtection="1">
      <alignment horizontal="right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0" fillId="19" borderId="0" xfId="0" applyFill="1" applyAlignment="1" applyProtection="1">
      <alignment horizontal="left" vertical="center" indent="1"/>
      <protection locked="0"/>
    </xf>
    <xf numFmtId="41" fontId="40" fillId="15" borderId="12" xfId="0" applyNumberFormat="1" applyFont="1" applyFill="1" applyBorder="1" applyAlignment="1" applyProtection="1">
      <alignment horizontal="right" vertical="center"/>
      <protection locked="0"/>
    </xf>
    <xf numFmtId="41" fontId="40" fillId="15" borderId="0" xfId="0" applyNumberFormat="1" applyFont="1" applyFill="1" applyAlignment="1" applyProtection="1">
      <alignment horizontal="right" vertical="center"/>
      <protection locked="0"/>
    </xf>
    <xf numFmtId="41" fontId="1" fillId="15" borderId="0" xfId="0" applyNumberFormat="1" applyFont="1" applyFill="1" applyAlignment="1" applyProtection="1">
      <alignment horizontal="right" vertical="center"/>
      <protection locked="0"/>
    </xf>
    <xf numFmtId="8" fontId="47" fillId="15" borderId="0" xfId="0" applyNumberFormat="1" applyFont="1" applyFill="1" applyAlignment="1" applyProtection="1">
      <alignment horizontal="right" vertical="center"/>
      <protection locked="0"/>
    </xf>
    <xf numFmtId="43" fontId="47" fillId="15" borderId="0" xfId="0" applyNumberFormat="1" applyFont="1" applyFill="1" applyAlignment="1" applyProtection="1">
      <alignment horizontal="right" vertical="center"/>
      <protection locked="0"/>
    </xf>
    <xf numFmtId="164" fontId="9" fillId="2" borderId="0" xfId="0" applyNumberFormat="1" applyFont="1" applyFill="1" applyAlignment="1" applyProtection="1">
      <alignment horizontal="right" vertical="center"/>
      <protection locked="0"/>
    </xf>
    <xf numFmtId="171" fontId="9" fillId="2" borderId="0" xfId="0" applyNumberFormat="1" applyFont="1" applyFill="1" applyAlignment="1" applyProtection="1">
      <alignment horizontal="right" vertical="center"/>
      <protection locked="0"/>
    </xf>
    <xf numFmtId="38" fontId="47" fillId="15" borderId="0" xfId="0" applyNumberFormat="1" applyFont="1" applyFill="1" applyAlignment="1" applyProtection="1">
      <alignment horizontal="right" vertical="center"/>
      <protection locked="0"/>
    </xf>
    <xf numFmtId="0" fontId="47" fillId="15" borderId="0" xfId="0" applyFont="1" applyFill="1" applyAlignment="1" applyProtection="1">
      <alignment horizontal="right" vertical="center"/>
      <protection locked="0"/>
    </xf>
    <xf numFmtId="172" fontId="9" fillId="19" borderId="0" xfId="0" applyNumberFormat="1" applyFont="1" applyFill="1" applyAlignment="1" applyProtection="1">
      <alignment horizontal="right" vertical="center"/>
      <protection locked="0"/>
    </xf>
    <xf numFmtId="172" fontId="49" fillId="19" borderId="0" xfId="0" applyNumberFormat="1" applyFont="1" applyFill="1" applyAlignment="1" applyProtection="1">
      <alignment horizontal="right" vertical="center"/>
      <protection locked="0"/>
    </xf>
    <xf numFmtId="187" fontId="0" fillId="15" borderId="0" xfId="0" applyNumberFormat="1" applyFill="1" applyAlignment="1" applyProtection="1">
      <alignment horizontal="right" vertical="center"/>
      <protection locked="0"/>
    </xf>
    <xf numFmtId="43" fontId="39" fillId="15" borderId="9" xfId="0" applyNumberFormat="1" applyFont="1" applyFill="1" applyBorder="1" applyAlignment="1" applyProtection="1">
      <alignment horizontal="right" vertical="center"/>
      <protection locked="0"/>
    </xf>
    <xf numFmtId="164" fontId="3" fillId="19" borderId="0" xfId="0" applyNumberFormat="1" applyFont="1" applyFill="1" applyAlignment="1" applyProtection="1">
      <alignment horizontal="right" vertical="center"/>
      <protection locked="0"/>
    </xf>
    <xf numFmtId="41" fontId="40" fillId="19" borderId="0" xfId="0" applyNumberFormat="1" applyFont="1" applyFill="1" applyAlignment="1" applyProtection="1">
      <alignment horizontal="right" vertical="center"/>
      <protection locked="0"/>
    </xf>
    <xf numFmtId="164" fontId="9" fillId="19" borderId="0" xfId="0" applyNumberFormat="1" applyFont="1" applyFill="1" applyAlignment="1" applyProtection="1">
      <alignment horizontal="right" vertical="center"/>
      <protection locked="0"/>
    </xf>
    <xf numFmtId="41" fontId="38" fillId="19" borderId="0" xfId="0" applyNumberFormat="1" applyFont="1" applyFill="1" applyAlignment="1" applyProtection="1">
      <alignment horizontal="right" vertical="center"/>
      <protection locked="0"/>
    </xf>
    <xf numFmtId="41" fontId="37" fillId="19" borderId="0" xfId="0" applyNumberFormat="1" applyFont="1" applyFill="1" applyAlignment="1" applyProtection="1">
      <alignment horizontal="right" vertical="center"/>
      <protection locked="0"/>
    </xf>
    <xf numFmtId="41" fontId="0" fillId="19" borderId="0" xfId="0" applyNumberFormat="1" applyFill="1" applyAlignment="1" applyProtection="1">
      <alignment horizontal="right" vertical="center"/>
      <protection locked="0"/>
    </xf>
    <xf numFmtId="4" fontId="58" fillId="15" borderId="0" xfId="0" applyNumberFormat="1" applyFont="1" applyFill="1" applyAlignment="1" applyProtection="1">
      <alignment horizontal="right" vertical="center"/>
      <protection locked="0"/>
    </xf>
    <xf numFmtId="4" fontId="0" fillId="15" borderId="0" xfId="0" applyNumberFormat="1" applyFill="1" applyAlignment="1" applyProtection="1">
      <alignment horizontal="right" vertical="center"/>
      <protection locked="0"/>
    </xf>
    <xf numFmtId="4" fontId="0" fillId="15" borderId="12" xfId="0" applyNumberFormat="1" applyFill="1" applyBorder="1" applyAlignment="1" applyProtection="1">
      <alignment horizontal="right" vertical="center"/>
      <protection locked="0"/>
    </xf>
    <xf numFmtId="167" fontId="58" fillId="15" borderId="0" xfId="0" applyNumberFormat="1" applyFont="1" applyFill="1" applyAlignment="1" applyProtection="1">
      <alignment horizontal="right" vertical="center"/>
      <protection locked="0"/>
    </xf>
    <xf numFmtId="167" fontId="0" fillId="15" borderId="0" xfId="0" applyNumberFormat="1" applyFill="1" applyAlignment="1" applyProtection="1">
      <alignment horizontal="right" vertical="center"/>
      <protection locked="0"/>
    </xf>
    <xf numFmtId="10" fontId="58" fillId="15" borderId="0" xfId="0" applyNumberFormat="1" applyFont="1" applyFill="1" applyAlignment="1" applyProtection="1">
      <alignment horizontal="right" vertical="center"/>
      <protection locked="0"/>
    </xf>
    <xf numFmtId="10" fontId="0" fillId="15" borderId="0" xfId="0" applyNumberFormat="1" applyFill="1" applyAlignment="1" applyProtection="1">
      <alignment horizontal="right" vertical="center"/>
      <protection locked="0"/>
    </xf>
    <xf numFmtId="41" fontId="58" fillId="15" borderId="0" xfId="0" applyNumberFormat="1" applyFont="1" applyFill="1" applyAlignment="1" applyProtection="1">
      <alignment horizontal="right" vertical="center"/>
      <protection locked="0"/>
    </xf>
    <xf numFmtId="0" fontId="0" fillId="15" borderId="10" xfId="0" applyFill="1" applyBorder="1" applyAlignment="1" applyProtection="1">
      <alignment horizontal="right" vertical="center"/>
      <protection locked="0"/>
    </xf>
    <xf numFmtId="166" fontId="47" fillId="15" borderId="0" xfId="0" applyNumberFormat="1" applyFont="1" applyFill="1" applyAlignment="1" applyProtection="1">
      <alignment horizontal="right" vertical="center"/>
      <protection locked="0"/>
    </xf>
    <xf numFmtId="0" fontId="20" fillId="15" borderId="10" xfId="0" applyFont="1" applyFill="1" applyBorder="1" applyAlignment="1" applyProtection="1">
      <alignment horizontal="right" vertical="center"/>
      <protection locked="0"/>
    </xf>
    <xf numFmtId="0" fontId="20" fillId="15" borderId="0" xfId="0" applyFont="1" applyFill="1" applyAlignment="1" applyProtection="1">
      <alignment horizontal="right" vertical="center"/>
      <protection locked="0"/>
    </xf>
    <xf numFmtId="181" fontId="61" fillId="15" borderId="0" xfId="0" applyNumberFormat="1" applyFont="1" applyFill="1" applyAlignment="1" applyProtection="1">
      <alignment horizontal="right" vertical="center"/>
      <protection locked="0"/>
    </xf>
    <xf numFmtId="0" fontId="20" fillId="15" borderId="0" xfId="0" applyFont="1" applyFill="1" applyAlignment="1" applyProtection="1">
      <alignment horizontal="left" vertical="center" indent="1"/>
      <protection locked="0"/>
    </xf>
    <xf numFmtId="10" fontId="59" fillId="15" borderId="0" xfId="0" applyNumberFormat="1" applyFont="1" applyFill="1" applyAlignment="1" applyProtection="1">
      <alignment horizontal="right" vertical="center"/>
      <protection locked="0"/>
    </xf>
    <xf numFmtId="10" fontId="1" fillId="15" borderId="0" xfId="0" applyNumberFormat="1" applyFont="1" applyFill="1" applyAlignment="1" applyProtection="1">
      <alignment horizontal="right" vertical="center"/>
      <protection locked="0"/>
    </xf>
    <xf numFmtId="41" fontId="56" fillId="19" borderId="0" xfId="0" applyNumberFormat="1" applyFont="1" applyFill="1" applyAlignment="1" applyProtection="1">
      <alignment horizontal="right" vertical="center"/>
      <protection locked="0"/>
    </xf>
    <xf numFmtId="1" fontId="35" fillId="15" borderId="0" xfId="0" applyNumberFormat="1" applyFont="1" applyFill="1" applyAlignment="1" applyProtection="1">
      <alignment horizontal="right" vertical="center"/>
      <protection locked="0"/>
    </xf>
    <xf numFmtId="41" fontId="53" fillId="15" borderId="0" xfId="0" applyNumberFormat="1" applyFont="1" applyFill="1" applyAlignment="1" applyProtection="1">
      <alignment horizontal="right" vertical="center" wrapText="1"/>
      <protection locked="0"/>
    </xf>
    <xf numFmtId="41" fontId="57" fillId="19" borderId="0" xfId="0" applyNumberFormat="1" applyFont="1" applyFill="1" applyAlignment="1" applyProtection="1">
      <alignment horizontal="right" vertical="center"/>
      <protection locked="0"/>
    </xf>
    <xf numFmtId="0" fontId="0" fillId="19" borderId="0" xfId="0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41" fontId="40" fillId="0" borderId="0" xfId="0" applyNumberFormat="1" applyFont="1" applyAlignment="1" applyProtection="1">
      <alignment horizontal="right" vertical="center"/>
      <protection locked="0"/>
    </xf>
    <xf numFmtId="43" fontId="8" fillId="15" borderId="0" xfId="0" applyNumberFormat="1" applyFont="1" applyFill="1" applyAlignment="1" applyProtection="1">
      <alignment horizontal="right" vertical="center"/>
      <protection locked="0"/>
    </xf>
    <xf numFmtId="169" fontId="16" fillId="19" borderId="0" xfId="0" applyNumberFormat="1" applyFont="1" applyFill="1" applyAlignment="1" applyProtection="1">
      <alignment horizontal="right" vertical="center"/>
      <protection locked="0"/>
    </xf>
    <xf numFmtId="164" fontId="23" fillId="19" borderId="0" xfId="0" applyNumberFormat="1" applyFont="1" applyFill="1" applyAlignment="1" applyProtection="1">
      <alignment horizontal="right" vertical="center"/>
      <protection locked="0"/>
    </xf>
    <xf numFmtId="0" fontId="0" fillId="18" borderId="0" xfId="0" applyFill="1" applyAlignment="1" applyProtection="1">
      <alignment horizontal="right" vertical="center"/>
      <protection locked="0"/>
    </xf>
    <xf numFmtId="49" fontId="35" fillId="15" borderId="0" xfId="0" applyNumberFormat="1" applyFont="1" applyFill="1" applyAlignment="1" applyProtection="1">
      <alignment horizontal="right" vertical="center"/>
      <protection locked="0"/>
    </xf>
    <xf numFmtId="43" fontId="34" fillId="15" borderId="0" xfId="0" applyNumberFormat="1" applyFont="1" applyFill="1" applyAlignment="1" applyProtection="1">
      <alignment horizontal="right" vertical="center"/>
      <protection locked="0"/>
    </xf>
    <xf numFmtId="43" fontId="40" fillId="15" borderId="0" xfId="0" applyNumberFormat="1" applyFont="1" applyFill="1" applyAlignment="1" applyProtection="1">
      <alignment horizontal="right" vertical="center"/>
      <protection locked="0"/>
    </xf>
    <xf numFmtId="0" fontId="22" fillId="6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1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73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1" fillId="16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30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173" fontId="0" fillId="7" borderId="0" xfId="0" applyNumberFormat="1" applyFill="1" applyAlignment="1" applyProtection="1">
      <alignment horizontal="center" vertical="center"/>
      <protection locked="0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3" fillId="17" borderId="0" xfId="0" applyFont="1" applyFill="1" applyAlignment="1" applyProtection="1">
      <alignment horizontal="center" vertical="center"/>
      <protection locked="0"/>
    </xf>
    <xf numFmtId="0" fontId="44" fillId="17" borderId="0" xfId="0" applyFont="1" applyFill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0" fillId="12" borderId="0" xfId="0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45" fillId="17" borderId="0" xfId="0" applyFont="1" applyFill="1" applyAlignment="1" applyProtection="1">
      <alignment horizontal="center" vertical="center"/>
      <protection locked="0"/>
    </xf>
    <xf numFmtId="0" fontId="0" fillId="17" borderId="0" xfId="0" applyFill="1" applyAlignment="1" applyProtection="1">
      <alignment horizontal="center" vertical="center"/>
      <protection locked="0"/>
    </xf>
    <xf numFmtId="0" fontId="13" fillId="11" borderId="0" xfId="0" applyFon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46" fillId="15" borderId="0" xfId="0" applyFont="1" applyFill="1" applyAlignment="1" applyProtection="1">
      <alignment horizontal="center" vertical="center"/>
      <protection locked="0"/>
    </xf>
    <xf numFmtId="0" fontId="58" fillId="15" borderId="0" xfId="0" applyFont="1" applyFill="1" applyAlignment="1" applyProtection="1">
      <alignment horizontal="center" vertical="center"/>
      <protection locked="0"/>
    </xf>
    <xf numFmtId="180" fontId="1" fillId="15" borderId="0" xfId="0" applyNumberFormat="1" applyFont="1" applyFill="1" applyAlignment="1" applyProtection="1">
      <alignment horizontal="center" vertical="center"/>
      <protection locked="0"/>
    </xf>
    <xf numFmtId="0" fontId="0" fillId="15" borderId="12" xfId="0" applyFill="1" applyBorder="1" applyAlignment="1" applyProtection="1">
      <alignment horizontal="center" vertical="center"/>
      <protection locked="0"/>
    </xf>
    <xf numFmtId="3" fontId="29" fillId="12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0" fillId="15" borderId="0" xfId="0" applyFont="1" applyFill="1" applyAlignment="1" applyProtection="1">
      <alignment horizontal="center" vertical="center"/>
      <protection locked="0"/>
    </xf>
    <xf numFmtId="10" fontId="47" fillId="15" borderId="0" xfId="0" applyNumberFormat="1" applyFont="1" applyFill="1" applyAlignment="1" applyProtection="1">
      <alignment horizontal="center" vertical="center"/>
      <protection locked="0"/>
    </xf>
    <xf numFmtId="0" fontId="3" fillId="15" borderId="0" xfId="0" quotePrefix="1" applyFont="1" applyFill="1" applyAlignment="1" applyProtection="1">
      <alignment horizontal="center" vertical="center"/>
      <protection locked="0"/>
    </xf>
    <xf numFmtId="0" fontId="29" fillId="12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0" fontId="37" fillId="15" borderId="0" xfId="0" applyNumberFormat="1" applyFont="1" applyFill="1" applyAlignment="1" applyProtection="1">
      <alignment horizontal="center" vertical="center"/>
      <protection locked="0"/>
    </xf>
    <xf numFmtId="0" fontId="66" fillId="15" borderId="0" xfId="0" applyFont="1" applyFill="1" applyAlignment="1" applyProtection="1">
      <alignment horizontal="center" vertical="center"/>
      <protection locked="0"/>
    </xf>
    <xf numFmtId="182" fontId="3" fillId="15" borderId="0" xfId="0" applyNumberFormat="1" applyFont="1" applyFill="1" applyAlignment="1" applyProtection="1">
      <alignment horizontal="center" vertical="center"/>
      <protection locked="0"/>
    </xf>
    <xf numFmtId="41" fontId="3" fillId="15" borderId="0" xfId="0" applyNumberFormat="1" applyFont="1" applyFill="1" applyAlignment="1" applyProtection="1">
      <alignment horizontal="center" vertical="center"/>
      <protection locked="0"/>
    </xf>
    <xf numFmtId="10" fontId="39" fillId="15" borderId="0" xfId="0" applyNumberFormat="1" applyFont="1" applyFill="1" applyAlignment="1" applyProtection="1">
      <alignment horizontal="center" vertical="center"/>
      <protection locked="0"/>
    </xf>
    <xf numFmtId="182" fontId="58" fillId="15" borderId="0" xfId="0" applyNumberFormat="1" applyFont="1" applyFill="1" applyAlignment="1" applyProtection="1">
      <alignment horizontal="center" vertical="center"/>
      <protection locked="0"/>
    </xf>
    <xf numFmtId="167" fontId="39" fillId="15" borderId="0" xfId="0" applyNumberFormat="1" applyFont="1" applyFill="1" applyAlignment="1" applyProtection="1">
      <alignment horizontal="center" vertical="center"/>
      <protection locked="0"/>
    </xf>
    <xf numFmtId="41" fontId="66" fillId="15" borderId="0" xfId="0" applyNumberFormat="1" applyFont="1" applyFill="1" applyAlignment="1" applyProtection="1">
      <alignment horizontal="center" vertical="center"/>
      <protection locked="0"/>
    </xf>
    <xf numFmtId="0" fontId="3" fillId="11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10" fontId="40" fillId="15" borderId="0" xfId="0" applyNumberFormat="1" applyFont="1" applyFill="1" applyAlignment="1" applyProtection="1">
      <alignment horizontal="center" vertical="center"/>
      <protection locked="0"/>
    </xf>
    <xf numFmtId="165" fontId="3" fillId="5" borderId="0" xfId="0" applyNumberFormat="1" applyFont="1" applyFill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13" fillId="19" borderId="0" xfId="0" applyFont="1" applyFill="1" applyAlignment="1" applyProtection="1">
      <alignment horizontal="center" vertical="center"/>
      <protection locked="0"/>
    </xf>
    <xf numFmtId="164" fontId="3" fillId="5" borderId="0" xfId="0" applyNumberFormat="1" applyFont="1" applyFill="1" applyAlignment="1">
      <alignment horizontal="center" vertical="center"/>
    </xf>
    <xf numFmtId="0" fontId="0" fillId="19" borderId="0" xfId="0" applyFill="1" applyAlignment="1" applyProtection="1">
      <alignment horizontal="center" vertical="center"/>
      <protection locked="0"/>
    </xf>
    <xf numFmtId="166" fontId="0" fillId="5" borderId="0" xfId="0" applyNumberFormat="1" applyFill="1" applyAlignment="1">
      <alignment horizontal="center" vertical="center"/>
    </xf>
    <xf numFmtId="0" fontId="0" fillId="0" borderId="0" xfId="0" applyAlignment="1" applyProtection="1">
      <alignment horizontal="center" vertical="center" indent="1"/>
      <protection locked="0"/>
    </xf>
    <xf numFmtId="1" fontId="29" fillId="12" borderId="0" xfId="0" applyNumberFormat="1" applyFont="1" applyFill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43" fontId="3" fillId="15" borderId="0" xfId="0" applyNumberFormat="1" applyFont="1" applyFill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20" fillId="12" borderId="0" xfId="0" applyFont="1" applyFill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13" fillId="19" borderId="1" xfId="0" applyFont="1" applyFill="1" applyBorder="1" applyAlignment="1" applyProtection="1">
      <alignment horizontal="center" vertical="center"/>
      <protection locked="0"/>
    </xf>
    <xf numFmtId="0" fontId="0" fillId="19" borderId="1" xfId="0" applyFill="1" applyBorder="1" applyAlignment="1">
      <alignment horizontal="center" vertical="center"/>
    </xf>
    <xf numFmtId="169" fontId="1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3" fontId="2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15" borderId="0" xfId="0" applyNumberFormat="1" applyFill="1" applyAlignment="1" applyProtection="1">
      <alignment horizontal="center" vertical="center"/>
      <protection locked="0"/>
    </xf>
    <xf numFmtId="3" fontId="63" fillId="0" borderId="0" xfId="0" applyNumberFormat="1" applyFont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69" fontId="0" fillId="3" borderId="0" xfId="0" applyNumberFormat="1" applyFill="1" applyAlignment="1">
      <alignment horizontal="center" vertical="center"/>
    </xf>
    <xf numFmtId="0" fontId="20" fillId="15" borderId="0" xfId="0" applyFont="1" applyFill="1" applyAlignment="1" applyProtection="1">
      <alignment horizontal="center" vertical="center" indent="1"/>
      <protection locked="0"/>
    </xf>
    <xf numFmtId="41" fontId="0" fillId="0" borderId="0" xfId="0" applyNumberFormat="1" applyAlignment="1" applyProtection="1">
      <alignment horizontal="center" vertical="center"/>
      <protection locked="0"/>
    </xf>
    <xf numFmtId="41" fontId="58" fillId="0" borderId="0" xfId="0" applyNumberFormat="1" applyFont="1" applyAlignment="1" applyProtection="1">
      <alignment horizontal="center" vertical="center"/>
      <protection locked="0"/>
    </xf>
    <xf numFmtId="41" fontId="40" fillId="0" borderId="0" xfId="0" applyNumberFormat="1" applyFont="1" applyAlignment="1" applyProtection="1">
      <alignment horizontal="center" vertical="center"/>
      <protection locked="0"/>
    </xf>
    <xf numFmtId="5" fontId="0" fillId="0" borderId="0" xfId="0" applyNumberFormat="1" applyAlignment="1" applyProtection="1">
      <alignment horizontal="center" vertical="center"/>
      <protection locked="0"/>
    </xf>
    <xf numFmtId="41" fontId="47" fillId="19" borderId="1" xfId="0" applyNumberFormat="1" applyFont="1" applyFill="1" applyBorder="1" applyAlignment="1" applyProtection="1">
      <alignment horizontal="center" vertical="center"/>
      <protection locked="0"/>
    </xf>
    <xf numFmtId="169" fontId="16" fillId="19" borderId="1" xfId="0" applyNumberFormat="1" applyFont="1" applyFill="1" applyBorder="1" applyAlignment="1" applyProtection="1">
      <alignment horizontal="center"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77" fontId="1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7" borderId="0" xfId="0" applyFill="1" applyAlignment="1" applyProtection="1">
      <alignment horizontal="left" vertical="center"/>
      <protection locked="0"/>
    </xf>
    <xf numFmtId="181" fontId="0" fillId="15" borderId="0" xfId="0" applyNumberFormat="1" applyFill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 vertical="center"/>
    </xf>
    <xf numFmtId="0" fontId="25" fillId="9" borderId="2" xfId="0" applyFont="1" applyFill="1" applyBorder="1" applyAlignment="1">
      <alignment horizontal="left" vertical="center"/>
    </xf>
    <xf numFmtId="0" fontId="26" fillId="15" borderId="0" xfId="0" applyFont="1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25" fillId="15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8" fillId="19" borderId="0" xfId="0" applyFont="1" applyFill="1" applyAlignment="1" applyProtection="1">
      <alignment horizontal="left" vertical="center"/>
      <protection locked="0"/>
    </xf>
    <xf numFmtId="0" fontId="60" fillId="15" borderId="0" xfId="0" applyFont="1" applyFill="1" applyAlignment="1" applyProtection="1">
      <alignment horizontal="left" vertical="center"/>
      <protection locked="0"/>
    </xf>
    <xf numFmtId="0" fontId="58" fillId="15" borderId="0" xfId="0" applyFont="1" applyFill="1" applyAlignment="1">
      <alignment horizontal="left" vertical="center"/>
    </xf>
    <xf numFmtId="0" fontId="54" fillId="18" borderId="0" xfId="0" applyFont="1" applyFill="1" applyAlignment="1" applyProtection="1">
      <alignment horizontal="left" vertical="center"/>
      <protection locked="0"/>
    </xf>
    <xf numFmtId="0" fontId="55" fillId="15" borderId="0" xfId="0" applyFont="1" applyFill="1" applyAlignment="1" applyProtection="1">
      <alignment horizontal="left" vertical="center"/>
      <protection locked="0"/>
    </xf>
    <xf numFmtId="10" fontId="3" fillId="19" borderId="0" xfId="0" applyNumberFormat="1" applyFont="1" applyFill="1" applyAlignment="1">
      <alignment horizontal="right" vertical="center"/>
    </xf>
    <xf numFmtId="0" fontId="0" fillId="19" borderId="0" xfId="0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29" fillId="19" borderId="0" xfId="0" applyFont="1" applyFill="1" applyAlignment="1">
      <alignment horizontal="right" vertical="center"/>
    </xf>
    <xf numFmtId="0" fontId="62" fillId="19" borderId="0" xfId="0" applyFont="1" applyFill="1" applyAlignment="1">
      <alignment horizontal="right" vertical="center"/>
    </xf>
    <xf numFmtId="9" fontId="0" fillId="19" borderId="0" xfId="0" applyNumberFormat="1" applyFill="1" applyAlignment="1">
      <alignment horizontal="right" vertical="center"/>
    </xf>
    <xf numFmtId="0" fontId="0" fillId="19" borderId="0" xfId="0" applyFill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3" fontId="29" fillId="9" borderId="0" xfId="0" applyNumberFormat="1" applyFont="1" applyFill="1" applyAlignment="1">
      <alignment horizontal="right" vertical="center"/>
    </xf>
    <xf numFmtId="3" fontId="0" fillId="9" borderId="0" xfId="0" applyNumberFormat="1" applyFill="1" applyAlignment="1">
      <alignment horizontal="right" vertical="center"/>
    </xf>
    <xf numFmtId="43" fontId="27" fillId="15" borderId="0" xfId="0" applyNumberFormat="1" applyFont="1" applyFill="1" applyAlignment="1">
      <alignment horizontal="right" vertical="center"/>
    </xf>
    <xf numFmtId="8" fontId="0" fillId="15" borderId="0" xfId="0" applyNumberFormat="1" applyFill="1" applyAlignment="1">
      <alignment horizontal="right" vertical="center"/>
    </xf>
    <xf numFmtId="43" fontId="0" fillId="15" borderId="0" xfId="0" applyNumberFormat="1" applyFill="1" applyAlignment="1">
      <alignment horizontal="right" vertical="center"/>
    </xf>
    <xf numFmtId="0" fontId="25" fillId="15" borderId="0" xfId="0" applyFont="1" applyFill="1" applyAlignment="1">
      <alignment horizontal="right" vertical="center"/>
    </xf>
    <xf numFmtId="10" fontId="0" fillId="15" borderId="0" xfId="0" applyNumberFormat="1" applyFill="1" applyAlignment="1">
      <alignment horizontal="right" vertical="center"/>
    </xf>
    <xf numFmtId="166" fontId="0" fillId="15" borderId="0" xfId="0" applyNumberFormat="1" applyFill="1" applyAlignment="1">
      <alignment horizontal="right" vertical="center"/>
    </xf>
    <xf numFmtId="0" fontId="0" fillId="15" borderId="0" xfId="0" applyFill="1" applyAlignment="1">
      <alignment horizontal="right" vertical="center"/>
    </xf>
    <xf numFmtId="0" fontId="13" fillId="19" borderId="1" xfId="0" applyFont="1" applyFill="1" applyBorder="1" applyAlignment="1">
      <alignment horizontal="left" vertical="center"/>
    </xf>
    <xf numFmtId="3" fontId="24" fillId="19" borderId="0" xfId="0" applyNumberFormat="1" applyFont="1" applyFill="1" applyAlignment="1">
      <alignment horizontal="right" vertical="center"/>
    </xf>
    <xf numFmtId="10" fontId="0" fillId="19" borderId="0" xfId="0" applyNumberFormat="1" applyFill="1" applyAlignment="1">
      <alignment horizontal="right" vertical="center"/>
    </xf>
    <xf numFmtId="43" fontId="0" fillId="19" borderId="0" xfId="0" applyNumberFormat="1" applyFill="1" applyAlignment="1">
      <alignment horizontal="right" vertical="center"/>
    </xf>
    <xf numFmtId="41" fontId="0" fillId="19" borderId="0" xfId="0" applyNumberFormat="1" applyFill="1" applyAlignment="1">
      <alignment horizontal="right" vertical="center"/>
    </xf>
    <xf numFmtId="0" fontId="39" fillId="15" borderId="0" xfId="0" applyFont="1" applyFill="1" applyAlignment="1" applyProtection="1">
      <alignment horizontal="right" vertical="center"/>
      <protection locked="0"/>
    </xf>
    <xf numFmtId="0" fontId="39" fillId="15" borderId="0" xfId="0" applyFont="1" applyFill="1" applyAlignment="1" applyProtection="1">
      <alignment horizontal="right" vertical="center" indent="1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181" fontId="35" fillId="0" borderId="0" xfId="0" applyNumberFormat="1" applyFont="1" applyAlignment="1" applyProtection="1">
      <alignment horizontal="right" vertical="center"/>
      <protection locked="0"/>
    </xf>
    <xf numFmtId="41" fontId="0" fillId="0" borderId="0" xfId="0" applyNumberFormat="1" applyAlignment="1" applyProtection="1">
      <alignment horizontal="right" vertical="center"/>
      <protection locked="0"/>
    </xf>
    <xf numFmtId="41" fontId="36" fillId="0" borderId="0" xfId="0" applyNumberFormat="1" applyFont="1" applyAlignment="1" applyProtection="1">
      <alignment horizontal="right" vertical="center"/>
      <protection locked="0"/>
    </xf>
    <xf numFmtId="41" fontId="37" fillId="0" borderId="0" xfId="0" applyNumberFormat="1" applyFont="1" applyAlignment="1" applyProtection="1">
      <alignment horizontal="right" vertical="center"/>
      <protection locked="0"/>
    </xf>
    <xf numFmtId="41" fontId="38" fillId="0" borderId="0" xfId="0" applyNumberFormat="1" applyFont="1" applyAlignment="1" applyProtection="1">
      <alignment horizontal="right" vertical="center"/>
      <protection locked="0"/>
    </xf>
    <xf numFmtId="41" fontId="34" fillId="0" borderId="0" xfId="0" applyNumberFormat="1" applyFont="1" applyAlignment="1" applyProtection="1">
      <alignment horizontal="right" vertical="center"/>
      <protection locked="0"/>
    </xf>
    <xf numFmtId="41" fontId="39" fillId="0" borderId="0" xfId="0" applyNumberFormat="1" applyFont="1" applyAlignment="1" applyProtection="1">
      <alignment horizontal="right" vertical="center"/>
      <protection locked="0"/>
    </xf>
    <xf numFmtId="41" fontId="35" fillId="0" borderId="0" xfId="0" applyNumberFormat="1" applyFont="1" applyAlignment="1" applyProtection="1">
      <alignment horizontal="right" vertical="center"/>
      <protection locked="0"/>
    </xf>
    <xf numFmtId="4" fontId="0" fillId="0" borderId="0" xfId="0" applyNumberFormat="1" applyAlignment="1" applyProtection="1">
      <alignment horizontal="right" vertical="center"/>
      <protection locked="0"/>
    </xf>
    <xf numFmtId="167" fontId="0" fillId="0" borderId="0" xfId="0" applyNumberFormat="1" applyAlignment="1" applyProtection="1">
      <alignment horizontal="right" vertical="center"/>
      <protection locked="0"/>
    </xf>
    <xf numFmtId="10" fontId="0" fillId="0" borderId="0" xfId="0" applyNumberFormat="1" applyAlignment="1" applyProtection="1">
      <alignment horizontal="right" vertical="center"/>
      <protection locked="0"/>
    </xf>
    <xf numFmtId="10" fontId="1" fillId="0" borderId="0" xfId="0" applyNumberFormat="1" applyFont="1" applyAlignment="1" applyProtection="1">
      <alignment horizontal="right" vertical="center"/>
      <protection locked="0"/>
    </xf>
    <xf numFmtId="183" fontId="58" fillId="15" borderId="0" xfId="0" applyNumberFormat="1" applyFont="1" applyFill="1" applyAlignment="1" applyProtection="1">
      <alignment horizontal="right" vertical="center"/>
      <protection locked="0"/>
    </xf>
    <xf numFmtId="41" fontId="56" fillId="15" borderId="0" xfId="0" applyNumberFormat="1" applyFont="1" applyFill="1" applyAlignment="1" applyProtection="1">
      <alignment horizontal="right" vertical="center"/>
      <protection locked="0"/>
    </xf>
    <xf numFmtId="181" fontId="58" fillId="19" borderId="0" xfId="0" applyNumberFormat="1" applyFont="1" applyFill="1" applyAlignment="1" applyProtection="1">
      <alignment horizontal="right" vertical="center"/>
      <protection locked="0"/>
    </xf>
    <xf numFmtId="181" fontId="0" fillId="19" borderId="0" xfId="0" applyNumberFormat="1" applyFill="1" applyAlignment="1" applyProtection="1">
      <alignment horizontal="right" vertical="center"/>
      <protection locked="0"/>
    </xf>
    <xf numFmtId="0" fontId="50" fillId="19" borderId="0" xfId="0" applyFont="1" applyFill="1" applyAlignment="1" applyProtection="1">
      <alignment horizontal="left" vertical="center"/>
      <protection locked="0"/>
    </xf>
    <xf numFmtId="0" fontId="35" fillId="19" borderId="0" xfId="0" applyFont="1" applyFill="1" applyAlignment="1" applyProtection="1">
      <alignment horizontal="right" vertical="center"/>
      <protection locked="0"/>
    </xf>
    <xf numFmtId="168" fontId="35" fillId="19" borderId="0" xfId="0" applyNumberFormat="1" applyFont="1" applyFill="1" applyAlignment="1" applyProtection="1">
      <alignment horizontal="right" vertical="center"/>
      <protection locked="0"/>
    </xf>
    <xf numFmtId="0" fontId="51" fillId="19" borderId="0" xfId="0" applyFont="1" applyFill="1" applyAlignment="1" applyProtection="1">
      <alignment horizontal="left" vertical="center"/>
      <protection locked="0"/>
    </xf>
    <xf numFmtId="0" fontId="47" fillId="19" borderId="0" xfId="0" applyFont="1" applyFill="1" applyAlignment="1" applyProtection="1">
      <alignment horizontal="right" vertical="center"/>
      <protection locked="0"/>
    </xf>
    <xf numFmtId="168" fontId="47" fillId="19" borderId="0" xfId="0" applyNumberFormat="1" applyFont="1" applyFill="1" applyAlignment="1" applyProtection="1">
      <alignment horizontal="right" vertical="center"/>
      <protection locked="0"/>
    </xf>
    <xf numFmtId="0" fontId="47" fillId="19" borderId="0" xfId="0" applyFont="1" applyFill="1" applyAlignment="1" applyProtection="1">
      <alignment horizontal="left" vertical="center" indent="1"/>
      <protection locked="0"/>
    </xf>
    <xf numFmtId="41" fontId="47" fillId="19" borderId="0" xfId="0" applyNumberFormat="1" applyFont="1" applyFill="1" applyAlignment="1" applyProtection="1">
      <alignment horizontal="right" vertical="center"/>
      <protection locked="0"/>
    </xf>
    <xf numFmtId="41" fontId="53" fillId="19" borderId="0" xfId="0" applyNumberFormat="1" applyFont="1" applyFill="1" applyAlignment="1" applyProtection="1">
      <alignment horizontal="right" vertical="center"/>
      <protection locked="0"/>
    </xf>
    <xf numFmtId="0" fontId="47" fillId="19" borderId="0" xfId="0" applyFont="1" applyFill="1" applyAlignment="1" applyProtection="1">
      <alignment horizontal="left" vertical="center"/>
      <protection locked="0"/>
    </xf>
    <xf numFmtId="41" fontId="47" fillId="19" borderId="9" xfId="0" applyNumberFormat="1" applyFont="1" applyFill="1" applyBorder="1" applyAlignment="1" applyProtection="1">
      <alignment horizontal="right" vertical="center"/>
      <protection locked="0"/>
    </xf>
    <xf numFmtId="0" fontId="47" fillId="19" borderId="0" xfId="0" quotePrefix="1" applyFont="1" applyFill="1" applyAlignment="1" applyProtection="1">
      <alignment horizontal="left" vertical="center" indent="1"/>
      <protection locked="0"/>
    </xf>
    <xf numFmtId="0" fontId="34" fillId="19" borderId="0" xfId="0" applyFont="1" applyFill="1" applyAlignment="1" applyProtection="1">
      <alignment horizontal="right" vertical="center" indent="1"/>
      <protection locked="0"/>
    </xf>
    <xf numFmtId="0" fontId="0" fillId="19" borderId="0" xfId="0" applyFill="1" applyAlignment="1" applyProtection="1">
      <alignment horizontal="right" vertical="center" indent="1"/>
      <protection locked="0"/>
    </xf>
    <xf numFmtId="0" fontId="39" fillId="19" borderId="0" xfId="0" applyFont="1" applyFill="1" applyAlignment="1" applyProtection="1">
      <alignment horizontal="right" vertical="center"/>
      <protection locked="0"/>
    </xf>
    <xf numFmtId="187" fontId="47" fillId="19" borderId="9" xfId="0" applyNumberFormat="1" applyFont="1" applyFill="1" applyBorder="1" applyAlignment="1" applyProtection="1">
      <alignment horizontal="right" vertical="center"/>
      <protection locked="0"/>
    </xf>
    <xf numFmtId="187" fontId="53" fillId="19" borderId="0" xfId="0" applyNumberFormat="1" applyFont="1" applyFill="1" applyAlignment="1" applyProtection="1">
      <alignment horizontal="right" vertical="center"/>
      <protection locked="0"/>
    </xf>
    <xf numFmtId="0" fontId="39" fillId="19" borderId="0" xfId="0" applyFont="1" applyFill="1" applyAlignment="1" applyProtection="1">
      <alignment horizontal="right" vertical="center" indent="1"/>
      <protection locked="0"/>
    </xf>
    <xf numFmtId="181" fontId="0" fillId="11" borderId="0" xfId="0" applyNumberForma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184" fontId="0" fillId="19" borderId="0" xfId="0" applyNumberFormat="1" applyFill="1" applyAlignment="1">
      <alignment horizontal="center" vertical="center"/>
    </xf>
    <xf numFmtId="189" fontId="0" fillId="19" borderId="0" xfId="0" applyNumberFormat="1" applyFill="1" applyAlignment="1">
      <alignment horizontal="center" vertical="center"/>
    </xf>
    <xf numFmtId="14" fontId="68" fillId="19" borderId="0" xfId="0" applyNumberFormat="1" applyFont="1" applyFill="1"/>
    <xf numFmtId="14" fontId="0" fillId="19" borderId="0" xfId="0" applyNumberFormat="1" applyFill="1" applyAlignment="1">
      <alignment horizontal="center" vertical="center"/>
    </xf>
    <xf numFmtId="1" fontId="0" fillId="19" borderId="0" xfId="0" applyNumberFormat="1" applyFill="1" applyAlignment="1">
      <alignment horizontal="center" vertical="center"/>
    </xf>
    <xf numFmtId="190" fontId="0" fillId="19" borderId="0" xfId="0" applyNumberFormat="1" applyFill="1" applyAlignment="1">
      <alignment horizontal="center" vertical="center"/>
    </xf>
    <xf numFmtId="0" fontId="8" fillId="19" borderId="0" xfId="0" applyFont="1" applyFill="1" applyAlignment="1">
      <alignment horizontal="left" vertical="center"/>
    </xf>
    <xf numFmtId="0" fontId="76" fillId="19" borderId="0" xfId="0" applyFont="1" applyFill="1" applyAlignment="1">
      <alignment horizontal="center" vertical="center" wrapText="1"/>
    </xf>
    <xf numFmtId="0" fontId="76" fillId="19" borderId="0" xfId="0" applyFont="1" applyFill="1" applyAlignment="1">
      <alignment horizontal="center" vertical="center"/>
    </xf>
    <xf numFmtId="181" fontId="0" fillId="3" borderId="0" xfId="0" applyNumberForma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10" fontId="3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3" fontId="32" fillId="12" borderId="0" xfId="0" applyNumberFormat="1" applyFont="1" applyFill="1" applyAlignment="1">
      <alignment horizontal="center" vertical="center"/>
    </xf>
    <xf numFmtId="186" fontId="10" fillId="12" borderId="0" xfId="0" applyNumberFormat="1" applyFont="1" applyFill="1" applyAlignment="1">
      <alignment horizontal="center" vertical="center"/>
    </xf>
    <xf numFmtId="3" fontId="28" fillId="12" borderId="0" xfId="0" applyNumberFormat="1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30" fillId="12" borderId="13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30" fillId="12" borderId="1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0" fontId="29" fillId="0" borderId="1" xfId="0" applyNumberFormat="1" applyFont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68" fillId="0" borderId="0" xfId="0" applyFont="1"/>
    <xf numFmtId="0" fontId="77" fillId="0" borderId="0" xfId="0" applyFont="1" applyAlignment="1">
      <alignment horizontal="left" vertical="center"/>
    </xf>
    <xf numFmtId="0" fontId="77" fillId="0" borderId="0" xfId="0" applyFont="1" applyAlignment="1" applyProtection="1">
      <alignment horizontal="left" vertical="center"/>
      <protection locked="0"/>
    </xf>
    <xf numFmtId="0" fontId="78" fillId="16" borderId="0" xfId="0" applyFont="1" applyFill="1" applyAlignment="1" applyProtection="1">
      <alignment horizontal="left" vertical="center"/>
      <protection locked="0"/>
    </xf>
    <xf numFmtId="0" fontId="79" fillId="17" borderId="0" xfId="0" applyFont="1" applyFill="1" applyAlignment="1" applyProtection="1">
      <alignment horizontal="left" vertical="center"/>
      <protection locked="0"/>
    </xf>
    <xf numFmtId="0" fontId="77" fillId="17" borderId="0" xfId="0" applyFont="1" applyFill="1" applyAlignment="1" applyProtection="1">
      <alignment horizontal="left" vertical="center"/>
      <protection locked="0"/>
    </xf>
    <xf numFmtId="0" fontId="77" fillId="15" borderId="0" xfId="0" applyFont="1" applyFill="1" applyAlignment="1" applyProtection="1">
      <alignment horizontal="left" vertical="center"/>
      <protection locked="0"/>
    </xf>
    <xf numFmtId="181" fontId="80" fillId="15" borderId="0" xfId="0" applyNumberFormat="1" applyFont="1" applyFill="1" applyAlignment="1" applyProtection="1">
      <alignment horizontal="left" vertical="center"/>
      <protection locked="0"/>
    </xf>
    <xf numFmtId="0" fontId="81" fillId="0" borderId="0" xfId="0" applyFont="1" applyAlignment="1">
      <alignment horizontal="left"/>
    </xf>
    <xf numFmtId="41" fontId="77" fillId="15" borderId="0" xfId="0" applyNumberFormat="1" applyFont="1" applyFill="1" applyAlignment="1" applyProtection="1">
      <alignment horizontal="left" vertical="center"/>
      <protection locked="0"/>
    </xf>
    <xf numFmtId="41" fontId="82" fillId="15" borderId="0" xfId="0" applyNumberFormat="1" applyFont="1" applyFill="1" applyAlignment="1" applyProtection="1">
      <alignment horizontal="left" vertical="center"/>
      <protection locked="0"/>
    </xf>
    <xf numFmtId="41" fontId="84" fillId="15" borderId="0" xfId="0" applyNumberFormat="1" applyFont="1" applyFill="1" applyAlignment="1" applyProtection="1">
      <alignment horizontal="left" vertical="center"/>
      <protection locked="0"/>
    </xf>
    <xf numFmtId="41" fontId="80" fillId="15" borderId="0" xfId="0" applyNumberFormat="1" applyFont="1" applyFill="1" applyAlignment="1" applyProtection="1">
      <alignment horizontal="left" vertical="center"/>
      <protection locked="0"/>
    </xf>
    <xf numFmtId="41" fontId="83" fillId="15" borderId="0" xfId="0" applyNumberFormat="1" applyFont="1" applyFill="1" applyAlignment="1" applyProtection="1">
      <alignment horizontal="left" vertical="center"/>
      <protection locked="0"/>
    </xf>
    <xf numFmtId="4" fontId="77" fillId="15" borderId="0" xfId="0" applyNumberFormat="1" applyFont="1" applyFill="1" applyAlignment="1" applyProtection="1">
      <alignment horizontal="left" vertical="center"/>
      <protection locked="0"/>
    </xf>
    <xf numFmtId="167" fontId="77" fillId="15" borderId="0" xfId="0" applyNumberFormat="1" applyFont="1" applyFill="1" applyAlignment="1" applyProtection="1">
      <alignment horizontal="left" vertical="center"/>
      <protection locked="0"/>
    </xf>
    <xf numFmtId="10" fontId="77" fillId="15" borderId="0" xfId="0" applyNumberFormat="1" applyFont="1" applyFill="1" applyAlignment="1" applyProtection="1">
      <alignment horizontal="left" vertical="center"/>
      <protection locked="0"/>
    </xf>
    <xf numFmtId="10" fontId="85" fillId="15" borderId="0" xfId="0" applyNumberFormat="1" applyFont="1" applyFill="1" applyAlignment="1" applyProtection="1">
      <alignment horizontal="left" vertical="center"/>
      <protection locked="0"/>
    </xf>
    <xf numFmtId="41" fontId="85" fillId="0" borderId="0" xfId="0" applyNumberFormat="1" applyFont="1" applyAlignment="1" applyProtection="1">
      <alignment horizontal="left" vertical="center"/>
      <protection locked="0"/>
    </xf>
    <xf numFmtId="5" fontId="77" fillId="0" borderId="0" xfId="0" applyNumberFormat="1" applyFont="1" applyAlignment="1" applyProtection="1">
      <alignment horizontal="left" vertical="center"/>
      <protection locked="0"/>
    </xf>
    <xf numFmtId="0" fontId="77" fillId="19" borderId="0" xfId="0" applyFont="1" applyFill="1" applyAlignment="1">
      <alignment horizontal="left" vertical="center"/>
    </xf>
    <xf numFmtId="0" fontId="77" fillId="19" borderId="0" xfId="0" applyFont="1" applyFill="1" applyAlignment="1" applyProtection="1">
      <alignment horizontal="left" vertical="center"/>
      <protection locked="0"/>
    </xf>
    <xf numFmtId="0" fontId="78" fillId="19" borderId="0" xfId="0" applyFont="1" applyFill="1" applyAlignment="1" applyProtection="1">
      <alignment horizontal="left" vertical="center"/>
      <protection locked="0"/>
    </xf>
    <xf numFmtId="0" fontId="79" fillId="19" borderId="0" xfId="0" applyFont="1" applyFill="1" applyAlignment="1" applyProtection="1">
      <alignment horizontal="left" vertical="center"/>
      <protection locked="0"/>
    </xf>
    <xf numFmtId="181" fontId="80" fillId="19" borderId="0" xfId="0" applyNumberFormat="1" applyFont="1" applyFill="1" applyAlignment="1" applyProtection="1">
      <alignment horizontal="left" vertical="center"/>
      <protection locked="0"/>
    </xf>
    <xf numFmtId="0" fontId="81" fillId="19" borderId="0" xfId="0" applyFont="1" applyFill="1" applyAlignment="1">
      <alignment horizontal="left"/>
    </xf>
    <xf numFmtId="41" fontId="77" fillId="19" borderId="0" xfId="0" applyNumberFormat="1" applyFont="1" applyFill="1" applyAlignment="1" applyProtection="1">
      <alignment horizontal="left" vertical="center"/>
      <protection locked="0"/>
    </xf>
    <xf numFmtId="41" fontId="82" fillId="19" borderId="0" xfId="0" applyNumberFormat="1" applyFont="1" applyFill="1" applyAlignment="1" applyProtection="1">
      <alignment horizontal="left" vertical="center"/>
      <protection locked="0"/>
    </xf>
    <xf numFmtId="41" fontId="84" fillId="19" borderId="0" xfId="0" applyNumberFormat="1" applyFont="1" applyFill="1" applyAlignment="1" applyProtection="1">
      <alignment horizontal="left" vertical="center"/>
      <protection locked="0"/>
    </xf>
    <xf numFmtId="41" fontId="80" fillId="19" borderId="0" xfId="0" applyNumberFormat="1" applyFont="1" applyFill="1" applyAlignment="1" applyProtection="1">
      <alignment horizontal="left" vertical="center"/>
      <protection locked="0"/>
    </xf>
    <xf numFmtId="41" fontId="85" fillId="19" borderId="0" xfId="0" applyNumberFormat="1" applyFont="1" applyFill="1" applyAlignment="1" applyProtection="1">
      <alignment horizontal="left" vertical="center"/>
      <protection locked="0"/>
    </xf>
    <xf numFmtId="4" fontId="77" fillId="19" borderId="0" xfId="0" applyNumberFormat="1" applyFont="1" applyFill="1" applyAlignment="1" applyProtection="1">
      <alignment horizontal="left" vertical="center"/>
      <protection locked="0"/>
    </xf>
    <xf numFmtId="167" fontId="77" fillId="19" borderId="0" xfId="0" applyNumberFormat="1" applyFont="1" applyFill="1" applyAlignment="1" applyProtection="1">
      <alignment horizontal="left" vertical="center"/>
      <protection locked="0"/>
    </xf>
    <xf numFmtId="10" fontId="77" fillId="19" borderId="0" xfId="0" applyNumberFormat="1" applyFont="1" applyFill="1" applyAlignment="1" applyProtection="1">
      <alignment horizontal="left" vertical="center"/>
      <protection locked="0"/>
    </xf>
    <xf numFmtId="10" fontId="85" fillId="19" borderId="0" xfId="0" applyNumberFormat="1" applyFont="1" applyFill="1" applyAlignment="1" applyProtection="1">
      <alignment horizontal="left" vertical="center"/>
      <protection locked="0"/>
    </xf>
    <xf numFmtId="5" fontId="77" fillId="19" borderId="0" xfId="0" applyNumberFormat="1" applyFont="1" applyFill="1" applyAlignment="1" applyProtection="1">
      <alignment horizontal="left" vertical="center"/>
      <protection locked="0"/>
    </xf>
    <xf numFmtId="15" fontId="3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21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178" fontId="0" fillId="5" borderId="0" xfId="0" applyNumberForma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0" fontId="15" fillId="3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58" fillId="5" borderId="0" xfId="0" applyNumberFormat="1" applyFont="1" applyFill="1" applyAlignment="1">
      <alignment horizontal="center" vertical="center"/>
    </xf>
    <xf numFmtId="9" fontId="58" fillId="5" borderId="0" xfId="0" applyNumberFormat="1" applyFont="1" applyFill="1" applyAlignment="1">
      <alignment horizontal="center" vertical="center"/>
    </xf>
    <xf numFmtId="0" fontId="58" fillId="12" borderId="0" xfId="0" applyFont="1" applyFill="1" applyAlignment="1">
      <alignment horizontal="center" vertical="center"/>
    </xf>
    <xf numFmtId="1" fontId="58" fillId="12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184" fontId="0" fillId="20" borderId="0" xfId="0" applyNumberFormat="1" applyFill="1" applyAlignment="1">
      <alignment horizontal="center" vertical="center"/>
    </xf>
    <xf numFmtId="189" fontId="0" fillId="20" borderId="0" xfId="0" applyNumberForma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0" fillId="20" borderId="0" xfId="0" quotePrefix="1" applyFill="1" applyAlignment="1" applyProtection="1">
      <alignment horizontal="left" vertical="center" indent="1"/>
      <protection locked="0"/>
    </xf>
    <xf numFmtId="164" fontId="58" fillId="20" borderId="0" xfId="0" applyNumberFormat="1" applyFont="1" applyFill="1" applyAlignment="1" applyProtection="1">
      <alignment horizontal="right" vertical="center"/>
      <protection locked="0"/>
    </xf>
    <xf numFmtId="0" fontId="0" fillId="21" borderId="0" xfId="0" applyFill="1" applyAlignment="1">
      <alignment horizontal="center" vertical="center"/>
    </xf>
    <xf numFmtId="0" fontId="13" fillId="21" borderId="1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left" vertical="center"/>
    </xf>
    <xf numFmtId="0" fontId="0" fillId="21" borderId="0" xfId="0" applyFill="1" applyAlignment="1">
      <alignment horizontal="left" vertical="center"/>
    </xf>
    <xf numFmtId="10" fontId="0" fillId="21" borderId="0" xfId="0" applyNumberFormat="1" applyFill="1" applyAlignment="1">
      <alignment horizontal="left" vertical="center"/>
    </xf>
    <xf numFmtId="3" fontId="0" fillId="21" borderId="0" xfId="0" applyNumberFormat="1" applyFill="1" applyAlignment="1">
      <alignment horizontal="left" vertical="center"/>
    </xf>
    <xf numFmtId="2" fontId="0" fillId="21" borderId="0" xfId="0" applyNumberFormat="1" applyFill="1" applyAlignment="1">
      <alignment horizontal="left" vertical="center"/>
    </xf>
    <xf numFmtId="0" fontId="68" fillId="19" borderId="0" xfId="0" applyFont="1" applyFill="1"/>
    <xf numFmtId="0" fontId="8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3" fillId="21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center" vertical="center"/>
    </xf>
    <xf numFmtId="0" fontId="30" fillId="21" borderId="9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41" fontId="0" fillId="21" borderId="0" xfId="0" applyNumberFormat="1" applyFill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10" fontId="3" fillId="21" borderId="0" xfId="0" applyNumberFormat="1" applyFont="1" applyFill="1" applyAlignment="1">
      <alignment horizontal="center" vertical="center"/>
    </xf>
    <xf numFmtId="3" fontId="29" fillId="21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31" fillId="21" borderId="0" xfId="0" applyFont="1" applyFill="1" applyAlignment="1">
      <alignment horizontal="center" vertical="center"/>
    </xf>
    <xf numFmtId="10" fontId="0" fillId="21" borderId="0" xfId="0" applyNumberFormat="1" applyFill="1" applyAlignment="1">
      <alignment horizontal="center" vertical="center"/>
    </xf>
    <xf numFmtId="3" fontId="32" fillId="21" borderId="0" xfId="0" applyNumberFormat="1" applyFont="1" applyFill="1" applyAlignment="1">
      <alignment horizontal="center" vertical="center"/>
    </xf>
    <xf numFmtId="43" fontId="0" fillId="21" borderId="0" xfId="0" applyNumberFormat="1" applyFill="1" applyAlignment="1">
      <alignment horizontal="center" vertical="center"/>
    </xf>
    <xf numFmtId="186" fontId="10" fillId="21" borderId="0" xfId="0" applyNumberFormat="1" applyFont="1" applyFill="1" applyAlignment="1">
      <alignment horizontal="center" vertical="center"/>
    </xf>
    <xf numFmtId="3" fontId="28" fillId="21" borderId="11" xfId="0" applyNumberFormat="1" applyFont="1" applyFill="1" applyBorder="1" applyAlignment="1">
      <alignment horizontal="center" vertical="center"/>
    </xf>
    <xf numFmtId="3" fontId="29" fillId="21" borderId="0" xfId="0" applyNumberFormat="1" applyFont="1" applyFill="1"/>
    <xf numFmtId="0" fontId="15" fillId="21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 wrapText="1"/>
    </xf>
    <xf numFmtId="0" fontId="14" fillId="21" borderId="0" xfId="0" applyFont="1" applyFill="1" applyAlignment="1">
      <alignment horizontal="center" vertical="center"/>
    </xf>
    <xf numFmtId="0" fontId="75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9" fontId="0" fillId="21" borderId="0" xfId="0" applyNumberFormat="1" applyFill="1" applyAlignment="1">
      <alignment horizontal="center" vertical="center"/>
    </xf>
    <xf numFmtId="0" fontId="58" fillId="21" borderId="0" xfId="0" applyFont="1" applyFill="1" applyAlignment="1">
      <alignment horizontal="center" vertical="center"/>
    </xf>
    <xf numFmtId="9" fontId="3" fillId="21" borderId="0" xfId="0" applyNumberFormat="1" applyFont="1" applyFill="1" applyAlignment="1">
      <alignment horizontal="center" vertical="center"/>
    </xf>
    <xf numFmtId="10" fontId="29" fillId="21" borderId="0" xfId="0" applyNumberFormat="1" applyFont="1" applyFill="1" applyAlignment="1">
      <alignment horizontal="center" vertical="center"/>
    </xf>
    <xf numFmtId="185" fontId="0" fillId="21" borderId="0" xfId="0" applyNumberFormat="1" applyFill="1" applyAlignment="1">
      <alignment horizontal="center" vertical="center"/>
    </xf>
    <xf numFmtId="0" fontId="8" fillId="21" borderId="0" xfId="0" applyFont="1" applyFill="1" applyAlignment="1">
      <alignment horizontal="left" vertical="center"/>
    </xf>
    <xf numFmtId="0" fontId="70" fillId="21" borderId="0" xfId="0" applyFont="1" applyFill="1" applyAlignment="1">
      <alignment horizontal="center" vertical="center"/>
    </xf>
    <xf numFmtId="0" fontId="69" fillId="21" borderId="0" xfId="0" applyFont="1" applyFill="1" applyAlignment="1">
      <alignment horizontal="center" vertical="center"/>
    </xf>
    <xf numFmtId="0" fontId="71" fillId="21" borderId="0" xfId="0" applyFont="1" applyFill="1" applyAlignment="1">
      <alignment horizontal="center" vertical="center" wrapText="1"/>
    </xf>
    <xf numFmtId="0" fontId="72" fillId="21" borderId="0" xfId="0" applyFont="1" applyFill="1" applyAlignment="1">
      <alignment horizontal="center" vertical="center"/>
    </xf>
    <xf numFmtId="0" fontId="73" fillId="21" borderId="0" xfId="0" applyFont="1" applyFill="1" applyAlignment="1">
      <alignment horizontal="center" vertical="center"/>
    </xf>
    <xf numFmtId="0" fontId="71" fillId="21" borderId="0" xfId="0" applyFont="1" applyFill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184" fontId="0" fillId="21" borderId="0" xfId="0" applyNumberFormat="1" applyFill="1" applyAlignment="1">
      <alignment horizontal="center" vertical="center"/>
    </xf>
    <xf numFmtId="2" fontId="0" fillId="21" borderId="0" xfId="0" applyNumberFormat="1" applyFill="1" applyAlignment="1">
      <alignment horizontal="center" vertical="center"/>
    </xf>
    <xf numFmtId="3" fontId="3" fillId="9" borderId="0" xfId="0" applyNumberFormat="1" applyFont="1" applyFill="1"/>
    <xf numFmtId="0" fontId="22" fillId="22" borderId="0" xfId="0" applyFont="1" applyFill="1" applyAlignment="1">
      <alignment horizontal="center" vertical="center"/>
    </xf>
    <xf numFmtId="173" fontId="12" fillId="23" borderId="0" xfId="0" applyNumberFormat="1" applyFont="1" applyFill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74" fillId="21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30" fillId="23" borderId="13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/>
    </xf>
    <xf numFmtId="0" fontId="30" fillId="23" borderId="12" xfId="0" applyFont="1" applyFill="1" applyBorder="1" applyAlignment="1">
      <alignment horizontal="center" vertical="center"/>
    </xf>
    <xf numFmtId="0" fontId="4" fillId="23" borderId="10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13" fillId="23" borderId="12" xfId="0" applyFont="1" applyFill="1" applyBorder="1" applyAlignment="1">
      <alignment horizontal="center" vertical="center"/>
    </xf>
    <xf numFmtId="0" fontId="8" fillId="23" borderId="0" xfId="0" applyFont="1" applyFill="1" applyAlignment="1">
      <alignment horizontal="center" vertical="center"/>
    </xf>
    <xf numFmtId="10" fontId="3" fillId="23" borderId="0" xfId="0" applyNumberFormat="1" applyFont="1" applyFill="1" applyAlignment="1">
      <alignment horizontal="center" vertical="center"/>
    </xf>
    <xf numFmtId="3" fontId="29" fillId="23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10" fillId="23" borderId="0" xfId="0" applyFont="1" applyFill="1" applyAlignment="1">
      <alignment horizontal="center" vertical="center"/>
    </xf>
    <xf numFmtId="0" fontId="31" fillId="23" borderId="0" xfId="0" applyFont="1" applyFill="1" applyAlignment="1">
      <alignment horizontal="center" vertical="center"/>
    </xf>
    <xf numFmtId="10" fontId="0" fillId="23" borderId="0" xfId="0" applyNumberFormat="1" applyFill="1" applyAlignment="1">
      <alignment horizontal="center" vertical="center"/>
    </xf>
    <xf numFmtId="3" fontId="32" fillId="23" borderId="0" xfId="0" applyNumberFormat="1" applyFont="1" applyFill="1" applyAlignment="1">
      <alignment horizontal="center" vertical="center"/>
    </xf>
    <xf numFmtId="186" fontId="10" fillId="23" borderId="0" xfId="0" applyNumberFormat="1" applyFont="1" applyFill="1" applyAlignment="1">
      <alignment horizontal="center" vertical="center"/>
    </xf>
    <xf numFmtId="3" fontId="28" fillId="23" borderId="0" xfId="0" applyNumberFormat="1" applyFont="1" applyFill="1" applyAlignment="1">
      <alignment horizontal="center" vertical="center"/>
    </xf>
    <xf numFmtId="0" fontId="29" fillId="23" borderId="0" xfId="0" applyFont="1" applyFill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9" fontId="0" fillId="23" borderId="0" xfId="0" applyNumberFormat="1" applyFill="1" applyAlignment="1">
      <alignment horizontal="center" vertical="center"/>
    </xf>
    <xf numFmtId="0" fontId="0" fillId="23" borderId="15" xfId="0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10" fontId="3" fillId="21" borderId="1" xfId="0" applyNumberFormat="1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0" fontId="29" fillId="21" borderId="1" xfId="0" applyNumberFormat="1" applyFont="1" applyFill="1" applyBorder="1" applyAlignment="1">
      <alignment horizontal="center" vertical="center"/>
    </xf>
    <xf numFmtId="9" fontId="0" fillId="23" borderId="1" xfId="0" applyNumberFormat="1" applyFill="1" applyBorder="1" applyAlignment="1">
      <alignment horizontal="center" vertical="center"/>
    </xf>
    <xf numFmtId="0" fontId="0" fillId="23" borderId="16" xfId="0" applyFill="1" applyBorder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181" fontId="0" fillId="23" borderId="0" xfId="0" applyNumberFormat="1" applyFill="1" applyAlignment="1">
      <alignment horizontal="center" vertical="center"/>
    </xf>
    <xf numFmtId="0" fontId="19" fillId="23" borderId="0" xfId="0" applyFont="1" applyFill="1" applyAlignment="1">
      <alignment horizontal="left" vertical="center"/>
    </xf>
    <xf numFmtId="165" fontId="3" fillId="24" borderId="0" xfId="0" applyNumberFormat="1" applyFont="1" applyFill="1" applyAlignment="1">
      <alignment horizontal="center" vertical="center"/>
    </xf>
    <xf numFmtId="9" fontId="3" fillId="24" borderId="0" xfId="0" applyNumberFormat="1" applyFont="1" applyFill="1" applyAlignment="1">
      <alignment horizontal="center" vertical="center"/>
    </xf>
    <xf numFmtId="9" fontId="0" fillId="24" borderId="0" xfId="0" applyNumberFormat="1" applyFill="1" applyAlignment="1">
      <alignment horizontal="center" vertical="center"/>
    </xf>
    <xf numFmtId="10" fontId="0" fillId="24" borderId="0" xfId="0" applyNumberForma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3" borderId="0" xfId="0" applyFill="1" applyAlignment="1">
      <alignment horizontal="left" vertical="center"/>
    </xf>
    <xf numFmtId="164" fontId="0" fillId="24" borderId="0" xfId="0" applyNumberFormat="1" applyFill="1" applyAlignment="1">
      <alignment horizontal="center" vertical="center"/>
    </xf>
    <xf numFmtId="164" fontId="3" fillId="24" borderId="0" xfId="0" applyNumberFormat="1" applyFont="1" applyFill="1" applyAlignment="1">
      <alignment horizontal="center" vertical="center"/>
    </xf>
    <xf numFmtId="166" fontId="0" fillId="24" borderId="0" xfId="0" applyNumberFormat="1" applyFill="1" applyAlignment="1">
      <alignment horizontal="center" vertical="center"/>
    </xf>
    <xf numFmtId="1" fontId="29" fillId="23" borderId="0" xfId="0" applyNumberFormat="1" applyFont="1" applyFill="1" applyAlignment="1">
      <alignment horizontal="center" vertical="center"/>
    </xf>
    <xf numFmtId="1" fontId="0" fillId="23" borderId="0" xfId="0" applyNumberFormat="1" applyFill="1" applyAlignment="1">
      <alignment horizontal="center" vertical="center"/>
    </xf>
    <xf numFmtId="164" fontId="58" fillId="24" borderId="0" xfId="0" applyNumberFormat="1" applyFont="1" applyFill="1" applyAlignment="1">
      <alignment horizontal="center" vertical="center"/>
    </xf>
    <xf numFmtId="9" fontId="58" fillId="24" borderId="0" xfId="0" applyNumberFormat="1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1" fontId="58" fillId="23" borderId="0" xfId="0" applyNumberFormat="1" applyFont="1" applyFill="1" applyAlignment="1">
      <alignment horizontal="center" vertical="center"/>
    </xf>
    <xf numFmtId="0" fontId="20" fillId="23" borderId="0" xfId="0" applyFont="1" applyFill="1" applyAlignment="1">
      <alignment horizontal="left" vertical="center"/>
    </xf>
    <xf numFmtId="0" fontId="20" fillId="23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5" fontId="3" fillId="21" borderId="0" xfId="0" applyNumberFormat="1" applyFont="1" applyFill="1" applyAlignment="1">
      <alignment horizontal="center" vertical="center"/>
    </xf>
    <xf numFmtId="15" fontId="0" fillId="21" borderId="0" xfId="0" applyNumberFormat="1" applyFill="1" applyAlignment="1">
      <alignment horizontal="center" vertical="center"/>
    </xf>
    <xf numFmtId="0" fontId="29" fillId="21" borderId="0" xfId="0" applyFont="1" applyFill="1" applyAlignment="1">
      <alignment horizontal="left" vertical="center"/>
    </xf>
    <xf numFmtId="164" fontId="21" fillId="21" borderId="0" xfId="0" applyNumberFormat="1" applyFont="1" applyFill="1" applyAlignment="1" applyProtection="1">
      <alignment horizontal="center" vertical="center"/>
      <protection locked="0"/>
    </xf>
    <xf numFmtId="0" fontId="21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left" vertical="center"/>
    </xf>
    <xf numFmtId="164" fontId="3" fillId="21" borderId="0" xfId="0" applyNumberFormat="1" applyFont="1" applyFill="1" applyAlignment="1" applyProtection="1">
      <alignment horizontal="center" vertical="center"/>
      <protection locked="0"/>
    </xf>
    <xf numFmtId="164" fontId="0" fillId="21" borderId="0" xfId="0" applyNumberFormat="1" applyFill="1" applyAlignment="1">
      <alignment horizontal="center" vertical="center"/>
    </xf>
    <xf numFmtId="164" fontId="0" fillId="21" borderId="0" xfId="0" applyNumberFormat="1" applyFill="1" applyAlignment="1" applyProtection="1">
      <alignment horizontal="center" vertical="center"/>
      <protection locked="0"/>
    </xf>
    <xf numFmtId="166" fontId="0" fillId="21" borderId="0" xfId="0" applyNumberFormat="1" applyFill="1" applyAlignment="1">
      <alignment horizontal="center" vertical="center"/>
    </xf>
    <xf numFmtId="3" fontId="20" fillId="21" borderId="0" xfId="0" applyNumberFormat="1" applyFont="1" applyFill="1" applyAlignment="1">
      <alignment horizontal="center" vertical="center"/>
    </xf>
    <xf numFmtId="0" fontId="13" fillId="25" borderId="0" xfId="0" applyFont="1" applyFill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10" fontId="15" fillId="25" borderId="0" xfId="0" applyNumberFormat="1" applyFont="1" applyFill="1" applyAlignment="1">
      <alignment horizontal="center" vertical="center"/>
    </xf>
    <xf numFmtId="181" fontId="0" fillId="25" borderId="0" xfId="0" applyNumberFormat="1" applyFill="1" applyAlignment="1">
      <alignment horizontal="center" vertical="center"/>
    </xf>
    <xf numFmtId="169" fontId="0" fillId="25" borderId="0" xfId="0" applyNumberFormat="1" applyFill="1" applyAlignment="1">
      <alignment horizontal="center" vertical="center"/>
    </xf>
    <xf numFmtId="3" fontId="0" fillId="21" borderId="0" xfId="0" applyNumberFormat="1" applyFill="1" applyAlignment="1">
      <alignment horizontal="center" vertical="center"/>
    </xf>
    <xf numFmtId="190" fontId="0" fillId="21" borderId="0" xfId="0" applyNumberFormat="1" applyFill="1" applyAlignment="1">
      <alignment horizontal="center" vertical="center"/>
    </xf>
    <xf numFmtId="4" fontId="0" fillId="21" borderId="0" xfId="0" applyNumberFormat="1" applyFill="1" applyAlignment="1">
      <alignment horizontal="left" vertical="center"/>
    </xf>
    <xf numFmtId="0" fontId="13" fillId="25" borderId="0" xfId="0" applyFont="1" applyFill="1" applyAlignment="1">
      <alignment horizontal="left" vertical="center"/>
    </xf>
    <xf numFmtId="0" fontId="15" fillId="24" borderId="0" xfId="0" applyFont="1" applyFill="1" applyAlignment="1">
      <alignment horizontal="left" vertical="center"/>
    </xf>
    <xf numFmtId="177" fontId="15" fillId="24" borderId="0" xfId="0" applyNumberFormat="1" applyFont="1" applyFill="1" applyAlignment="1">
      <alignment horizontal="center" vertical="center"/>
    </xf>
    <xf numFmtId="0" fontId="0" fillId="24" borderId="0" xfId="0" applyFill="1" applyAlignment="1">
      <alignment horizontal="left" vertical="center"/>
    </xf>
    <xf numFmtId="178" fontId="0" fillId="24" borderId="0" xfId="0" applyNumberFormat="1" applyFill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4" fillId="24" borderId="0" xfId="0" applyFont="1" applyFill="1" applyAlignment="1">
      <alignment horizontal="center" vertical="center"/>
    </xf>
    <xf numFmtId="0" fontId="2" fillId="0" borderId="0" xfId="0" applyFont="1"/>
    <xf numFmtId="0" fontId="2" fillId="0" borderId="20" xfId="0" applyFont="1" applyBorder="1"/>
    <xf numFmtId="0" fontId="16" fillId="19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right" vertical="center"/>
    </xf>
    <xf numFmtId="188" fontId="47" fillId="15" borderId="0" xfId="0" applyNumberFormat="1" applyFont="1" applyFill="1" applyAlignment="1" applyProtection="1">
      <alignment horizontal="right" vertical="center"/>
      <protection locked="0"/>
    </xf>
    <xf numFmtId="167" fontId="56" fillId="15" borderId="0" xfId="0" applyNumberFormat="1" applyFont="1" applyFill="1" applyAlignment="1" applyProtection="1">
      <alignment horizontal="center" vertical="center"/>
      <protection locked="0"/>
    </xf>
    <xf numFmtId="187" fontId="39" fillId="15" borderId="0" xfId="0" applyNumberFormat="1" applyFont="1" applyFill="1" applyAlignment="1" applyProtection="1">
      <alignment horizontal="right" vertical="center"/>
      <protection locked="0"/>
    </xf>
    <xf numFmtId="167" fontId="56" fillId="15" borderId="0" xfId="0" applyNumberFormat="1" applyFont="1" applyFill="1" applyAlignment="1" applyProtection="1">
      <alignment horizontal="right" vertical="center"/>
      <protection locked="0"/>
    </xf>
    <xf numFmtId="0" fontId="22" fillId="21" borderId="0" xfId="0" applyFont="1" applyFill="1" applyAlignment="1">
      <alignment horizontal="center" vertical="center"/>
    </xf>
    <xf numFmtId="173" fontId="12" fillId="21" borderId="0" xfId="0" applyNumberFormat="1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30" fillId="21" borderId="13" xfId="0" applyFont="1" applyFill="1" applyBorder="1" applyAlignment="1">
      <alignment horizontal="center" vertical="center"/>
    </xf>
    <xf numFmtId="0" fontId="4" fillId="21" borderId="14" xfId="0" applyFont="1" applyFill="1" applyBorder="1" applyAlignment="1">
      <alignment horizontal="center" vertical="center"/>
    </xf>
    <xf numFmtId="0" fontId="30" fillId="21" borderId="12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13" fillId="21" borderId="12" xfId="0" applyFont="1" applyFill="1" applyBorder="1" applyAlignment="1">
      <alignment horizontal="center" vertical="center"/>
    </xf>
    <xf numFmtId="3" fontId="28" fillId="21" borderId="0" xfId="0" applyNumberFormat="1" applyFont="1" applyFill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9" fontId="0" fillId="21" borderId="1" xfId="0" applyNumberFormat="1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181" fontId="0" fillId="21" borderId="0" xfId="0" applyNumberFormat="1" applyFill="1" applyAlignment="1">
      <alignment horizontal="center" vertical="center"/>
    </xf>
    <xf numFmtId="0" fontId="19" fillId="21" borderId="0" xfId="0" applyFont="1" applyFill="1" applyAlignment="1">
      <alignment horizontal="left" vertical="center"/>
    </xf>
    <xf numFmtId="165" fontId="3" fillId="21" borderId="0" xfId="0" applyNumberFormat="1" applyFont="1" applyFill="1" applyAlignment="1">
      <alignment horizontal="center" vertical="center"/>
    </xf>
    <xf numFmtId="164" fontId="3" fillId="21" borderId="0" xfId="0" applyNumberFormat="1" applyFont="1" applyFill="1" applyAlignment="1">
      <alignment horizontal="center" vertical="center"/>
    </xf>
    <xf numFmtId="1" fontId="29" fillId="21" borderId="0" xfId="0" applyNumberFormat="1" applyFont="1" applyFill="1" applyAlignment="1">
      <alignment horizontal="center" vertical="center"/>
    </xf>
    <xf numFmtId="1" fontId="0" fillId="21" borderId="0" xfId="0" applyNumberFormat="1" applyFill="1" applyAlignment="1">
      <alignment horizontal="center" vertical="center"/>
    </xf>
    <xf numFmtId="164" fontId="58" fillId="21" borderId="0" xfId="0" applyNumberFormat="1" applyFont="1" applyFill="1" applyAlignment="1">
      <alignment horizontal="center" vertical="center"/>
    </xf>
    <xf numFmtId="9" fontId="58" fillId="21" borderId="0" xfId="0" applyNumberFormat="1" applyFont="1" applyFill="1" applyAlignment="1">
      <alignment horizontal="center" vertical="center"/>
    </xf>
    <xf numFmtId="1" fontId="58" fillId="21" borderId="0" xfId="0" applyNumberFormat="1" applyFont="1" applyFill="1" applyAlignment="1">
      <alignment horizontal="center" vertical="center"/>
    </xf>
    <xf numFmtId="0" fontId="20" fillId="21" borderId="0" xfId="0" applyFont="1" applyFill="1" applyAlignment="1">
      <alignment horizontal="left" vertical="center"/>
    </xf>
    <xf numFmtId="0" fontId="20" fillId="21" borderId="0" xfId="0" applyFont="1" applyFill="1" applyAlignment="1">
      <alignment horizontal="center" vertical="center"/>
    </xf>
    <xf numFmtId="10" fontId="15" fillId="21" borderId="0" xfId="0" applyNumberFormat="1" applyFont="1" applyFill="1" applyAlignment="1">
      <alignment horizontal="center" vertical="center"/>
    </xf>
    <xf numFmtId="169" fontId="0" fillId="21" borderId="0" xfId="0" applyNumberFormat="1" applyFill="1" applyAlignment="1">
      <alignment horizontal="center" vertical="center"/>
    </xf>
    <xf numFmtId="0" fontId="15" fillId="21" borderId="0" xfId="0" applyFont="1" applyFill="1" applyAlignment="1">
      <alignment horizontal="left" vertical="center"/>
    </xf>
    <xf numFmtId="177" fontId="15" fillId="21" borderId="0" xfId="0" applyNumberFormat="1" applyFont="1" applyFill="1" applyAlignment="1">
      <alignment horizontal="center" vertical="center"/>
    </xf>
    <xf numFmtId="178" fontId="0" fillId="21" borderId="0" xfId="0" applyNumberForma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41" fontId="47" fillId="19" borderId="0" xfId="0" applyNumberFormat="1" applyFont="1" applyFill="1" applyAlignment="1" applyProtection="1">
      <alignment horizontal="center" vertical="center"/>
      <protection locked="0"/>
    </xf>
    <xf numFmtId="0" fontId="16" fillId="19" borderId="0" xfId="0" applyFont="1" applyFill="1" applyAlignment="1">
      <alignment horizontal="center" vertical="center"/>
    </xf>
    <xf numFmtId="169" fontId="16" fillId="19" borderId="0" xfId="0" applyNumberFormat="1" applyFont="1" applyFill="1" applyAlignment="1" applyProtection="1">
      <alignment horizontal="center" vertical="center"/>
      <protection locked="0"/>
    </xf>
    <xf numFmtId="173" fontId="8" fillId="7" borderId="0" xfId="0" applyNumberFormat="1" applyFont="1" applyFill="1" applyAlignment="1" applyProtection="1">
      <alignment horizontal="left" vertical="center"/>
      <protection locked="0"/>
    </xf>
    <xf numFmtId="173" fontId="8" fillId="7" borderId="0" xfId="0" applyNumberFormat="1" applyFont="1" applyFill="1" applyAlignment="1" applyProtection="1">
      <alignment horizontal="center" vertical="center"/>
      <protection locked="0"/>
    </xf>
    <xf numFmtId="9" fontId="0" fillId="7" borderId="0" xfId="0" applyNumberFormat="1" applyFill="1" applyAlignment="1" applyProtection="1">
      <alignment horizontal="center" vertical="center"/>
      <protection locked="0"/>
    </xf>
    <xf numFmtId="184" fontId="0" fillId="7" borderId="0" xfId="0" applyNumberFormat="1" applyFill="1" applyAlignment="1" applyProtection="1">
      <alignment horizontal="right" vertical="center"/>
      <protection locked="0"/>
    </xf>
    <xf numFmtId="0" fontId="15" fillId="12" borderId="0" xfId="0" applyFont="1" applyFill="1" applyAlignment="1">
      <alignment horizontal="center" vertical="center"/>
    </xf>
    <xf numFmtId="184" fontId="3" fillId="7" borderId="0" xfId="0" applyNumberFormat="1" applyFont="1" applyFill="1" applyAlignment="1" applyProtection="1">
      <alignment horizontal="center" vertical="center"/>
      <protection locked="0"/>
    </xf>
    <xf numFmtId="0" fontId="0" fillId="19" borderId="0" xfId="0" applyFill="1" applyAlignment="1">
      <alignment horizontal="center" vertical="center" wrapText="1"/>
    </xf>
    <xf numFmtId="0" fontId="20" fillId="19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 wrapText="1" indent="1"/>
      <protection locked="0"/>
    </xf>
    <xf numFmtId="169" fontId="16" fillId="0" borderId="0" xfId="0" applyNumberFormat="1" applyFont="1" applyAlignment="1" applyProtection="1">
      <alignment horizontal="center" vertical="center" wrapText="1"/>
      <protection locked="0"/>
    </xf>
    <xf numFmtId="3" fontId="29" fillId="0" borderId="0" xfId="0" applyNumberFormat="1" applyFon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  <xf numFmtId="3" fontId="63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87" fillId="19" borderId="0" xfId="0" applyFont="1" applyFill="1" applyAlignment="1">
      <alignment horizontal="center" vertical="center"/>
    </xf>
    <xf numFmtId="0" fontId="88" fillId="19" borderId="0" xfId="0" applyFont="1" applyFill="1" applyAlignment="1">
      <alignment horizontal="center" vertical="center" wrapText="1"/>
    </xf>
    <xf numFmtId="0" fontId="0" fillId="19" borderId="0" xfId="0" applyFill="1"/>
    <xf numFmtId="10" fontId="0" fillId="0" borderId="0" xfId="0" applyNumberFormat="1"/>
    <xf numFmtId="0" fontId="4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184" fontId="3" fillId="19" borderId="0" xfId="0" applyNumberFormat="1" applyFont="1" applyFill="1" applyAlignment="1">
      <alignment horizontal="center" vertical="center"/>
    </xf>
    <xf numFmtId="189" fontId="3" fillId="19" borderId="0" xfId="0" applyNumberFormat="1" applyFont="1" applyFill="1" applyAlignment="1">
      <alignment horizontal="center" vertical="center"/>
    </xf>
    <xf numFmtId="14" fontId="89" fillId="19" borderId="0" xfId="0" applyNumberFormat="1" applyFont="1" applyFill="1"/>
    <xf numFmtId="14" fontId="3" fillId="19" borderId="0" xfId="0" applyNumberFormat="1" applyFont="1" applyFill="1" applyAlignment="1">
      <alignment horizontal="center" vertical="center"/>
    </xf>
    <xf numFmtId="1" fontId="3" fillId="19" borderId="0" xfId="0" applyNumberFormat="1" applyFont="1" applyFill="1" applyAlignment="1">
      <alignment horizontal="center" vertical="center"/>
    </xf>
    <xf numFmtId="190" fontId="3" fillId="19" borderId="0" xfId="0" applyNumberFormat="1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41" fontId="0" fillId="19" borderId="0" xfId="0" applyNumberFormat="1" applyFill="1" applyAlignment="1">
      <alignment horizontal="center" vertical="center"/>
    </xf>
    <xf numFmtId="9" fontId="3" fillId="19" borderId="0" xfId="0" applyNumberFormat="1" applyFont="1" applyFill="1" applyAlignment="1">
      <alignment vertical="center"/>
    </xf>
    <xf numFmtId="9" fontId="90" fillId="19" borderId="0" xfId="0" applyNumberFormat="1" applyFont="1" applyFill="1" applyAlignment="1">
      <alignment vertical="center"/>
    </xf>
    <xf numFmtId="9" fontId="91" fillId="19" borderId="0" xfId="0" applyNumberFormat="1" applyFont="1" applyFill="1" applyAlignment="1">
      <alignment vertical="center"/>
    </xf>
    <xf numFmtId="9" fontId="9" fillId="19" borderId="0" xfId="0" applyNumberFormat="1" applyFont="1" applyFill="1" applyAlignment="1">
      <alignment vertical="center"/>
    </xf>
    <xf numFmtId="9" fontId="3" fillId="19" borderId="0" xfId="0" applyNumberFormat="1" applyFont="1" applyFill="1"/>
    <xf numFmtId="43" fontId="3" fillId="19" borderId="0" xfId="0" applyNumberFormat="1" applyFont="1" applyFill="1"/>
    <xf numFmtId="43" fontId="3" fillId="19" borderId="0" xfId="0" applyNumberFormat="1" applyFont="1" applyFill="1" applyAlignment="1">
      <alignment horizontal="center" vertical="center"/>
    </xf>
    <xf numFmtId="0" fontId="92" fillId="26" borderId="0" xfId="0" applyFont="1" applyFill="1" applyAlignment="1" applyProtection="1">
      <alignment horizontal="center" vertical="center"/>
      <protection locked="0"/>
    </xf>
    <xf numFmtId="0" fontId="93" fillId="26" borderId="0" xfId="0" applyFont="1" applyFill="1" applyAlignment="1" applyProtection="1">
      <alignment horizontal="left" vertical="center"/>
      <protection locked="0"/>
    </xf>
    <xf numFmtId="0" fontId="3" fillId="26" borderId="0" xfId="0" applyFont="1" applyFill="1" applyAlignment="1" applyProtection="1">
      <alignment horizontal="center" vertical="center"/>
      <protection locked="0"/>
    </xf>
    <xf numFmtId="0" fontId="94" fillId="26" borderId="0" xfId="0" applyFont="1" applyFill="1" applyAlignment="1" applyProtection="1">
      <alignment horizontal="left" vertical="center"/>
      <protection locked="0"/>
    </xf>
    <xf numFmtId="0" fontId="43" fillId="26" borderId="0" xfId="0" applyFont="1" applyFill="1" applyAlignment="1" applyProtection="1">
      <alignment horizontal="center" vertical="center"/>
      <protection locked="0"/>
    </xf>
    <xf numFmtId="0" fontId="45" fillId="26" borderId="0" xfId="0" applyFont="1" applyFill="1" applyAlignment="1" applyProtection="1">
      <alignment horizontal="center" vertical="center"/>
      <protection locked="0"/>
    </xf>
    <xf numFmtId="0" fontId="0" fillId="26" borderId="0" xfId="0" applyFill="1" applyAlignment="1" applyProtection="1">
      <alignment horizontal="center" vertical="center"/>
      <protection locked="0"/>
    </xf>
    <xf numFmtId="0" fontId="77" fillId="26" borderId="0" xfId="0" applyFont="1" applyFill="1" applyAlignment="1" applyProtection="1">
      <alignment horizontal="left" vertical="center"/>
      <protection locked="0"/>
    </xf>
    <xf numFmtId="0" fontId="77" fillId="27" borderId="0" xfId="0" applyFont="1" applyFill="1" applyAlignment="1" applyProtection="1">
      <alignment horizontal="left" vertical="center"/>
      <protection locked="0"/>
    </xf>
    <xf numFmtId="0" fontId="77" fillId="27" borderId="0" xfId="0" applyFont="1" applyFill="1" applyAlignment="1">
      <alignment horizontal="left" vertical="center"/>
    </xf>
    <xf numFmtId="181" fontId="0" fillId="28" borderId="0" xfId="0" applyNumberFormat="1" applyFill="1" applyAlignment="1" applyProtection="1">
      <alignment horizontal="center" vertical="center"/>
      <protection locked="0"/>
    </xf>
    <xf numFmtId="0" fontId="0" fillId="28" borderId="0" xfId="0" applyFill="1" applyAlignment="1" applyProtection="1">
      <alignment horizontal="center" vertical="center"/>
      <protection locked="0"/>
    </xf>
    <xf numFmtId="0" fontId="77" fillId="28" borderId="0" xfId="0" applyFont="1" applyFill="1" applyAlignment="1" applyProtection="1">
      <alignment horizontal="left" vertical="center"/>
      <protection locked="0"/>
    </xf>
    <xf numFmtId="41" fontId="95" fillId="0" borderId="0" xfId="0" applyNumberFormat="1" applyFont="1" applyAlignment="1" applyProtection="1">
      <alignment horizontal="left" vertical="center"/>
      <protection locked="0"/>
    </xf>
    <xf numFmtId="5" fontId="95" fillId="0" borderId="0" xfId="0" applyNumberFormat="1" applyFont="1" applyAlignment="1" applyProtection="1">
      <alignment horizontal="left" vertical="center"/>
      <protection locked="0"/>
    </xf>
    <xf numFmtId="0" fontId="96" fillId="28" borderId="0" xfId="0" applyFont="1" applyFill="1" applyAlignment="1">
      <alignment horizontal="center" vertical="center" wrapText="1"/>
    </xf>
    <xf numFmtId="181" fontId="97" fillId="28" borderId="0" xfId="0" applyNumberFormat="1" applyFont="1" applyFill="1" applyAlignment="1" applyProtection="1">
      <alignment horizontal="center" vertical="center"/>
      <protection locked="0"/>
    </xf>
    <xf numFmtId="0" fontId="97" fillId="28" borderId="0" xfId="0" applyFont="1" applyFill="1" applyAlignment="1" applyProtection="1">
      <alignment horizontal="center" vertical="center"/>
      <protection locked="0"/>
    </xf>
    <xf numFmtId="0" fontId="97" fillId="28" borderId="0" xfId="0" applyFont="1" applyFill="1" applyAlignment="1" applyProtection="1">
      <alignment horizontal="left" vertical="center"/>
      <protection locked="0"/>
    </xf>
    <xf numFmtId="0" fontId="98" fillId="28" borderId="0" xfId="0" applyFont="1" applyFill="1" applyAlignment="1">
      <alignment horizontal="center" vertical="center" wrapText="1"/>
    </xf>
    <xf numFmtId="0" fontId="99" fillId="28" borderId="0" xfId="0" applyFont="1" applyFill="1" applyAlignment="1" applyProtection="1">
      <alignment horizontal="center" vertical="center"/>
      <protection locked="0"/>
    </xf>
    <xf numFmtId="43" fontId="99" fillId="28" borderId="0" xfId="0" applyNumberFormat="1" applyFont="1" applyFill="1" applyAlignment="1" applyProtection="1">
      <alignment horizontal="center" vertical="center"/>
      <protection locked="0"/>
    </xf>
    <xf numFmtId="43" fontId="99" fillId="28" borderId="0" xfId="0" applyNumberFormat="1" applyFont="1" applyFill="1" applyAlignment="1" applyProtection="1">
      <alignment horizontal="left" vertical="center"/>
      <protection locked="0"/>
    </xf>
    <xf numFmtId="181" fontId="99" fillId="28" borderId="0" xfId="0" applyNumberFormat="1" applyFont="1" applyFill="1" applyAlignment="1" applyProtection="1">
      <alignment horizontal="center" vertical="center"/>
      <protection locked="0"/>
    </xf>
    <xf numFmtId="0" fontId="99" fillId="28" borderId="0" xfId="0" applyFont="1" applyFill="1" applyAlignment="1">
      <alignment horizontal="center"/>
    </xf>
    <xf numFmtId="43" fontId="0" fillId="28" borderId="0" xfId="0" applyNumberFormat="1" applyFill="1" applyAlignment="1" applyProtection="1">
      <alignment horizontal="center" vertical="center"/>
      <protection locked="0"/>
    </xf>
    <xf numFmtId="0" fontId="100" fillId="26" borderId="0" xfId="0" applyFont="1" applyFill="1" applyAlignment="1" applyProtection="1">
      <alignment horizontal="left" vertical="center"/>
      <protection locked="0"/>
    </xf>
    <xf numFmtId="0" fontId="101" fillId="26" borderId="0" xfId="0" applyFont="1" applyFill="1" applyAlignment="1" applyProtection="1">
      <alignment horizontal="left" vertical="center"/>
      <protection locked="0"/>
    </xf>
    <xf numFmtId="0" fontId="100" fillId="29" borderId="0" xfId="0" applyFont="1" applyFill="1" applyAlignment="1" applyProtection="1">
      <alignment horizontal="left" vertical="center"/>
      <protection locked="0"/>
    </xf>
    <xf numFmtId="0" fontId="0" fillId="29" borderId="0" xfId="0" applyFill="1" applyAlignment="1" applyProtection="1">
      <alignment horizontal="center" vertical="center"/>
      <protection locked="0"/>
    </xf>
    <xf numFmtId="0" fontId="77" fillId="29" borderId="0" xfId="0" applyFont="1" applyFill="1" applyAlignment="1" applyProtection="1">
      <alignment horizontal="left" vertical="center"/>
      <protection locked="0"/>
    </xf>
    <xf numFmtId="0" fontId="8" fillId="28" borderId="0" xfId="0" applyFont="1" applyFill="1" applyAlignment="1">
      <alignment horizontal="center" vertical="center" wrapText="1"/>
    </xf>
    <xf numFmtId="0" fontId="102" fillId="28" borderId="0" xfId="0" applyFont="1" applyFill="1" applyAlignment="1">
      <alignment horizontal="center" vertical="center" wrapText="1"/>
    </xf>
    <xf numFmtId="181" fontId="99" fillId="28" borderId="0" xfId="0" applyNumberFormat="1" applyFont="1" applyFill="1" applyAlignment="1" applyProtection="1">
      <alignment horizontal="left" vertical="center"/>
      <protection locked="0"/>
    </xf>
    <xf numFmtId="43" fontId="0" fillId="28" borderId="25" xfId="0" applyNumberFormat="1" applyFill="1" applyBorder="1" applyAlignment="1" applyProtection="1">
      <alignment horizontal="center" vertical="center"/>
      <protection locked="0"/>
    </xf>
    <xf numFmtId="0" fontId="103" fillId="0" borderId="0" xfId="0" applyFont="1"/>
    <xf numFmtId="43" fontId="58" fillId="15" borderId="0" xfId="0" applyNumberFormat="1" applyFont="1" applyFill="1" applyAlignment="1" applyProtection="1">
      <alignment horizontal="right" vertical="center"/>
      <protection locked="0"/>
    </xf>
    <xf numFmtId="0" fontId="8" fillId="15" borderId="0" xfId="0" quotePrefix="1" applyFont="1" applyFill="1" applyAlignment="1" applyProtection="1">
      <alignment horizontal="left" vertical="center" indent="1"/>
      <protection locked="0"/>
    </xf>
    <xf numFmtId="184" fontId="58" fillId="7" borderId="0" xfId="0" applyNumberFormat="1" applyFont="1" applyFill="1" applyAlignment="1" applyProtection="1">
      <alignment horizontal="center" vertical="center"/>
      <protection locked="0"/>
    </xf>
    <xf numFmtId="10" fontId="71" fillId="0" borderId="0" xfId="0" applyNumberFormat="1" applyFont="1" applyAlignment="1">
      <alignment horizontal="center" vertical="center"/>
    </xf>
    <xf numFmtId="0" fontId="104" fillId="0" borderId="26" xfId="0" applyFont="1" applyBorder="1" applyAlignment="1">
      <alignment wrapText="1" readingOrder="1"/>
    </xf>
    <xf numFmtId="0" fontId="105" fillId="0" borderId="27" xfId="0" applyFont="1" applyBorder="1" applyAlignment="1">
      <alignment wrapText="1" readingOrder="1"/>
    </xf>
    <xf numFmtId="0" fontId="105" fillId="0" borderId="28" xfId="0" applyFont="1" applyBorder="1" applyAlignment="1">
      <alignment wrapText="1" readingOrder="1"/>
    </xf>
    <xf numFmtId="0" fontId="105" fillId="0" borderId="29" xfId="0" applyFont="1" applyBorder="1" applyAlignment="1">
      <alignment wrapText="1" readingOrder="1"/>
    </xf>
    <xf numFmtId="0" fontId="105" fillId="0" borderId="30" xfId="0" applyFont="1" applyBorder="1" applyAlignment="1">
      <alignment wrapText="1" readingOrder="1"/>
    </xf>
    <xf numFmtId="0" fontId="105" fillId="0" borderId="31" xfId="0" applyFont="1" applyBorder="1" applyAlignment="1">
      <alignment wrapText="1" readingOrder="1"/>
    </xf>
    <xf numFmtId="0" fontId="104" fillId="0" borderId="29" xfId="0" applyFont="1" applyBorder="1" applyAlignment="1">
      <alignment wrapText="1" readingOrder="1"/>
    </xf>
    <xf numFmtId="0" fontId="104" fillId="0" borderId="30" xfId="0" applyFont="1" applyBorder="1" applyAlignment="1">
      <alignment wrapText="1" readingOrder="1"/>
    </xf>
    <xf numFmtId="0" fontId="104" fillId="0" borderId="31" xfId="0" applyFont="1" applyBorder="1" applyAlignment="1">
      <alignment wrapText="1" readingOrder="1"/>
    </xf>
    <xf numFmtId="0" fontId="106" fillId="0" borderId="29" xfId="0" applyFont="1" applyBorder="1" applyAlignment="1">
      <alignment wrapText="1" readingOrder="1"/>
    </xf>
    <xf numFmtId="0" fontId="107" fillId="0" borderId="29" xfId="0" applyFont="1" applyBorder="1" applyAlignment="1">
      <alignment wrapText="1" readingOrder="1"/>
    </xf>
    <xf numFmtId="0" fontId="108" fillId="0" borderId="29" xfId="0" applyFont="1" applyBorder="1" applyAlignment="1">
      <alignment wrapText="1" readingOrder="1"/>
    </xf>
    <xf numFmtId="0" fontId="108" fillId="0" borderId="30" xfId="0" applyFont="1" applyBorder="1" applyAlignment="1">
      <alignment wrapText="1" readingOrder="1"/>
    </xf>
    <xf numFmtId="0" fontId="108" fillId="0" borderId="31" xfId="0" applyFont="1" applyBorder="1" applyAlignment="1">
      <alignment wrapText="1" readingOrder="1"/>
    </xf>
    <xf numFmtId="0" fontId="106" fillId="0" borderId="30" xfId="0" applyFont="1" applyBorder="1" applyAlignment="1">
      <alignment wrapText="1" readingOrder="1"/>
    </xf>
    <xf numFmtId="0" fontId="108" fillId="0" borderId="32" xfId="0" applyFont="1" applyBorder="1" applyAlignment="1">
      <alignment wrapText="1" readingOrder="1"/>
    </xf>
    <xf numFmtId="0" fontId="108" fillId="0" borderId="33" xfId="0" applyFont="1" applyBorder="1" applyAlignment="1">
      <alignment wrapText="1" readingOrder="1"/>
    </xf>
    <xf numFmtId="0" fontId="105" fillId="0" borderId="33" xfId="0" applyFont="1" applyBorder="1" applyAlignment="1">
      <alignment wrapText="1" readingOrder="1"/>
    </xf>
    <xf numFmtId="0" fontId="105" fillId="0" borderId="34" xfId="0" applyFont="1" applyBorder="1" applyAlignment="1">
      <alignment wrapText="1" readingOrder="1"/>
    </xf>
    <xf numFmtId="0" fontId="0" fillId="28" borderId="0" xfId="0" applyFill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9" fontId="0" fillId="28" borderId="0" xfId="0" applyNumberFormat="1" applyFill="1" applyAlignment="1">
      <alignment horizontal="center" vertical="center"/>
    </xf>
    <xf numFmtId="43" fontId="0" fillId="28" borderId="0" xfId="0" applyNumberFormat="1" applyFill="1" applyAlignment="1">
      <alignment horizontal="center" vertical="center"/>
    </xf>
    <xf numFmtId="43" fontId="8" fillId="28" borderId="11" xfId="0" applyNumberFormat="1" applyFont="1" applyFill="1" applyBorder="1" applyAlignment="1">
      <alignment horizontal="center" vertical="center"/>
    </xf>
    <xf numFmtId="3" fontId="63" fillId="28" borderId="0" xfId="0" applyNumberFormat="1" applyFont="1" applyFill="1" applyAlignment="1">
      <alignment horizontal="center" vertical="center"/>
    </xf>
    <xf numFmtId="3" fontId="64" fillId="28" borderId="0" xfId="0" applyNumberFormat="1" applyFont="1" applyFill="1" applyAlignment="1">
      <alignment horizontal="center" vertical="center"/>
    </xf>
    <xf numFmtId="172" fontId="49" fillId="0" borderId="0" xfId="0" applyNumberFormat="1" applyFont="1" applyAlignment="1" applyProtection="1">
      <alignment horizontal="right" vertical="center"/>
      <protection locked="0"/>
    </xf>
    <xf numFmtId="164" fontId="58" fillId="0" borderId="0" xfId="0" applyNumberFormat="1" applyFont="1" applyAlignment="1" applyProtection="1">
      <alignment horizontal="righ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41" fontId="57" fillId="0" borderId="0" xfId="0" applyNumberFormat="1" applyFont="1" applyAlignment="1" applyProtection="1">
      <alignment horizontal="right" vertical="center"/>
      <protection locked="0"/>
    </xf>
    <xf numFmtId="0" fontId="8" fillId="28" borderId="0" xfId="0" applyFont="1" applyFill="1" applyAlignment="1" applyProtection="1">
      <alignment horizontal="center" vertical="center" indent="1"/>
      <protection locked="0"/>
    </xf>
    <xf numFmtId="9" fontId="16" fillId="28" borderId="0" xfId="0" applyNumberFormat="1" applyFont="1" applyFill="1" applyAlignment="1" applyProtection="1">
      <alignment horizontal="center" vertical="center"/>
      <protection locked="0"/>
    </xf>
    <xf numFmtId="0" fontId="0" fillId="28" borderId="0" xfId="0" applyFill="1" applyAlignment="1">
      <alignment horizontal="right" vertical="center"/>
    </xf>
    <xf numFmtId="0" fontId="0" fillId="30" borderId="0" xfId="0" applyFill="1" applyAlignment="1">
      <alignment horizontal="center" vertical="center"/>
    </xf>
    <xf numFmtId="0" fontId="0" fillId="30" borderId="0" xfId="0" applyFill="1" applyAlignment="1" applyProtection="1">
      <alignment horizontal="center" vertical="center"/>
      <protection locked="0"/>
    </xf>
    <xf numFmtId="0" fontId="77" fillId="30" borderId="0" xfId="0" applyFont="1" applyFill="1" applyAlignment="1" applyProtection="1">
      <alignment horizontal="left" vertical="center"/>
      <protection locked="0"/>
    </xf>
    <xf numFmtId="172" fontId="0" fillId="30" borderId="0" xfId="0" applyNumberFormat="1" applyFill="1" applyAlignment="1" applyProtection="1">
      <alignment horizontal="center" vertical="center"/>
      <protection locked="0"/>
    </xf>
    <xf numFmtId="181" fontId="0" fillId="30" borderId="0" xfId="0" applyNumberFormat="1" applyFill="1" applyAlignment="1" applyProtection="1">
      <alignment horizontal="center" vertical="center"/>
      <protection locked="0"/>
    </xf>
    <xf numFmtId="43" fontId="8" fillId="30" borderId="1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86" fontId="10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41" fontId="109" fillId="19" borderId="9" xfId="0" applyNumberFormat="1" applyFont="1" applyFill="1" applyBorder="1" applyAlignment="1" applyProtection="1">
      <alignment horizontal="right" vertical="center"/>
      <protection locked="0"/>
    </xf>
    <xf numFmtId="173" fontId="0" fillId="27" borderId="0" xfId="0" applyNumberFormat="1" applyFill="1" applyAlignment="1" applyProtection="1">
      <alignment horizontal="left" vertical="center"/>
      <protection locked="0"/>
    </xf>
    <xf numFmtId="0" fontId="0" fillId="27" borderId="0" xfId="0" applyFill="1" applyAlignment="1">
      <alignment horizontal="center" vertical="center"/>
    </xf>
    <xf numFmtId="0" fontId="8" fillId="15" borderId="0" xfId="0" applyFont="1" applyFill="1" applyAlignment="1" applyProtection="1">
      <alignment horizontal="left" vertical="center"/>
      <protection locked="0"/>
    </xf>
    <xf numFmtId="41" fontId="1" fillId="15" borderId="1" xfId="0" applyNumberFormat="1" applyFont="1" applyFill="1" applyBorder="1" applyAlignment="1" applyProtection="1">
      <alignment horizontal="right" vertical="center"/>
      <protection locked="0"/>
    </xf>
    <xf numFmtId="43" fontId="58" fillId="15" borderId="0" xfId="0" applyNumberFormat="1" applyFont="1" applyFill="1" applyAlignment="1" applyProtection="1">
      <alignment horizontal="center" vertical="center"/>
      <protection locked="0"/>
    </xf>
    <xf numFmtId="43" fontId="0" fillId="15" borderId="0" xfId="0" applyNumberFormat="1" applyFill="1" applyAlignment="1" applyProtection="1">
      <alignment horizontal="center" vertical="center"/>
      <protection locked="0"/>
    </xf>
    <xf numFmtId="43" fontId="58" fillId="15" borderId="0" xfId="0" applyNumberFormat="1" applyFont="1" applyFill="1" applyAlignment="1">
      <alignment horizontal="center" vertical="center"/>
    </xf>
    <xf numFmtId="0" fontId="58" fillId="15" borderId="0" xfId="0" applyFont="1" applyFill="1" applyAlignment="1">
      <alignment horizontal="center" vertical="center"/>
    </xf>
    <xf numFmtId="190" fontId="58" fillId="15" borderId="0" xfId="0" applyNumberFormat="1" applyFont="1" applyFill="1" applyAlignment="1">
      <alignment horizontal="center" vertical="center"/>
    </xf>
    <xf numFmtId="2" fontId="86" fillId="15" borderId="0" xfId="0" applyNumberFormat="1" applyFont="1" applyFill="1" applyAlignment="1" applyProtection="1">
      <alignment horizontal="right" vertical="center"/>
      <protection locked="0"/>
    </xf>
    <xf numFmtId="0" fontId="0" fillId="31" borderId="0" xfId="0" applyFill="1" applyAlignment="1">
      <alignment horizontal="left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2" borderId="0" xfId="0" applyFill="1" applyAlignment="1">
      <alignment horizontal="left" vertical="center"/>
    </xf>
    <xf numFmtId="0" fontId="26" fillId="31" borderId="0" xfId="0" applyFont="1" applyFill="1" applyAlignment="1">
      <alignment horizontal="left" vertical="center"/>
    </xf>
    <xf numFmtId="43" fontId="27" fillId="31" borderId="0" xfId="0" applyNumberFormat="1" applyFont="1" applyFill="1" applyAlignment="1">
      <alignment horizontal="right" vertical="center"/>
    </xf>
    <xf numFmtId="8" fontId="0" fillId="31" borderId="0" xfId="0" applyNumberFormat="1" applyFill="1" applyAlignment="1">
      <alignment horizontal="right" vertical="center"/>
    </xf>
    <xf numFmtId="43" fontId="0" fillId="31" borderId="0" xfId="0" applyNumberFormat="1" applyFill="1" applyAlignment="1">
      <alignment horizontal="right" vertical="center"/>
    </xf>
    <xf numFmtId="0" fontId="25" fillId="31" borderId="0" xfId="0" applyFont="1" applyFill="1" applyAlignment="1">
      <alignment horizontal="left" vertical="center"/>
    </xf>
    <xf numFmtId="0" fontId="25" fillId="31" borderId="0" xfId="0" applyFont="1" applyFill="1" applyAlignment="1">
      <alignment horizontal="right" vertical="center"/>
    </xf>
    <xf numFmtId="10" fontId="0" fillId="31" borderId="0" xfId="0" applyNumberFormat="1" applyFill="1" applyAlignment="1">
      <alignment horizontal="right" vertical="center"/>
    </xf>
    <xf numFmtId="166" fontId="0" fillId="31" borderId="0" xfId="0" applyNumberFormat="1" applyFill="1" applyAlignment="1">
      <alignment horizontal="right" vertical="center"/>
    </xf>
    <xf numFmtId="0" fontId="0" fillId="31" borderId="0" xfId="0" applyFill="1" applyAlignment="1">
      <alignment horizontal="right" vertical="center"/>
    </xf>
    <xf numFmtId="0" fontId="25" fillId="31" borderId="2" xfId="0" applyFont="1" applyFill="1" applyBorder="1" applyAlignment="1">
      <alignment horizontal="left" vertical="center"/>
    </xf>
    <xf numFmtId="3" fontId="29" fillId="31" borderId="0" xfId="0" applyNumberFormat="1" applyFont="1" applyFill="1" applyAlignment="1">
      <alignment horizontal="right" vertical="center"/>
    </xf>
    <xf numFmtId="3" fontId="0" fillId="31" borderId="0" xfId="0" applyNumberFormat="1" applyFill="1" applyAlignment="1">
      <alignment horizontal="right" vertical="center"/>
    </xf>
    <xf numFmtId="0" fontId="46" fillId="31" borderId="0" xfId="0" applyFont="1" applyFill="1" applyAlignment="1" applyProtection="1">
      <alignment horizontal="center" vertical="center"/>
      <protection locked="0"/>
    </xf>
    <xf numFmtId="0" fontId="0" fillId="31" borderId="0" xfId="0" applyFill="1" applyAlignment="1" applyProtection="1">
      <alignment horizontal="left" vertical="center"/>
      <protection locked="0"/>
    </xf>
    <xf numFmtId="0" fontId="40" fillId="31" borderId="0" xfId="0" applyFont="1" applyFill="1" applyAlignment="1" applyProtection="1">
      <alignment horizontal="center" vertical="center"/>
      <protection locked="0"/>
    </xf>
    <xf numFmtId="0" fontId="48" fillId="31" borderId="0" xfId="0" applyFont="1" applyFill="1" applyAlignment="1" applyProtection="1">
      <alignment horizontal="left" vertical="center"/>
      <protection locked="0"/>
    </xf>
    <xf numFmtId="10" fontId="47" fillId="31" borderId="0" xfId="0" applyNumberFormat="1" applyFont="1" applyFill="1" applyAlignment="1" applyProtection="1">
      <alignment horizontal="center" vertical="center"/>
      <protection locked="0"/>
    </xf>
    <xf numFmtId="0" fontId="0" fillId="31" borderId="0" xfId="0" quotePrefix="1" applyFill="1" applyAlignment="1" applyProtection="1">
      <alignment horizontal="left" vertical="center" indent="1"/>
      <protection locked="0"/>
    </xf>
    <xf numFmtId="10" fontId="37" fillId="31" borderId="0" xfId="0" applyNumberFormat="1" applyFont="1" applyFill="1" applyAlignment="1" applyProtection="1">
      <alignment horizontal="center" vertical="center"/>
      <protection locked="0"/>
    </xf>
    <xf numFmtId="0" fontId="34" fillId="31" borderId="0" xfId="0" applyFont="1" applyFill="1" applyAlignment="1" applyProtection="1">
      <alignment horizontal="left" vertical="center"/>
      <protection locked="0"/>
    </xf>
    <xf numFmtId="0" fontId="0" fillId="31" borderId="0" xfId="0" applyFill="1" applyAlignment="1" applyProtection="1">
      <alignment horizontal="center" vertical="center"/>
      <protection locked="0"/>
    </xf>
    <xf numFmtId="10" fontId="39" fillId="31" borderId="0" xfId="0" applyNumberFormat="1" applyFont="1" applyFill="1" applyAlignment="1" applyProtection="1">
      <alignment horizontal="center" vertical="center"/>
      <protection locked="0"/>
    </xf>
    <xf numFmtId="167" fontId="39" fillId="31" borderId="0" xfId="0" applyNumberFormat="1" applyFont="1" applyFill="1" applyAlignment="1" applyProtection="1">
      <alignment horizontal="center" vertical="center"/>
      <protection locked="0"/>
    </xf>
    <xf numFmtId="0" fontId="34" fillId="31" borderId="0" xfId="0" applyFont="1" applyFill="1" applyAlignment="1" applyProtection="1">
      <alignment horizontal="left" vertical="center" indent="1"/>
      <protection locked="0"/>
    </xf>
    <xf numFmtId="10" fontId="40" fillId="31" borderId="0" xfId="0" applyNumberFormat="1" applyFont="1" applyFill="1" applyAlignment="1" applyProtection="1">
      <alignment horizontal="center" vertical="center"/>
      <protection locked="0"/>
    </xf>
    <xf numFmtId="10" fontId="0" fillId="31" borderId="0" xfId="0" applyNumberFormat="1" applyFill="1" applyAlignment="1" applyProtection="1">
      <alignment horizontal="center" vertical="center"/>
      <protection locked="0"/>
    </xf>
    <xf numFmtId="0" fontId="0" fillId="31" borderId="0" xfId="0" applyFill="1" applyAlignment="1" applyProtection="1">
      <alignment horizontal="left" vertical="center" indent="1"/>
      <protection locked="0"/>
    </xf>
    <xf numFmtId="0" fontId="51" fillId="31" borderId="0" xfId="0" applyFont="1" applyFill="1" applyAlignment="1" applyProtection="1">
      <alignment horizontal="left" vertical="center"/>
      <protection locked="0"/>
    </xf>
    <xf numFmtId="0" fontId="47" fillId="31" borderId="0" xfId="0" applyFont="1" applyFill="1" applyAlignment="1" applyProtection="1">
      <alignment horizontal="left" vertical="center"/>
      <protection locked="0"/>
    </xf>
    <xf numFmtId="0" fontId="47" fillId="31" borderId="0" xfId="0" quotePrefix="1" applyFont="1" applyFill="1" applyAlignment="1" applyProtection="1">
      <alignment horizontal="left" vertical="center" indent="1"/>
      <protection locked="0"/>
    </xf>
    <xf numFmtId="0" fontId="54" fillId="31" borderId="0" xfId="0" applyFont="1" applyFill="1" applyAlignment="1" applyProtection="1">
      <alignment horizontal="left" vertical="center"/>
      <protection locked="0"/>
    </xf>
    <xf numFmtId="0" fontId="55" fillId="31" borderId="0" xfId="0" applyFont="1" applyFill="1" applyAlignment="1" applyProtection="1">
      <alignment horizontal="left" vertical="center"/>
      <protection locked="0"/>
    </xf>
    <xf numFmtId="0" fontId="35" fillId="31" borderId="0" xfId="0" applyFont="1" applyFill="1" applyAlignment="1" applyProtection="1">
      <alignment horizontal="left" vertical="center"/>
      <protection locked="0"/>
    </xf>
    <xf numFmtId="181" fontId="0" fillId="31" borderId="0" xfId="0" applyNumberFormat="1" applyFill="1" applyAlignment="1" applyProtection="1">
      <alignment horizontal="left" vertical="center"/>
      <protection locked="0"/>
    </xf>
    <xf numFmtId="0" fontId="8" fillId="31" borderId="0" xfId="0" applyFont="1" applyFill="1" applyAlignment="1">
      <alignment horizontal="left" vertical="center"/>
    </xf>
    <xf numFmtId="0" fontId="51" fillId="32" borderId="0" xfId="0" applyFont="1" applyFill="1" applyAlignment="1" applyProtection="1">
      <alignment horizontal="left" vertical="center"/>
      <protection locked="0"/>
    </xf>
    <xf numFmtId="0" fontId="47" fillId="32" borderId="0" xfId="0" applyFont="1" applyFill="1" applyAlignment="1" applyProtection="1">
      <alignment horizontal="left" vertical="center" indent="1"/>
      <protection locked="0"/>
    </xf>
    <xf numFmtId="0" fontId="47" fillId="32" borderId="0" xfId="0" applyFont="1" applyFill="1" applyAlignment="1" applyProtection="1">
      <alignment horizontal="left" vertical="center"/>
      <protection locked="0"/>
    </xf>
    <xf numFmtId="3" fontId="29" fillId="32" borderId="0" xfId="0" applyNumberFormat="1" applyFont="1" applyFill="1" applyAlignment="1">
      <alignment horizontal="right" vertical="center"/>
    </xf>
    <xf numFmtId="4" fontId="110" fillId="15" borderId="0" xfId="0" applyNumberFormat="1" applyFont="1" applyFill="1" applyAlignment="1" applyProtection="1">
      <alignment horizontal="left" vertical="center"/>
      <protection locked="0"/>
    </xf>
    <xf numFmtId="0" fontId="8" fillId="11" borderId="0" xfId="0" applyFont="1" applyFill="1" applyAlignment="1">
      <alignment wrapText="1"/>
    </xf>
    <xf numFmtId="0" fontId="8" fillId="21" borderId="0" xfId="0" applyFont="1" applyFill="1" applyAlignment="1">
      <alignment horizontal="center" vertical="center" wrapText="1"/>
    </xf>
    <xf numFmtId="0" fontId="14" fillId="21" borderId="0" xfId="0" applyFont="1" applyFill="1" applyAlignment="1">
      <alignment horizontal="center" vertical="center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5" fillId="21" borderId="0" xfId="0" applyFont="1" applyFill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31" borderId="2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8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8" fillId="23" borderId="0" xfId="0" applyFont="1" applyFill="1" applyAlignment="1">
      <alignment horizontal="center" vertical="center" wrapText="1"/>
    </xf>
    <xf numFmtId="0" fontId="14" fillId="23" borderId="0" xfId="0" applyFont="1" applyFill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4" fillId="11" borderId="0" xfId="0" applyFont="1" applyFill="1" applyAlignment="1"/>
    <xf numFmtId="0" fontId="15" fillId="12" borderId="0" xfId="0" applyFont="1" applyFill="1" applyAlignment="1"/>
  </cellXfs>
  <cellStyles count="11">
    <cellStyle name="cf1" xfId="1" xr:uid="{06BAD4A9-A55A-4EFD-B56E-42CC2348A1E3}"/>
    <cellStyle name="cf2" xfId="2" xr:uid="{64481B40-F17F-47EA-AE82-A7A869B1CA64}"/>
    <cellStyle name="cf3" xfId="3" xr:uid="{A7ACDB76-271F-449B-8802-A4E6D9DAC53F}"/>
    <cellStyle name="cf4" xfId="4" xr:uid="{C601677A-EF9A-4B8A-812A-7DB643AEE8DF}"/>
    <cellStyle name="cf5" xfId="5" xr:uid="{3EAB3848-0BC8-49EE-8733-F44A97E72E8B}"/>
    <cellStyle name="cf6" xfId="6" xr:uid="{C6805E7F-87B4-4817-BA46-5EF2CE62DF5D}"/>
    <cellStyle name="cf7" xfId="7" xr:uid="{091A8025-1BE2-48C2-A54A-BE4610461450}"/>
    <cellStyle name="cf8" xfId="8" xr:uid="{CBD36D2F-FA75-43F6-B4AE-E14A48CE002F}"/>
    <cellStyle name="Hyperlink" xfId="9" xr:uid="{B44BA6B7-C804-42C1-B134-B0362640669F}"/>
    <cellStyle name="Normal" xfId="0" builtinId="0" customBuiltin="1"/>
    <cellStyle name="Normal 2" xfId="10" xr:uid="{F8A1CB4D-3C46-4285-9651-4E9AB5E27B0D}"/>
  </cellStyles>
  <dxfs count="41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{"Effective Gross Revenue"}</c:f>
              <c:strCache>
                <c:ptCount val="1"/>
                <c:pt idx="0">
                  <c:v>Effective Gross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'Base (NNN)- Organized_'!AO18:AY18</c:f>
              <c:numCache>
                <c:formatCode>_(* #,##0_);_(* \(#,##0\);_(* "-"_);_(@_)</c:formatCode>
                <c:ptCount val="11"/>
                <c:pt idx="0">
                  <c:v>2281500.36</c:v>
                </c:pt>
                <c:pt idx="1">
                  <c:v>2281500.36</c:v>
                </c:pt>
                <c:pt idx="2">
                  <c:v>2281500.36</c:v>
                </c:pt>
                <c:pt idx="3">
                  <c:v>2281500.36</c:v>
                </c:pt>
                <c:pt idx="4">
                  <c:v>2281500.36</c:v>
                </c:pt>
                <c:pt idx="5">
                  <c:v>2509650.3959999997</c:v>
                </c:pt>
                <c:pt idx="6">
                  <c:v>2509650.3959999997</c:v>
                </c:pt>
                <c:pt idx="7">
                  <c:v>2509650.3959999997</c:v>
                </c:pt>
                <c:pt idx="8">
                  <c:v>2509650.3959999997</c:v>
                </c:pt>
                <c:pt idx="9">
                  <c:v>2509650.3959999997</c:v>
                </c:pt>
                <c:pt idx="10">
                  <c:v>2760615.4356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4F-45F2-A7EE-9806B547460B}"/>
            </c:ext>
          </c:extLst>
        </c:ser>
        <c:ser>
          <c:idx val="0"/>
          <c:order val="1"/>
          <c:tx>
            <c:strRef>
              <c:f>{"Net Operating Income"}</c:f>
              <c:strCache>
                <c:ptCount val="1"/>
                <c:pt idx="0">
                  <c:v>Net Operating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'Base (NNN)- Organized_'!$AO$31:$AY$31</c:f>
              <c:numCache>
                <c:formatCode>_(* #,##0_);_(* \(#,##0\);_(* "-"_);_(@_)</c:formatCode>
                <c:ptCount val="11"/>
                <c:pt idx="0">
                  <c:v>1593050.3491999998</c:v>
                </c:pt>
                <c:pt idx="1">
                  <c:v>1580650.2492</c:v>
                </c:pt>
                <c:pt idx="2">
                  <c:v>1568002.1472</c:v>
                </c:pt>
                <c:pt idx="3">
                  <c:v>1555101.0831599999</c:v>
                </c:pt>
                <c:pt idx="4">
                  <c:v>1541941.9978391998</c:v>
                </c:pt>
                <c:pt idx="5">
                  <c:v>1749825.2657319836</c:v>
                </c:pt>
                <c:pt idx="6">
                  <c:v>1736134.5533642233</c:v>
                </c:pt>
                <c:pt idx="7">
                  <c:v>1722170.0267491078</c:v>
                </c:pt>
                <c:pt idx="8">
                  <c:v>1707926.2096016898</c:v>
                </c:pt>
                <c:pt idx="9">
                  <c:v>1693397.5161113236</c:v>
                </c:pt>
                <c:pt idx="10">
                  <c:v>1922014.3371631505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4F-45F2-A7EE-9806B547460B}"/>
            </c:ext>
          </c:extLst>
        </c:ser>
        <c:ser>
          <c:idx val="2"/>
          <c:order val="2"/>
          <c:tx>
            <c:strRef>
              <c:f>{"Cash Flow from Operations"}</c:f>
              <c:strCache>
                <c:ptCount val="1"/>
                <c:pt idx="0">
                  <c:v>Cash Flow from Operations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'Base (NNN)- Organized_'!AO39:AY39</c:f>
              <c:numCache>
                <c:formatCode>_(* #,##0_);_(* \(#,##0\);_(* "-"_);_(@_)</c:formatCode>
                <c:ptCount val="11"/>
                <c:pt idx="0">
                  <c:v>1568050.3491999998</c:v>
                </c:pt>
                <c:pt idx="1">
                  <c:v>1555150.2492</c:v>
                </c:pt>
                <c:pt idx="2">
                  <c:v>1291992.1472</c:v>
                </c:pt>
                <c:pt idx="3">
                  <c:v>28570.883159999968</c:v>
                </c:pt>
                <c:pt idx="4">
                  <c:v>1514881.1938391998</c:v>
                </c:pt>
                <c:pt idx="5">
                  <c:v>1722223.2456519837</c:v>
                </c:pt>
                <c:pt idx="6">
                  <c:v>1707980.4928826233</c:v>
                </c:pt>
                <c:pt idx="7">
                  <c:v>1693452.8850578757</c:v>
                </c:pt>
                <c:pt idx="8">
                  <c:v>1678634.7250766333</c:v>
                </c:pt>
                <c:pt idx="9">
                  <c:v>1663520.2018957657</c:v>
                </c:pt>
                <c:pt idx="10">
                  <c:v>1891539.4766632817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4F-45F2-A7EE-9806B547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035080"/>
        <c:axId val="1196041224"/>
      </c:lineChart>
      <c:catAx>
        <c:axId val="1196035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41224"/>
        <c:crosses val="autoZero"/>
        <c:auto val="1"/>
        <c:lblAlgn val="ctr"/>
        <c:lblOffset val="100"/>
        <c:noMultiLvlLbl val="0"/>
      </c:catAx>
      <c:valAx>
        <c:axId val="1196041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3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Type of Expense</c:v>
          </c:tx>
          <c:spPr>
            <a:solidFill>
              <a:srgbClr val="215C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(NNN)- Organized_'!$Y$65:$Y$72</c:f>
              <c:strCache>
                <c:ptCount val="8"/>
                <c:pt idx="0">
                  <c:v>- Marketing</c:v>
                </c:pt>
                <c:pt idx="1">
                  <c:v>- Administrative</c:v>
                </c:pt>
                <c:pt idx="2">
                  <c:v>- Utilities</c:v>
                </c:pt>
                <c:pt idx="3">
                  <c:v>- Payroll</c:v>
                </c:pt>
                <c:pt idx="4">
                  <c:v> -Repair and maintenance</c:v>
                </c:pt>
                <c:pt idx="5">
                  <c:v>- Mgmt (% of EGR)</c:v>
                </c:pt>
                <c:pt idx="6">
                  <c:v> -Insurance</c:v>
                </c:pt>
                <c:pt idx="7">
                  <c:v> -Taxes</c:v>
                </c:pt>
              </c:strCache>
            </c:strRef>
          </c:cat>
          <c:val>
            <c:numRef>
              <c:f>'Base (NNN)- Organized_'!$AA$65:$AA$72</c:f>
              <c:numCache>
                <c:formatCode>_(* #,##0.00_);_(* \(#,##0.00\);_(* "-"??_);_(@_)</c:formatCode>
                <c:ptCount val="8"/>
                <c:pt idx="0">
                  <c:v>0.3</c:v>
                </c:pt>
                <c:pt idx="1">
                  <c:v>1.3</c:v>
                </c:pt>
                <c:pt idx="2">
                  <c:v>1.5</c:v>
                </c:pt>
                <c:pt idx="3">
                  <c:v>1.9</c:v>
                </c:pt>
                <c:pt idx="4">
                  <c:v>1.7</c:v>
                </c:pt>
                <c:pt idx="5">
                  <c:v>1.3689</c:v>
                </c:pt>
                <c:pt idx="6">
                  <c:v>0.7</c:v>
                </c:pt>
                <c:pt idx="7">
                  <c:v>5.0000999999999998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6-430E-87D6-EF2AECCC2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332936"/>
        <c:axId val="1679038472"/>
      </c:barChart>
      <c:catAx>
        <c:axId val="1310332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8472"/>
        <c:crosses val="autoZero"/>
        <c:auto val="1"/>
        <c:lblAlgn val="ctr"/>
        <c:lblOffset val="100"/>
        <c:noMultiLvlLbl val="0"/>
      </c:catAx>
      <c:valAx>
        <c:axId val="16790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 per SqF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32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Unlevered vs. Levered 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(NNN)- Organized_'!T16</c:f>
              <c:strCache>
                <c:ptCount val="1"/>
                <c:pt idx="0">
                  <c:v>IRR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(NNN)- Organized_'!$S$17:$S$18</c:f>
              <c:strCache>
                <c:ptCount val="2"/>
                <c:pt idx="0">
                  <c:v>Unlevered Deal</c:v>
                </c:pt>
                <c:pt idx="1">
                  <c:v>Levered Deal</c:v>
                </c:pt>
              </c:strCache>
            </c:strRef>
          </c:cat>
          <c:val>
            <c:numRef>
              <c:f>'Base (NNN)- Organized_'!$T$17:$T$18</c:f>
              <c:numCache>
                <c:formatCode>0.00%</c:formatCode>
                <c:ptCount val="2"/>
                <c:pt idx="0">
                  <c:v>5.2008091258499478E-2</c:v>
                </c:pt>
                <c:pt idx="1">
                  <c:v>7.4026594176218374E-2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C1D6038-D7D4-424E-A8FC-C8176D3C8773}"/>
            </c:ext>
          </c:extLst>
        </c:ser>
        <c:ser>
          <c:idx val="1"/>
          <c:order val="1"/>
          <c:tx>
            <c:strRef>
              <c:f>'Base (NNN)- Organized_'!U16</c:f>
              <c:strCache>
                <c:ptCount val="1"/>
                <c:pt idx="0">
                  <c:v>Equity Multiple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(NNN)- Organized_'!$S$17:$S$18</c:f>
              <c:strCache>
                <c:ptCount val="2"/>
                <c:pt idx="0">
                  <c:v>Unlevered Deal</c:v>
                </c:pt>
                <c:pt idx="1">
                  <c:v>Levered Deal</c:v>
                </c:pt>
              </c:strCache>
            </c:strRef>
          </c:cat>
          <c:val>
            <c:numRef>
              <c:f>'Base (NNN)- Organized_'!$U$17:$U$18</c:f>
              <c:numCache>
                <c:formatCode>0.00"x"</c:formatCode>
                <c:ptCount val="2"/>
                <c:pt idx="0">
                  <c:v>1.5170160813013667</c:v>
                </c:pt>
                <c:pt idx="1">
                  <c:v>1.7670736361897403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557DCF9-1004-44F8-B52A-B0C4D479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74304519"/>
        <c:axId val="2074307079"/>
      </c:barChart>
      <c:catAx>
        <c:axId val="207430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07079"/>
        <c:crosses val="autoZero"/>
        <c:auto val="1"/>
        <c:lblAlgn val="ctr"/>
        <c:lblOffset val="100"/>
        <c:noMultiLvlLbl val="0"/>
      </c:catAx>
      <c:valAx>
        <c:axId val="2074307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7430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790575</xdr:colOff>
      <xdr:row>64</xdr:row>
      <xdr:rowOff>19050</xdr:rowOff>
    </xdr:from>
    <xdr:to>
      <xdr:col>51</xdr:col>
      <xdr:colOff>2333625</xdr:colOff>
      <xdr:row>86</xdr:row>
      <xdr:rowOff>190500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8E8A205-9DFE-CD57-0732-C0283FDC5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838200</xdr:colOff>
      <xdr:row>59</xdr:row>
      <xdr:rowOff>95250</xdr:rowOff>
    </xdr:from>
    <xdr:to>
      <xdr:col>51</xdr:col>
      <xdr:colOff>2266950</xdr:colOff>
      <xdr:row>76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458C1B-21F4-62C4-256F-FA863BF18933}"/>
            </a:ext>
            <a:ext uri="{147F2762-F138-4A5C-976F-8EAC2B608ADB}">
              <a16:predDERef xmlns:a16="http://schemas.microsoft.com/office/drawing/2014/main" pred="{A8E8A205-9DFE-CD57-0732-C0283FDC5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6</xdr:row>
      <xdr:rowOff>200025</xdr:rowOff>
    </xdr:from>
    <xdr:to>
      <xdr:col>21</xdr:col>
      <xdr:colOff>514350</xdr:colOff>
      <xdr:row>19</xdr:row>
      <xdr:rowOff>95250</xdr:rowOff>
    </xdr:to>
    <xdr:graphicFrame macro="">
      <xdr:nvGraphicFramePr>
        <xdr:cNvPr id="8" name="Chart 8" descr="Chart type: Clustered Column. 'IRR', 'Equity Multiple' by 'Field1'&#10;&#10;Description automatically generated">
          <a:extLst>
            <a:ext uri="{FF2B5EF4-FFF2-40B4-BE49-F238E27FC236}">
              <a16:creationId xmlns:a16="http://schemas.microsoft.com/office/drawing/2014/main" id="{84CC8A4D-E784-AD49-28D5-6D9E7F6A6D22}"/>
            </a:ext>
            <a:ext uri="{147F2762-F138-4A5C-976F-8EAC2B608ADB}">
              <a16:predDERef xmlns:a16="http://schemas.microsoft.com/office/drawing/2014/main" pred="{4E458C1B-21F4-62C4-256F-FA863BF18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\Downloads\Simple-Acquisition-Model-for-Office-Retail-Industrial-v5.0%20(5).xlsx" TargetMode="External"/><Relationship Id="rId1" Type="http://schemas.openxmlformats.org/officeDocument/2006/relationships/externalLinkPath" Target="file:///C:\Users\miche\Downloads\Simple-Acquisition-Model-for-Office-Retail-Industrial-v5.0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Property Cash Flow"/>
      <sheetName val="Partnership Cash Flow"/>
    </sheetNames>
    <sheetDataSet>
      <sheetData sheetId="0"/>
      <sheetData sheetId="1">
        <row r="10">
          <cell r="AC10">
            <v>685000</v>
          </cell>
          <cell r="AD10">
            <v>685000</v>
          </cell>
          <cell r="AE10">
            <v>753500.00000000012</v>
          </cell>
          <cell r="AF10">
            <v>753500.00000000012</v>
          </cell>
          <cell r="AG10">
            <v>753500.00000000012</v>
          </cell>
        </row>
        <row r="11">
          <cell r="AD11">
            <v>100000</v>
          </cell>
          <cell r="AE11">
            <v>110000.00000000001</v>
          </cell>
          <cell r="AF11">
            <v>110000.00000000001</v>
          </cell>
          <cell r="AG11">
            <v>110000.00000000001</v>
          </cell>
        </row>
        <row r="15">
          <cell r="D15">
            <v>5</v>
          </cell>
        </row>
        <row r="18">
          <cell r="H18">
            <v>0.02</v>
          </cell>
          <cell r="AU18"/>
          <cell r="AV18"/>
          <cell r="AW18"/>
          <cell r="AX18"/>
        </row>
        <row r="22">
          <cell r="D22">
            <v>24508461.538461536</v>
          </cell>
        </row>
        <row r="26">
          <cell r="H26">
            <v>3.5000000000000003E-2</v>
          </cell>
        </row>
        <row r="27">
          <cell r="H27">
            <v>3</v>
          </cell>
        </row>
        <row r="28">
          <cell r="H28">
            <v>30</v>
          </cell>
          <cell r="AU28"/>
          <cell r="AV28"/>
          <cell r="AW28"/>
          <cell r="AX28"/>
        </row>
        <row r="32">
          <cell r="T32"/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/>
          <cell r="Z32">
            <v>0</v>
          </cell>
          <cell r="AA32">
            <v>0</v>
          </cell>
          <cell r="AB32">
            <v>0</v>
          </cell>
          <cell r="AC32">
            <v>250000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H33">
            <v>858420.7678966173</v>
          </cell>
        </row>
        <row r="34">
          <cell r="H34">
            <v>557567.5</v>
          </cell>
        </row>
        <row r="36">
          <cell r="AU36"/>
          <cell r="AV36"/>
          <cell r="AW36"/>
          <cell r="AX36"/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98D90672-3CB3-4EDC-B3B6-F6CDC1B06095}" userId="S::urn:spo:tenantanon#dc0274f2-1eaa-4486-a63a-00181947f924::" providerId="AD"/>
  <person displayName="An An Chiang" id="{DE747BE7-B395-4FD8-9AB7-4AD76097ACBE}" userId="S::ananchiang@ariesview.onmicrosoft.com::d7a0ff01-9719-4d8e-a53b-4da0f64600bb" providerId="AD"/>
  <person displayName="Ericariesview" id="{38275087-91C6-4653-98DA-5097D619ED6E}" userId="S::ericariesview@ariesview.onmicrosoft.com::b63f067a-3373-483b-8fd2-f043fbfd45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8" dT="2025-07-10T15:38:31.32" personId="{DE747BE7-B395-4FD8-9AB7-4AD76097ACBE}" id="{6121EFF8-0DBD-4C10-8435-BD246334E35F}">
    <text>Year extends till analysis period ends with extra yr for terminal value</text>
  </threadedComment>
  <threadedComment ref="A33" dT="2025-07-19T16:34:26.02" personId="{98D90672-3CB3-4EDC-B3B6-F6CDC1B06095}" id="{5B6D5CA2-0F17-4426-9F89-496546944088}">
    <text xml:space="preserve">what is the name of this field
</text>
  </threadedComment>
  <threadedComment ref="BP100" dT="2025-07-10T20:39:09.90" personId="{38275087-91C6-4653-98DA-5097D619ED6E}" id="{7ACF765C-7450-42E6-81CE-241A5785FAFA}">
    <text xml:space="preserve">Reconciles with levered CF in the base model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H8" dT="2025-07-10T15:38:31.32" personId="{DE747BE7-B395-4FD8-9AB7-4AD76097ACBE}" id="{7B6435A4-0557-43B5-9AD2-3B23D7128882}">
    <text>Year extends till analysis period ends with extra yr for terminal value</text>
  </threadedComment>
  <threadedComment ref="BQ98" dT="2025-07-10T20:39:09.90" personId="{38275087-91C6-4653-98DA-5097D619ED6E}" id="{29F2CD88-5D66-428C-9B97-CE9CABD94509}">
    <text xml:space="preserve">Reconciles with levered CF in the base model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H8" dT="2025-07-10T15:38:31.32" personId="{DE747BE7-B395-4FD8-9AB7-4AD76097ACBE}" id="{48AB8BC3-B1D9-4D49-8436-A040C7BEF3F3}">
    <text>Year extends till analysis period ends with extra yr for terminal value</text>
  </threadedComment>
  <threadedComment ref="BQ98" dT="2025-07-10T20:39:09.90" personId="{38275087-91C6-4653-98DA-5097D619ED6E}" id="{9E2C4319-BABE-4262-B207-127F5ED63622}">
    <text xml:space="preserve">Reconciles with levered CF in the base model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H8" dT="2025-07-10T15:38:31.32" personId="{DE747BE7-B395-4FD8-9AB7-4AD76097ACBE}" id="{DB728C8C-6B7C-4F1D-B980-2D629B03CB97}">
    <text>Year extends till analysis period ends with extra yr for terminal value</text>
  </threadedComment>
  <threadedComment ref="BQ98" dT="2025-07-10T20:39:09.90" personId="{38275087-91C6-4653-98DA-5097D619ED6E}" id="{4B860957-E4FD-4EF4-97B7-AD02E2A6E276}">
    <text xml:space="preserve">Reconciles with levered CF in the base model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I8" dT="2025-07-10T15:38:31.32" personId="{DE747BE7-B395-4FD8-9AB7-4AD76097ACBE}" id="{623BEB51-E4BE-48C0-AAD7-121D7E87BA73}">
    <text>Year extends till analysis period ends with extra yr for terminal value</text>
  </threadedComment>
  <threadedComment ref="BR108" dT="2025-07-10T20:39:09.90" personId="{38275087-91C6-4653-98DA-5097D619ED6E}" id="{F7ABD9AB-9295-47C3-8733-28CE9791CF25}">
    <text xml:space="preserve">Reconciles with levered CF in the base model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H8" dT="2025-07-10T15:38:31.32" personId="{DE747BE7-B395-4FD8-9AB7-4AD76097ACBE}" id="{493BCCC0-0894-4CA4-B8EF-70243A784CFD}">
    <text>Year extends till analysis period ends with extra yr for terminal value</text>
  </threadedComment>
  <threadedComment ref="BQ99" dT="2025-07-10T20:39:09.90" personId="{38275087-91C6-4653-98DA-5097D619ED6E}" id="{900B7591-8F1E-4479-A102-960572E9DF6A}">
    <text xml:space="preserve">Reconciles with levered CF in the base model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EF6D-D273-4640-AA70-C08FDBAFC279}">
  <dimension ref="B2:Y45"/>
  <sheetViews>
    <sheetView topLeftCell="B1" workbookViewId="0">
      <selection activeCell="B60" sqref="B60"/>
    </sheetView>
  </sheetViews>
  <sheetFormatPr defaultRowHeight="14.25"/>
  <cols>
    <col min="2" max="2" width="101" bestFit="1" customWidth="1"/>
    <col min="4" max="4" width="13.7109375" bestFit="1" customWidth="1"/>
    <col min="6" max="6" width="10.42578125" bestFit="1" customWidth="1"/>
    <col min="7" max="15" width="9.7109375" bestFit="1" customWidth="1"/>
    <col min="16" max="16" width="10.85546875" bestFit="1" customWidth="1"/>
  </cols>
  <sheetData>
    <row r="2" spans="2:21" ht="18">
      <c r="B2" s="47" t="s">
        <v>0</v>
      </c>
      <c r="C2" s="47"/>
      <c r="D2" s="47"/>
      <c r="E2" s="47"/>
      <c r="F2" s="47"/>
      <c r="G2" s="48" t="s">
        <v>1</v>
      </c>
      <c r="H2" s="48" t="s">
        <v>1</v>
      </c>
      <c r="I2" s="48" t="s">
        <v>1</v>
      </c>
      <c r="J2" s="48" t="s">
        <v>1</v>
      </c>
      <c r="K2" s="48" t="s">
        <v>1</v>
      </c>
      <c r="L2" s="48" t="s">
        <v>1</v>
      </c>
      <c r="M2" s="48" t="s">
        <v>1</v>
      </c>
      <c r="N2" s="48" t="s">
        <v>1</v>
      </c>
      <c r="O2" s="48" t="s">
        <v>1</v>
      </c>
      <c r="P2" s="48" t="s">
        <v>1</v>
      </c>
      <c r="Q2" s="48" t="s">
        <v>1</v>
      </c>
      <c r="R2" s="48" t="s">
        <v>1</v>
      </c>
      <c r="S2" s="48" t="s">
        <v>1</v>
      </c>
      <c r="T2" s="48" t="s">
        <v>1</v>
      </c>
      <c r="U2" s="48" t="s">
        <v>1</v>
      </c>
    </row>
    <row r="3" spans="2:21" ht="16.899999999999999">
      <c r="B3" s="3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</row>
    <row r="4" spans="2:21" ht="15.75">
      <c r="B4" s="5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</row>
    <row r="5" spans="2:21" ht="15.75">
      <c r="B5" s="5" t="s">
        <v>3</v>
      </c>
      <c r="C5" s="6" t="s">
        <v>1</v>
      </c>
      <c r="D5" s="1" t="s">
        <v>4</v>
      </c>
      <c r="E5" s="6" t="s">
        <v>1</v>
      </c>
      <c r="F5" s="7"/>
      <c r="G5" s="7"/>
      <c r="H5" s="7"/>
      <c r="I5" s="7"/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6" t="s">
        <v>1</v>
      </c>
      <c r="R5" s="6" t="s">
        <v>1</v>
      </c>
      <c r="S5" s="6" t="s">
        <v>1</v>
      </c>
      <c r="T5" s="6" t="s">
        <v>1</v>
      </c>
      <c r="U5" s="6" t="s">
        <v>1</v>
      </c>
    </row>
    <row r="6" spans="2:21" ht="15.75">
      <c r="B6" s="5" t="s">
        <v>5</v>
      </c>
      <c r="C6" s="6" t="s">
        <v>1</v>
      </c>
      <c r="D6" s="8" t="s">
        <v>6</v>
      </c>
      <c r="E6" s="7" t="s">
        <v>7</v>
      </c>
      <c r="F6" s="7"/>
      <c r="G6" s="7"/>
      <c r="H6" s="7"/>
      <c r="I6" s="7"/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6" t="s">
        <v>1</v>
      </c>
      <c r="P6" s="6" t="s">
        <v>1</v>
      </c>
      <c r="Q6" s="6" t="s">
        <v>1</v>
      </c>
      <c r="R6" s="6" t="s">
        <v>1</v>
      </c>
      <c r="S6" s="6" t="s">
        <v>1</v>
      </c>
      <c r="T6" s="6" t="s">
        <v>1</v>
      </c>
      <c r="U6" s="6" t="s">
        <v>1</v>
      </c>
    </row>
    <row r="7" spans="2:21">
      <c r="B7" s="9" t="s">
        <v>1</v>
      </c>
      <c r="C7" s="9" t="s">
        <v>1</v>
      </c>
      <c r="J7" s="9" t="s">
        <v>1</v>
      </c>
      <c r="K7" s="9" t="s">
        <v>1</v>
      </c>
      <c r="L7" s="9" t="s">
        <v>1</v>
      </c>
      <c r="M7" s="6" t="s">
        <v>1</v>
      </c>
      <c r="N7" s="9" t="s">
        <v>1</v>
      </c>
      <c r="O7" s="9" t="s">
        <v>1</v>
      </c>
      <c r="P7" s="9" t="s">
        <v>1</v>
      </c>
      <c r="Q7" s="9" t="s">
        <v>1</v>
      </c>
      <c r="R7" s="9" t="s">
        <v>1</v>
      </c>
      <c r="S7" s="9" t="s">
        <v>1</v>
      </c>
      <c r="T7" s="9" t="s">
        <v>1</v>
      </c>
      <c r="U7" s="9" t="s">
        <v>1</v>
      </c>
    </row>
    <row r="8" spans="2:21" ht="15.75">
      <c r="B8" s="10" t="s">
        <v>8</v>
      </c>
      <c r="C8" s="11" t="s">
        <v>9</v>
      </c>
      <c r="D8" s="11" t="s">
        <v>10</v>
      </c>
      <c r="F8" s="12"/>
      <c r="J8" s="9" t="s">
        <v>1</v>
      </c>
      <c r="K8" s="9" t="s">
        <v>1</v>
      </c>
      <c r="L8" s="9" t="s">
        <v>1</v>
      </c>
      <c r="M8" s="6" t="s">
        <v>1</v>
      </c>
      <c r="N8" s="9" t="s">
        <v>1</v>
      </c>
      <c r="O8" s="9" t="s">
        <v>1</v>
      </c>
      <c r="P8" s="9" t="s">
        <v>1</v>
      </c>
      <c r="Q8" s="9" t="s">
        <v>1</v>
      </c>
      <c r="R8" s="9" t="s">
        <v>1</v>
      </c>
      <c r="S8" s="9" t="s">
        <v>1</v>
      </c>
      <c r="T8" s="9" t="s">
        <v>1</v>
      </c>
      <c r="U8" s="9" t="s">
        <v>1</v>
      </c>
    </row>
    <row r="9" spans="2:21">
      <c r="B9" s="9" t="s">
        <v>11</v>
      </c>
      <c r="C9" s="14">
        <v>0.05</v>
      </c>
      <c r="D9" s="16">
        <v>539446</v>
      </c>
      <c r="E9" s="9" t="s">
        <v>1</v>
      </c>
      <c r="F9" s="9" t="s">
        <v>1</v>
      </c>
      <c r="G9" s="13" t="s">
        <v>1</v>
      </c>
      <c r="H9" s="9" t="s">
        <v>1</v>
      </c>
      <c r="I9" s="9" t="s">
        <v>1</v>
      </c>
      <c r="J9" s="9" t="s">
        <v>1</v>
      </c>
      <c r="K9" s="17" t="s">
        <v>12</v>
      </c>
      <c r="L9" s="18" t="s">
        <v>13</v>
      </c>
      <c r="M9" s="9" t="s">
        <v>1</v>
      </c>
      <c r="N9" s="9" t="s">
        <v>1</v>
      </c>
      <c r="O9" s="9" t="s">
        <v>1</v>
      </c>
      <c r="P9" s="9" t="s">
        <v>1</v>
      </c>
      <c r="Q9" s="9" t="s">
        <v>1</v>
      </c>
      <c r="R9" s="9" t="s">
        <v>1</v>
      </c>
      <c r="S9" s="9" t="s">
        <v>1</v>
      </c>
      <c r="T9" s="9" t="s">
        <v>1</v>
      </c>
      <c r="U9" s="9" t="s">
        <v>1</v>
      </c>
    </row>
    <row r="10" spans="2:21">
      <c r="B10" s="9" t="s">
        <v>14</v>
      </c>
      <c r="C10" s="19">
        <v>0.95</v>
      </c>
      <c r="D10" s="20">
        <v>10249467</v>
      </c>
      <c r="E10" s="9" t="s">
        <v>1</v>
      </c>
      <c r="F10" s="9" t="s">
        <v>1</v>
      </c>
      <c r="G10" s="13" t="s">
        <v>1</v>
      </c>
      <c r="H10" s="9" t="s">
        <v>1</v>
      </c>
      <c r="I10" s="9" t="s">
        <v>1</v>
      </c>
      <c r="J10" s="9" t="s">
        <v>1</v>
      </c>
      <c r="K10" s="21" t="s">
        <v>15</v>
      </c>
      <c r="L10" s="49" t="s">
        <v>16</v>
      </c>
      <c r="M10" s="9" t="s">
        <v>1</v>
      </c>
      <c r="N10" s="9" t="s">
        <v>1</v>
      </c>
      <c r="O10" s="9" t="s">
        <v>1</v>
      </c>
      <c r="P10" s="9" t="s">
        <v>1</v>
      </c>
      <c r="Q10" s="9" t="s">
        <v>1</v>
      </c>
      <c r="R10" s="9"/>
      <c r="S10" s="9" t="s">
        <v>1</v>
      </c>
      <c r="T10" s="9" t="s">
        <v>1</v>
      </c>
      <c r="U10" s="9" t="s">
        <v>1</v>
      </c>
    </row>
    <row r="11" spans="2:21">
      <c r="B11" s="9" t="s">
        <v>17</v>
      </c>
      <c r="C11" s="9" t="s">
        <v>1</v>
      </c>
      <c r="D11" s="16">
        <v>10788913</v>
      </c>
      <c r="E11" s="9" t="s">
        <v>1</v>
      </c>
      <c r="F11" s="9" t="s">
        <v>1</v>
      </c>
      <c r="G11" s="13" t="s">
        <v>1</v>
      </c>
      <c r="H11" s="9" t="s">
        <v>1</v>
      </c>
      <c r="I11" s="9" t="s">
        <v>1</v>
      </c>
      <c r="J11" s="9" t="s">
        <v>1</v>
      </c>
      <c r="K11" s="22" t="s">
        <v>18</v>
      </c>
      <c r="L11" s="50" t="s">
        <v>16</v>
      </c>
      <c r="M11" s="9" t="s">
        <v>1</v>
      </c>
      <c r="N11" s="9" t="s">
        <v>1</v>
      </c>
      <c r="O11" s="9" t="s">
        <v>1</v>
      </c>
      <c r="P11" s="9" t="s">
        <v>1</v>
      </c>
      <c r="Q11" s="9" t="s">
        <v>1</v>
      </c>
      <c r="R11" s="9" t="s">
        <v>1</v>
      </c>
      <c r="S11" s="9" t="s">
        <v>1</v>
      </c>
      <c r="T11" s="9" t="s">
        <v>1</v>
      </c>
      <c r="U11" s="9" t="s">
        <v>1</v>
      </c>
    </row>
    <row r="12" spans="2:21">
      <c r="B12" s="9" t="s">
        <v>1</v>
      </c>
      <c r="C12" s="9" t="s">
        <v>1</v>
      </c>
      <c r="D12" s="15" t="s">
        <v>1</v>
      </c>
      <c r="E12" s="9" t="s">
        <v>1</v>
      </c>
      <c r="F12" s="9" t="s">
        <v>1</v>
      </c>
      <c r="G12" s="13" t="s">
        <v>1</v>
      </c>
      <c r="H12" s="9" t="s">
        <v>1</v>
      </c>
      <c r="I12" s="9" t="s">
        <v>1</v>
      </c>
      <c r="J12" s="9" t="s">
        <v>1</v>
      </c>
      <c r="K12" s="9" t="s">
        <v>1</v>
      </c>
      <c r="L12" s="9" t="s">
        <v>1</v>
      </c>
      <c r="M12" s="9" t="s">
        <v>1</v>
      </c>
      <c r="N12" s="9" t="s">
        <v>1</v>
      </c>
      <c r="O12" s="9" t="s">
        <v>1</v>
      </c>
      <c r="P12" s="9" t="s">
        <v>1</v>
      </c>
      <c r="Q12" s="9" t="s">
        <v>1</v>
      </c>
      <c r="R12" s="9" t="s">
        <v>1</v>
      </c>
      <c r="S12" s="9" t="s">
        <v>1</v>
      </c>
      <c r="T12" s="9" t="s">
        <v>1</v>
      </c>
      <c r="U12" s="9" t="s">
        <v>1</v>
      </c>
    </row>
    <row r="13" spans="2:21">
      <c r="B13" s="23" t="s">
        <v>19</v>
      </c>
      <c r="C13" s="23" t="s">
        <v>4</v>
      </c>
      <c r="D13" s="4" t="s">
        <v>1</v>
      </c>
      <c r="E13" s="4" t="s">
        <v>1</v>
      </c>
      <c r="F13" s="834" t="s">
        <v>20</v>
      </c>
      <c r="G13" s="834"/>
      <c r="H13" s="851" t="s">
        <v>21</v>
      </c>
      <c r="I13" s="851"/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9" t="s">
        <v>1</v>
      </c>
      <c r="P13" s="9" t="s">
        <v>1</v>
      </c>
      <c r="Q13" s="9" t="s">
        <v>1</v>
      </c>
      <c r="R13" s="9" t="s">
        <v>1</v>
      </c>
      <c r="S13" s="9" t="s">
        <v>1</v>
      </c>
      <c r="T13" s="9" t="s">
        <v>1</v>
      </c>
      <c r="U13" s="9" t="s">
        <v>1</v>
      </c>
    </row>
    <row r="14" spans="2:21" ht="15.75">
      <c r="B14" s="10" t="s">
        <v>22</v>
      </c>
      <c r="C14" s="10"/>
      <c r="D14" s="4" t="s">
        <v>1</v>
      </c>
      <c r="E14" s="4" t="s">
        <v>1</v>
      </c>
      <c r="F14" s="834"/>
      <c r="G14" s="834"/>
      <c r="H14" s="11" t="s">
        <v>23</v>
      </c>
      <c r="I14" s="11" t="s">
        <v>24</v>
      </c>
      <c r="J14" s="11" t="s">
        <v>25</v>
      </c>
      <c r="K14" s="4" t="s">
        <v>1</v>
      </c>
      <c r="L14" s="4" t="s">
        <v>1</v>
      </c>
      <c r="M14" s="4" t="s">
        <v>1</v>
      </c>
      <c r="N14" s="4" t="s">
        <v>1</v>
      </c>
      <c r="O14" s="9" t="s">
        <v>1</v>
      </c>
      <c r="P14" s="9" t="s">
        <v>1</v>
      </c>
      <c r="Q14" s="9" t="s">
        <v>1</v>
      </c>
      <c r="R14" s="9" t="s">
        <v>1</v>
      </c>
      <c r="S14" s="9" t="s">
        <v>1</v>
      </c>
      <c r="T14" s="9" t="s">
        <v>1</v>
      </c>
      <c r="U14" s="9" t="s">
        <v>1</v>
      </c>
    </row>
    <row r="15" spans="2:21">
      <c r="B15" s="9" t="s">
        <v>26</v>
      </c>
      <c r="C15" s="24" t="s">
        <v>27</v>
      </c>
      <c r="D15" s="25" t="s">
        <v>4</v>
      </c>
      <c r="E15" s="15" t="s">
        <v>28</v>
      </c>
      <c r="F15" s="26" t="s">
        <v>29</v>
      </c>
      <c r="G15" s="26" t="s">
        <v>1</v>
      </c>
      <c r="H15" s="2">
        <v>0.05</v>
      </c>
      <c r="I15" s="19">
        <v>0.95</v>
      </c>
      <c r="J15" s="852" t="s">
        <v>30</v>
      </c>
      <c r="K15" s="852"/>
      <c r="L15" s="852"/>
      <c r="M15" s="852"/>
      <c r="N15" s="852"/>
      <c r="O15" s="9" t="s">
        <v>1</v>
      </c>
      <c r="P15" s="9" t="s">
        <v>1</v>
      </c>
      <c r="Q15" s="9" t="s">
        <v>1</v>
      </c>
      <c r="R15" s="9" t="s">
        <v>1</v>
      </c>
      <c r="S15" s="9" t="s">
        <v>1</v>
      </c>
      <c r="T15" s="9" t="s">
        <v>1</v>
      </c>
      <c r="U15" s="9" t="s">
        <v>1</v>
      </c>
    </row>
    <row r="16" spans="2:21">
      <c r="B16" s="9" t="s">
        <v>31</v>
      </c>
      <c r="C16" s="7" t="s">
        <v>32</v>
      </c>
      <c r="D16" s="1" t="s">
        <v>33</v>
      </c>
      <c r="E16" s="15" t="s">
        <v>34</v>
      </c>
      <c r="F16" s="2">
        <v>0.2</v>
      </c>
      <c r="G16" s="9" t="s">
        <v>1</v>
      </c>
      <c r="H16" s="27">
        <v>0.24</v>
      </c>
      <c r="I16" s="19">
        <v>0.76</v>
      </c>
      <c r="J16" s="852" t="s">
        <v>35</v>
      </c>
      <c r="K16" s="852"/>
      <c r="L16" s="852"/>
      <c r="M16" s="852"/>
      <c r="N16" s="852"/>
      <c r="O16" s="9" t="s">
        <v>1</v>
      </c>
      <c r="P16" s="9" t="s">
        <v>1</v>
      </c>
      <c r="Q16" s="9" t="s">
        <v>1</v>
      </c>
      <c r="R16" s="9" t="s">
        <v>1</v>
      </c>
      <c r="S16" s="9" t="s">
        <v>1</v>
      </c>
      <c r="T16" s="9" t="s">
        <v>1</v>
      </c>
      <c r="U16" s="9" t="s">
        <v>1</v>
      </c>
    </row>
    <row r="17" spans="2:21">
      <c r="B17" s="9" t="s">
        <v>36</v>
      </c>
      <c r="C17" s="7" t="s">
        <v>37</v>
      </c>
      <c r="D17" s="1" t="s">
        <v>38</v>
      </c>
      <c r="E17" s="15" t="s">
        <v>39</v>
      </c>
      <c r="F17" s="2">
        <v>0.3</v>
      </c>
      <c r="G17" s="9" t="s">
        <v>1</v>
      </c>
      <c r="H17" s="27">
        <v>0.33500000000000002</v>
      </c>
      <c r="I17" s="19">
        <v>0.66500000000000004</v>
      </c>
      <c r="J17" s="852" t="s">
        <v>40</v>
      </c>
      <c r="K17" s="852"/>
      <c r="L17" s="852"/>
      <c r="M17" s="852"/>
      <c r="N17" s="852"/>
      <c r="O17" s="9" t="s">
        <v>1</v>
      </c>
      <c r="P17" s="9" t="s">
        <v>1</v>
      </c>
      <c r="Q17" s="9" t="s">
        <v>1</v>
      </c>
      <c r="R17" s="9" t="s">
        <v>1</v>
      </c>
      <c r="S17" s="9" t="s">
        <v>1</v>
      </c>
      <c r="T17" s="9" t="s">
        <v>1</v>
      </c>
      <c r="U17" s="9" t="s">
        <v>1</v>
      </c>
    </row>
    <row r="18" spans="2:21">
      <c r="B18" s="9" t="s">
        <v>41</v>
      </c>
      <c r="C18" s="7" t="s">
        <v>42</v>
      </c>
      <c r="D18" s="1" t="s">
        <v>43</v>
      </c>
      <c r="E18" s="15" t="s">
        <v>1</v>
      </c>
      <c r="F18" s="2">
        <v>0.4</v>
      </c>
      <c r="G18" s="9" t="s">
        <v>1</v>
      </c>
      <c r="H18" s="27">
        <v>0.43</v>
      </c>
      <c r="I18" s="19">
        <v>0.56999999999999995</v>
      </c>
      <c r="J18" s="852" t="s">
        <v>44</v>
      </c>
      <c r="K18" s="852"/>
      <c r="L18" s="852"/>
      <c r="M18" s="852"/>
      <c r="N18" s="852"/>
      <c r="O18" s="9" t="s">
        <v>1</v>
      </c>
      <c r="P18" s="9" t="s">
        <v>1</v>
      </c>
      <c r="Q18" s="9" t="s">
        <v>1</v>
      </c>
      <c r="R18" s="9" t="s">
        <v>1</v>
      </c>
      <c r="S18" s="9" t="s">
        <v>1</v>
      </c>
      <c r="T18" s="9" t="s">
        <v>1</v>
      </c>
      <c r="U18" s="9" t="s">
        <v>1</v>
      </c>
    </row>
    <row r="19" spans="2:21">
      <c r="B19" s="9" t="s">
        <v>1</v>
      </c>
      <c r="C19" s="9" t="s">
        <v>1</v>
      </c>
      <c r="D19" s="13" t="s">
        <v>1</v>
      </c>
      <c r="E19" s="15" t="s">
        <v>1</v>
      </c>
      <c r="F19" s="13" t="s">
        <v>1</v>
      </c>
      <c r="G19" s="15" t="s">
        <v>1</v>
      </c>
      <c r="H19" s="9" t="s">
        <v>1</v>
      </c>
      <c r="I19" s="9" t="s">
        <v>1</v>
      </c>
      <c r="J19" s="9" t="s">
        <v>1</v>
      </c>
      <c r="K19" s="9" t="s">
        <v>1</v>
      </c>
      <c r="L19" s="9" t="s">
        <v>1</v>
      </c>
      <c r="M19" s="9" t="s">
        <v>1</v>
      </c>
      <c r="N19" s="9" t="s">
        <v>1</v>
      </c>
      <c r="O19" s="9" t="s">
        <v>1</v>
      </c>
      <c r="P19" s="9" t="s">
        <v>1</v>
      </c>
      <c r="Q19" s="9" t="s">
        <v>1</v>
      </c>
      <c r="R19" s="9" t="s">
        <v>1</v>
      </c>
      <c r="S19" s="9" t="s">
        <v>1</v>
      </c>
      <c r="T19" s="9" t="s">
        <v>1</v>
      </c>
      <c r="U19" s="9" t="s">
        <v>1</v>
      </c>
    </row>
    <row r="20" spans="2:21" ht="15.75">
      <c r="B20" s="10" t="s">
        <v>45</v>
      </c>
      <c r="C20" s="10"/>
      <c r="D20" s="28" t="s">
        <v>1</v>
      </c>
      <c r="E20" s="29" t="s">
        <v>1</v>
      </c>
      <c r="F20" s="4" t="s">
        <v>46</v>
      </c>
      <c r="G20" s="4" t="s">
        <v>47</v>
      </c>
      <c r="H20" s="4" t="s">
        <v>48</v>
      </c>
      <c r="I20" s="4" t="s">
        <v>49</v>
      </c>
      <c r="J20" s="4" t="s">
        <v>50</v>
      </c>
      <c r="K20" s="4" t="s">
        <v>51</v>
      </c>
      <c r="L20" s="4" t="s">
        <v>52</v>
      </c>
      <c r="M20" s="4" t="s">
        <v>53</v>
      </c>
      <c r="N20" s="4" t="s">
        <v>54</v>
      </c>
      <c r="O20" s="4" t="s">
        <v>55</v>
      </c>
      <c r="P20" s="4" t="s">
        <v>56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</row>
    <row r="21" spans="2:21">
      <c r="B21" s="30" t="s">
        <v>57</v>
      </c>
      <c r="C21" s="9" t="s">
        <v>1</v>
      </c>
      <c r="D21" s="13" t="s">
        <v>1</v>
      </c>
      <c r="E21" s="15" t="s">
        <v>1</v>
      </c>
      <c r="F21" s="13" t="s">
        <v>1</v>
      </c>
      <c r="G21" s="15" t="s">
        <v>1</v>
      </c>
      <c r="H21" s="9" t="s">
        <v>1</v>
      </c>
      <c r="I21" s="9" t="s">
        <v>1</v>
      </c>
      <c r="J21" s="9" t="s">
        <v>1</v>
      </c>
      <c r="K21" s="9" t="s">
        <v>1</v>
      </c>
      <c r="L21" s="9" t="s">
        <v>1</v>
      </c>
      <c r="M21" s="9" t="s">
        <v>1</v>
      </c>
      <c r="N21" s="9" t="s">
        <v>1</v>
      </c>
      <c r="O21" s="9" t="s">
        <v>1</v>
      </c>
      <c r="P21" s="9" t="s">
        <v>1</v>
      </c>
      <c r="Q21" s="9" t="s">
        <v>1</v>
      </c>
      <c r="R21" s="9" t="s">
        <v>1</v>
      </c>
      <c r="S21" s="9" t="s">
        <v>1</v>
      </c>
      <c r="T21" s="9" t="s">
        <v>1</v>
      </c>
      <c r="U21" s="9" t="s">
        <v>1</v>
      </c>
    </row>
    <row r="22" spans="2:21">
      <c r="B22" s="9" t="s">
        <v>58</v>
      </c>
      <c r="C22" s="9" t="s">
        <v>1</v>
      </c>
      <c r="D22" s="16">
        <v>16328338</v>
      </c>
      <c r="E22" s="15" t="s">
        <v>1</v>
      </c>
      <c r="F22" s="15" t="s">
        <v>59</v>
      </c>
      <c r="G22" s="16">
        <v>565848</v>
      </c>
      <c r="H22" s="16">
        <v>553593</v>
      </c>
      <c r="I22" s="16">
        <v>303592</v>
      </c>
      <c r="J22" s="15" t="s">
        <v>60</v>
      </c>
      <c r="K22" s="16">
        <v>515337</v>
      </c>
      <c r="L22" s="16">
        <v>712312</v>
      </c>
      <c r="M22" s="16">
        <v>698781</v>
      </c>
      <c r="N22" s="16">
        <v>684980</v>
      </c>
      <c r="O22" s="16">
        <v>670903</v>
      </c>
      <c r="P22" s="16">
        <v>11622992</v>
      </c>
      <c r="Q22" s="15" t="s">
        <v>61</v>
      </c>
      <c r="R22" s="15" t="s">
        <v>61</v>
      </c>
      <c r="S22" s="15" t="s">
        <v>61</v>
      </c>
      <c r="T22" s="15" t="s">
        <v>61</v>
      </c>
      <c r="U22" s="15" t="s">
        <v>61</v>
      </c>
    </row>
    <row r="23" spans="2:21">
      <c r="B23" s="9" t="s">
        <v>62</v>
      </c>
      <c r="C23" s="9" t="s">
        <v>1</v>
      </c>
      <c r="D23" s="16">
        <v>10249467</v>
      </c>
      <c r="E23" s="15" t="s">
        <v>1</v>
      </c>
      <c r="F23" s="16">
        <v>9352810</v>
      </c>
      <c r="G23" s="15" t="s">
        <v>59</v>
      </c>
      <c r="H23" s="15" t="s">
        <v>60</v>
      </c>
      <c r="I23" s="15" t="s">
        <v>60</v>
      </c>
      <c r="J23" s="16">
        <v>896658</v>
      </c>
      <c r="K23" s="15" t="s">
        <v>60</v>
      </c>
      <c r="L23" s="15" t="s">
        <v>60</v>
      </c>
      <c r="M23" s="15" t="s">
        <v>60</v>
      </c>
      <c r="N23" s="15" t="s">
        <v>60</v>
      </c>
      <c r="O23" s="15" t="s">
        <v>60</v>
      </c>
      <c r="P23" s="15" t="s">
        <v>60</v>
      </c>
      <c r="Q23" s="15" t="s">
        <v>61</v>
      </c>
      <c r="R23" s="15" t="s">
        <v>61</v>
      </c>
      <c r="S23" s="15" t="s">
        <v>61</v>
      </c>
      <c r="T23" s="15" t="s">
        <v>61</v>
      </c>
      <c r="U23" s="15" t="s">
        <v>61</v>
      </c>
    </row>
    <row r="24" spans="2:21">
      <c r="B24" s="9" t="s">
        <v>63</v>
      </c>
      <c r="C24" s="9" t="s">
        <v>1</v>
      </c>
      <c r="D24" s="16">
        <v>6078871</v>
      </c>
      <c r="E24" s="15" t="s">
        <v>1</v>
      </c>
      <c r="F24" s="13" t="s">
        <v>1</v>
      </c>
      <c r="G24" s="15" t="s">
        <v>1</v>
      </c>
      <c r="H24" s="9" t="s">
        <v>1</v>
      </c>
      <c r="I24" s="9" t="s">
        <v>1</v>
      </c>
      <c r="J24" s="9" t="s">
        <v>1</v>
      </c>
      <c r="K24" s="9" t="s">
        <v>1</v>
      </c>
      <c r="L24" s="9" t="s">
        <v>1</v>
      </c>
      <c r="M24" s="9" t="s">
        <v>1</v>
      </c>
      <c r="N24" s="9" t="s">
        <v>1</v>
      </c>
      <c r="O24" s="9" t="s">
        <v>1</v>
      </c>
      <c r="P24" s="9" t="s">
        <v>1</v>
      </c>
      <c r="Q24" s="9" t="s">
        <v>1</v>
      </c>
      <c r="R24" s="9" t="s">
        <v>1</v>
      </c>
      <c r="S24" s="9" t="s">
        <v>1</v>
      </c>
      <c r="T24" s="9" t="s">
        <v>1</v>
      </c>
      <c r="U24" s="9" t="s">
        <v>1</v>
      </c>
    </row>
    <row r="25" spans="2:21">
      <c r="B25" s="9" t="s">
        <v>64</v>
      </c>
      <c r="C25" s="9" t="s">
        <v>1</v>
      </c>
      <c r="D25" s="51">
        <v>5.8500000000000003E-2</v>
      </c>
      <c r="E25" s="15" t="s">
        <v>1</v>
      </c>
      <c r="F25" s="16">
        <v>-9352810</v>
      </c>
      <c r="G25" s="16">
        <v>565848</v>
      </c>
      <c r="H25" s="16">
        <v>553593</v>
      </c>
      <c r="I25" s="16">
        <v>303592</v>
      </c>
      <c r="J25" s="16">
        <v>-896658</v>
      </c>
      <c r="K25" s="16">
        <v>515337</v>
      </c>
      <c r="L25" s="16">
        <v>712312</v>
      </c>
      <c r="M25" s="16">
        <v>698781</v>
      </c>
      <c r="N25" s="16">
        <v>684980</v>
      </c>
      <c r="O25" s="16">
        <v>670903</v>
      </c>
      <c r="P25" s="16">
        <v>11622992</v>
      </c>
      <c r="Q25" s="15" t="s">
        <v>61</v>
      </c>
      <c r="R25" s="15" t="s">
        <v>61</v>
      </c>
      <c r="S25" s="15" t="s">
        <v>61</v>
      </c>
      <c r="T25" s="15" t="s">
        <v>61</v>
      </c>
      <c r="U25" s="15" t="s">
        <v>61</v>
      </c>
    </row>
    <row r="26" spans="2:21">
      <c r="B26" s="9" t="s">
        <v>65</v>
      </c>
      <c r="C26" s="9" t="s">
        <v>1</v>
      </c>
      <c r="D26" s="15" t="s">
        <v>66</v>
      </c>
      <c r="E26" s="15" t="s">
        <v>1</v>
      </c>
      <c r="F26" s="13" t="s">
        <v>1</v>
      </c>
      <c r="G26" s="15" t="s">
        <v>1</v>
      </c>
      <c r="H26" s="9" t="s">
        <v>1</v>
      </c>
      <c r="I26" s="9" t="s">
        <v>1</v>
      </c>
      <c r="J26" s="9" t="s">
        <v>1</v>
      </c>
      <c r="K26" s="9" t="s">
        <v>1</v>
      </c>
      <c r="L26" s="9" t="s">
        <v>1</v>
      </c>
      <c r="M26" s="9" t="s">
        <v>1</v>
      </c>
      <c r="N26" s="9" t="s">
        <v>1</v>
      </c>
      <c r="O26" s="9" t="s">
        <v>1</v>
      </c>
      <c r="P26" s="9" t="s">
        <v>1</v>
      </c>
      <c r="Q26" s="9" t="s">
        <v>1</v>
      </c>
      <c r="R26" s="9" t="s">
        <v>1</v>
      </c>
      <c r="S26" s="9" t="s">
        <v>1</v>
      </c>
      <c r="T26" s="9" t="s">
        <v>1</v>
      </c>
      <c r="U26" s="9" t="s">
        <v>1</v>
      </c>
    </row>
    <row r="27" spans="2:21">
      <c r="B27" s="9" t="s">
        <v>1</v>
      </c>
      <c r="C27" s="9" t="s">
        <v>1</v>
      </c>
      <c r="D27" s="13" t="s">
        <v>1</v>
      </c>
      <c r="E27" s="15" t="s">
        <v>1</v>
      </c>
      <c r="F27" s="13" t="s">
        <v>1</v>
      </c>
      <c r="G27" s="15" t="s">
        <v>1</v>
      </c>
      <c r="H27" s="9" t="s">
        <v>1</v>
      </c>
      <c r="I27" s="9" t="s">
        <v>1</v>
      </c>
      <c r="J27" s="9" t="s">
        <v>1</v>
      </c>
      <c r="K27" s="9" t="s">
        <v>1</v>
      </c>
      <c r="L27" s="9" t="s">
        <v>1</v>
      </c>
      <c r="M27" s="9" t="s">
        <v>1</v>
      </c>
      <c r="N27" s="9" t="s">
        <v>1</v>
      </c>
      <c r="O27" s="9" t="s">
        <v>1</v>
      </c>
      <c r="P27" s="9" t="s">
        <v>1</v>
      </c>
      <c r="Q27" s="9" t="s">
        <v>1</v>
      </c>
      <c r="R27" s="9" t="s">
        <v>1</v>
      </c>
      <c r="S27" s="9" t="s">
        <v>1</v>
      </c>
      <c r="T27" s="9" t="s">
        <v>1</v>
      </c>
      <c r="U27" s="9" t="s">
        <v>1</v>
      </c>
    </row>
    <row r="28" spans="2:21">
      <c r="B28" s="30" t="s">
        <v>67</v>
      </c>
      <c r="C28" s="9" t="s">
        <v>1</v>
      </c>
      <c r="D28" s="13" t="s">
        <v>1</v>
      </c>
      <c r="E28" s="15" t="s">
        <v>1</v>
      </c>
      <c r="F28" s="13" t="s">
        <v>1</v>
      </c>
      <c r="G28" s="15" t="s">
        <v>1</v>
      </c>
      <c r="H28" s="9" t="s">
        <v>1</v>
      </c>
      <c r="I28" s="9" t="s">
        <v>1</v>
      </c>
      <c r="J28" s="9" t="s">
        <v>1</v>
      </c>
      <c r="K28" s="9" t="s">
        <v>1</v>
      </c>
      <c r="L28" s="9" t="s">
        <v>1</v>
      </c>
      <c r="M28" s="9" t="s">
        <v>1</v>
      </c>
      <c r="N28" s="9" t="s">
        <v>1</v>
      </c>
      <c r="O28" s="9" t="s">
        <v>1</v>
      </c>
      <c r="P28" s="9" t="s">
        <v>1</v>
      </c>
      <c r="Q28" s="9" t="s">
        <v>1</v>
      </c>
      <c r="R28" s="9" t="s">
        <v>1</v>
      </c>
      <c r="S28" s="9" t="s">
        <v>1</v>
      </c>
      <c r="T28" s="9" t="s">
        <v>1</v>
      </c>
      <c r="U28" s="9" t="s">
        <v>1</v>
      </c>
    </row>
    <row r="29" spans="2:21">
      <c r="B29" s="9" t="s">
        <v>68</v>
      </c>
      <c r="C29" s="9" t="s">
        <v>1</v>
      </c>
      <c r="D29" s="16">
        <v>859386</v>
      </c>
      <c r="E29" s="15" t="s">
        <v>1</v>
      </c>
      <c r="F29" s="15" t="s">
        <v>59</v>
      </c>
      <c r="G29" s="16">
        <v>29781</v>
      </c>
      <c r="H29" s="16">
        <v>29136</v>
      </c>
      <c r="I29" s="16">
        <v>15979</v>
      </c>
      <c r="J29" s="15" t="s">
        <v>60</v>
      </c>
      <c r="K29" s="16">
        <v>27123</v>
      </c>
      <c r="L29" s="16">
        <v>37490</v>
      </c>
      <c r="M29" s="16">
        <v>36778</v>
      </c>
      <c r="N29" s="16">
        <v>36052</v>
      </c>
      <c r="O29" s="16">
        <v>35311</v>
      </c>
      <c r="P29" s="16">
        <v>611736</v>
      </c>
      <c r="Q29" s="15" t="s">
        <v>61</v>
      </c>
      <c r="R29" s="15" t="s">
        <v>61</v>
      </c>
      <c r="S29" s="15" t="s">
        <v>61</v>
      </c>
      <c r="T29" s="15" t="s">
        <v>61</v>
      </c>
      <c r="U29" s="15" t="s">
        <v>61</v>
      </c>
    </row>
    <row r="30" spans="2:21">
      <c r="B30" s="9" t="s">
        <v>69</v>
      </c>
      <c r="C30" s="9" t="s">
        <v>1</v>
      </c>
      <c r="D30" s="16">
        <v>1507627</v>
      </c>
      <c r="E30" s="15" t="s">
        <v>1</v>
      </c>
      <c r="F30" s="16">
        <v>367627</v>
      </c>
      <c r="G30" s="16">
        <v>114000</v>
      </c>
      <c r="H30" s="16">
        <v>114000</v>
      </c>
      <c r="I30" s="16">
        <v>114000</v>
      </c>
      <c r="J30" s="16">
        <v>114000</v>
      </c>
      <c r="K30" s="16">
        <v>114000</v>
      </c>
      <c r="L30" s="16">
        <v>114000</v>
      </c>
      <c r="M30" s="16">
        <v>114000</v>
      </c>
      <c r="N30" s="16">
        <v>114000</v>
      </c>
      <c r="O30" s="16">
        <v>114000</v>
      </c>
      <c r="P30" s="16">
        <v>114000</v>
      </c>
      <c r="Q30" s="15" t="s">
        <v>61</v>
      </c>
      <c r="R30" s="15" t="s">
        <v>61</v>
      </c>
      <c r="S30" s="15" t="s">
        <v>61</v>
      </c>
      <c r="T30" s="15" t="s">
        <v>61</v>
      </c>
      <c r="U30" s="15" t="s">
        <v>61</v>
      </c>
    </row>
    <row r="31" spans="2:21">
      <c r="B31" s="9" t="s">
        <v>70</v>
      </c>
      <c r="C31" s="9" t="s">
        <v>1</v>
      </c>
      <c r="D31" s="16">
        <v>539446</v>
      </c>
      <c r="E31" s="15" t="s">
        <v>1</v>
      </c>
      <c r="F31" s="16">
        <v>492253</v>
      </c>
      <c r="G31" s="15" t="s">
        <v>59</v>
      </c>
      <c r="H31" s="15" t="s">
        <v>60</v>
      </c>
      <c r="I31" s="15" t="s">
        <v>60</v>
      </c>
      <c r="J31" s="16">
        <v>47193</v>
      </c>
      <c r="K31" s="15" t="s">
        <v>60</v>
      </c>
      <c r="L31" s="15" t="s">
        <v>60</v>
      </c>
      <c r="M31" s="15" t="s">
        <v>60</v>
      </c>
      <c r="N31" s="15" t="s">
        <v>60</v>
      </c>
      <c r="O31" s="15" t="s">
        <v>60</v>
      </c>
      <c r="P31" s="15" t="s">
        <v>60</v>
      </c>
      <c r="Q31" s="15" t="s">
        <v>61</v>
      </c>
      <c r="R31" s="15" t="s">
        <v>61</v>
      </c>
      <c r="S31" s="15" t="s">
        <v>61</v>
      </c>
      <c r="T31" s="15" t="s">
        <v>61</v>
      </c>
      <c r="U31" s="15" t="s">
        <v>61</v>
      </c>
    </row>
    <row r="32" spans="2:21">
      <c r="B32" s="9" t="s">
        <v>71</v>
      </c>
      <c r="C32" s="9" t="s">
        <v>1</v>
      </c>
      <c r="D32" s="16">
        <v>1827568</v>
      </c>
      <c r="E32" s="15" t="s">
        <v>1</v>
      </c>
      <c r="F32" s="13" t="s">
        <v>1</v>
      </c>
      <c r="G32" s="15" t="s">
        <v>1</v>
      </c>
      <c r="H32" s="9" t="s">
        <v>1</v>
      </c>
      <c r="I32" s="9" t="s">
        <v>1</v>
      </c>
      <c r="J32" s="9" t="s">
        <v>1</v>
      </c>
      <c r="K32" s="9" t="s">
        <v>1</v>
      </c>
      <c r="L32" s="9" t="s">
        <v>1</v>
      </c>
      <c r="M32" s="9" t="s">
        <v>1</v>
      </c>
      <c r="N32" s="9" t="s">
        <v>1</v>
      </c>
      <c r="O32" s="9" t="s">
        <v>1</v>
      </c>
      <c r="P32" s="9" t="s">
        <v>1</v>
      </c>
      <c r="Q32" s="9" t="s">
        <v>1</v>
      </c>
      <c r="R32" s="9" t="s">
        <v>1</v>
      </c>
      <c r="S32" s="9" t="s">
        <v>1</v>
      </c>
      <c r="T32" s="9" t="s">
        <v>1</v>
      </c>
      <c r="U32" s="9" t="s">
        <v>1</v>
      </c>
    </row>
    <row r="33" spans="2:25">
      <c r="B33" s="9" t="s">
        <v>72</v>
      </c>
      <c r="C33" s="9" t="s">
        <v>1</v>
      </c>
      <c r="D33" s="51">
        <v>1.1076999999999999</v>
      </c>
      <c r="E33" s="15" t="s">
        <v>1</v>
      </c>
      <c r="F33" s="16">
        <v>-124626</v>
      </c>
      <c r="G33" s="16">
        <v>143781</v>
      </c>
      <c r="H33" s="16">
        <v>143136</v>
      </c>
      <c r="I33" s="16">
        <v>129979</v>
      </c>
      <c r="J33" s="16">
        <v>66807</v>
      </c>
      <c r="K33" s="16">
        <v>141123</v>
      </c>
      <c r="L33" s="16">
        <v>151490</v>
      </c>
      <c r="M33" s="16">
        <v>150778</v>
      </c>
      <c r="N33" s="16">
        <v>150052</v>
      </c>
      <c r="O33" s="16">
        <v>149311</v>
      </c>
      <c r="P33" s="16">
        <v>725736</v>
      </c>
      <c r="Q33" s="15" t="s">
        <v>61</v>
      </c>
      <c r="R33" s="15" t="s">
        <v>61</v>
      </c>
      <c r="S33" s="15" t="s">
        <v>61</v>
      </c>
      <c r="T33" s="15" t="s">
        <v>61</v>
      </c>
      <c r="U33" s="15" t="s">
        <v>61</v>
      </c>
    </row>
    <row r="34" spans="2:25">
      <c r="B34" s="9" t="s">
        <v>73</v>
      </c>
      <c r="C34" s="9" t="s">
        <v>1</v>
      </c>
      <c r="D34" s="15" t="s">
        <v>66</v>
      </c>
      <c r="E34" s="15" t="s">
        <v>1</v>
      </c>
      <c r="F34" s="13" t="s">
        <v>1</v>
      </c>
      <c r="G34" s="15" t="s">
        <v>1</v>
      </c>
      <c r="H34" s="9" t="s">
        <v>1</v>
      </c>
      <c r="I34" s="9" t="s">
        <v>1</v>
      </c>
      <c r="J34" s="9" t="s">
        <v>1</v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1</v>
      </c>
      <c r="P34" s="9" t="s">
        <v>1</v>
      </c>
      <c r="Q34" s="9" t="s">
        <v>1</v>
      </c>
      <c r="R34" s="9" t="s">
        <v>1</v>
      </c>
      <c r="S34" s="9" t="s">
        <v>1</v>
      </c>
      <c r="T34" s="9" t="s">
        <v>1</v>
      </c>
      <c r="U34" s="9" t="s">
        <v>1</v>
      </c>
    </row>
    <row r="35" spans="2:25">
      <c r="B35" s="31" t="s">
        <v>1</v>
      </c>
      <c r="C35" s="31" t="s">
        <v>1</v>
      </c>
      <c r="D35" s="31" t="s">
        <v>1</v>
      </c>
      <c r="E35" s="9" t="s">
        <v>1</v>
      </c>
      <c r="F35" s="9" t="s">
        <v>1</v>
      </c>
      <c r="G35" s="9" t="s">
        <v>1</v>
      </c>
      <c r="H35" s="9" t="s">
        <v>1</v>
      </c>
      <c r="I35" s="9" t="s">
        <v>1</v>
      </c>
      <c r="J35" s="9" t="s">
        <v>1</v>
      </c>
      <c r="K35" s="9" t="s">
        <v>1</v>
      </c>
      <c r="L35" s="9" t="s">
        <v>1</v>
      </c>
      <c r="M35" s="9" t="s">
        <v>1</v>
      </c>
      <c r="N35" s="9" t="s">
        <v>1</v>
      </c>
      <c r="O35" s="9" t="s">
        <v>1</v>
      </c>
      <c r="P35" s="9" t="s">
        <v>1</v>
      </c>
      <c r="Q35" s="9" t="s">
        <v>1</v>
      </c>
      <c r="R35" s="9" t="s">
        <v>1</v>
      </c>
      <c r="S35" s="9" t="s">
        <v>1</v>
      </c>
      <c r="T35" s="9" t="s">
        <v>1</v>
      </c>
      <c r="U35" s="9" t="s">
        <v>1</v>
      </c>
    </row>
    <row r="36" spans="2:25" ht="15.75">
      <c r="B36" s="10" t="s">
        <v>74</v>
      </c>
      <c r="C36" s="4" t="s">
        <v>1</v>
      </c>
      <c r="D36" s="4" t="s">
        <v>1</v>
      </c>
      <c r="E36" s="4" t="s">
        <v>1</v>
      </c>
      <c r="F36" s="4" t="s">
        <v>46</v>
      </c>
      <c r="G36" s="4" t="s">
        <v>47</v>
      </c>
      <c r="H36" s="4" t="s">
        <v>48</v>
      </c>
      <c r="I36" s="4" t="s">
        <v>49</v>
      </c>
      <c r="J36" s="4" t="s">
        <v>50</v>
      </c>
      <c r="K36" s="4" t="s">
        <v>51</v>
      </c>
      <c r="L36" s="4" t="s">
        <v>52</v>
      </c>
      <c r="M36" s="4" t="s">
        <v>53</v>
      </c>
      <c r="N36" s="4" t="s">
        <v>54</v>
      </c>
      <c r="O36" s="4" t="s">
        <v>55</v>
      </c>
      <c r="P36" s="4" t="s">
        <v>56</v>
      </c>
      <c r="Q36" s="4" t="s">
        <v>1</v>
      </c>
      <c r="R36" s="4" t="s">
        <v>1</v>
      </c>
      <c r="S36" s="4" t="s">
        <v>1</v>
      </c>
      <c r="T36" s="4" t="s">
        <v>1</v>
      </c>
      <c r="U36" s="4" t="s">
        <v>1</v>
      </c>
      <c r="V36" s="8"/>
      <c r="W36" s="8"/>
      <c r="X36" s="8"/>
      <c r="Y36" s="8"/>
    </row>
    <row r="37" spans="2:25">
      <c r="B37" s="9" t="s">
        <v>1</v>
      </c>
      <c r="C37" s="9" t="s">
        <v>1</v>
      </c>
      <c r="D37" s="9" t="s">
        <v>1</v>
      </c>
      <c r="E37" s="9" t="s">
        <v>75</v>
      </c>
      <c r="F37" s="32">
        <v>46203</v>
      </c>
      <c r="G37" s="33">
        <v>46568</v>
      </c>
      <c r="H37" s="33">
        <v>46934</v>
      </c>
      <c r="I37" s="33">
        <v>47299</v>
      </c>
      <c r="J37" s="33">
        <v>11139</v>
      </c>
      <c r="K37" s="33">
        <v>11504</v>
      </c>
      <c r="L37" s="33">
        <v>11870</v>
      </c>
      <c r="M37" s="33">
        <v>12235</v>
      </c>
      <c r="N37" s="33">
        <v>12600</v>
      </c>
      <c r="O37" s="33">
        <v>12965</v>
      </c>
      <c r="P37" s="33">
        <v>13331</v>
      </c>
      <c r="Q37" s="9" t="s">
        <v>1</v>
      </c>
      <c r="R37" s="9" t="s">
        <v>1</v>
      </c>
      <c r="S37" s="9" t="s">
        <v>1</v>
      </c>
      <c r="T37" s="9" t="s">
        <v>1</v>
      </c>
      <c r="U37" s="9" t="s">
        <v>1</v>
      </c>
      <c r="V37" s="8"/>
      <c r="W37" s="8"/>
      <c r="X37" s="8"/>
      <c r="Y37" s="8"/>
    </row>
    <row r="38" spans="2:25">
      <c r="B38" s="15" t="s">
        <v>76</v>
      </c>
      <c r="C38" s="9" t="s">
        <v>1</v>
      </c>
      <c r="D38" s="9" t="s">
        <v>1</v>
      </c>
      <c r="E38" s="9" t="s">
        <v>1</v>
      </c>
      <c r="F38" s="52">
        <v>-9477436</v>
      </c>
      <c r="G38" s="52">
        <v>709629</v>
      </c>
      <c r="H38" s="52">
        <v>696729</v>
      </c>
      <c r="I38" s="52">
        <v>433571</v>
      </c>
      <c r="J38" s="52">
        <v>-829850</v>
      </c>
      <c r="K38" s="52">
        <v>656460</v>
      </c>
      <c r="L38" s="52">
        <v>863802</v>
      </c>
      <c r="M38" s="52">
        <v>849559</v>
      </c>
      <c r="N38" s="52">
        <v>835032</v>
      </c>
      <c r="O38" s="52">
        <v>820214</v>
      </c>
      <c r="P38" s="52">
        <v>12348729</v>
      </c>
      <c r="Q38" s="34" t="s">
        <v>61</v>
      </c>
      <c r="R38" s="34" t="s">
        <v>61</v>
      </c>
      <c r="S38" s="34" t="s">
        <v>61</v>
      </c>
      <c r="T38" s="34" t="s">
        <v>61</v>
      </c>
      <c r="U38" s="34" t="s">
        <v>61</v>
      </c>
    </row>
    <row r="39" spans="2:25">
      <c r="B39" s="1" t="s">
        <v>77</v>
      </c>
      <c r="C39" s="9" t="s">
        <v>1</v>
      </c>
      <c r="D39" s="9" t="s">
        <v>1</v>
      </c>
      <c r="E39" s="9" t="s">
        <v>1</v>
      </c>
      <c r="F39" s="1" t="s">
        <v>59</v>
      </c>
      <c r="G39" s="53">
        <v>114000</v>
      </c>
      <c r="H39" s="53">
        <v>114000</v>
      </c>
      <c r="I39" s="53">
        <v>114000</v>
      </c>
      <c r="J39" s="53">
        <v>114000</v>
      </c>
      <c r="K39" s="53">
        <v>114000</v>
      </c>
      <c r="L39" s="53">
        <v>114000</v>
      </c>
      <c r="M39" s="53">
        <v>114000</v>
      </c>
      <c r="N39" s="53">
        <v>114000</v>
      </c>
      <c r="O39" s="53">
        <v>114000</v>
      </c>
      <c r="P39" s="53">
        <v>114000</v>
      </c>
      <c r="Q39" s="1" t="s">
        <v>60</v>
      </c>
      <c r="R39" s="1" t="s">
        <v>60</v>
      </c>
      <c r="S39" s="1" t="s">
        <v>78</v>
      </c>
      <c r="T39" s="1" t="s">
        <v>78</v>
      </c>
      <c r="U39" s="1" t="s">
        <v>60</v>
      </c>
    </row>
    <row r="40" spans="2:25">
      <c r="B40" s="1" t="s">
        <v>79</v>
      </c>
      <c r="C40" s="9" t="s">
        <v>1</v>
      </c>
      <c r="D40" s="9" t="s">
        <v>1</v>
      </c>
      <c r="E40" s="9" t="s">
        <v>1</v>
      </c>
      <c r="F40" s="53">
        <v>367627</v>
      </c>
      <c r="G40" s="1" t="s">
        <v>59</v>
      </c>
      <c r="H40" s="1" t="s">
        <v>60</v>
      </c>
      <c r="I40" s="1" t="s">
        <v>60</v>
      </c>
      <c r="J40" s="1" t="s">
        <v>60</v>
      </c>
      <c r="K40" s="1" t="s">
        <v>60</v>
      </c>
      <c r="L40" s="1" t="s">
        <v>60</v>
      </c>
      <c r="M40" s="1" t="s">
        <v>60</v>
      </c>
      <c r="N40" s="1" t="s">
        <v>60</v>
      </c>
      <c r="O40" s="1" t="s">
        <v>60</v>
      </c>
      <c r="P40" s="1" t="s">
        <v>60</v>
      </c>
      <c r="Q40" s="1" t="s">
        <v>60</v>
      </c>
      <c r="R40" s="1" t="s">
        <v>60</v>
      </c>
      <c r="S40" s="1" t="s">
        <v>78</v>
      </c>
      <c r="T40" s="1" t="s">
        <v>78</v>
      </c>
      <c r="U40" s="1" t="s">
        <v>60</v>
      </c>
    </row>
    <row r="41" spans="2:25">
      <c r="B41" s="1"/>
      <c r="C41" s="9" t="s">
        <v>1</v>
      </c>
      <c r="D41" s="9" t="s">
        <v>1</v>
      </c>
      <c r="E41" s="9" t="s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5">
      <c r="B42" s="15" t="s">
        <v>80</v>
      </c>
      <c r="C42" s="9" t="s">
        <v>1</v>
      </c>
      <c r="D42" s="9" t="s">
        <v>1</v>
      </c>
      <c r="E42" s="9" t="s">
        <v>1</v>
      </c>
      <c r="F42" s="54">
        <v>-9845063</v>
      </c>
      <c r="G42" s="54">
        <v>595629</v>
      </c>
      <c r="H42" s="54">
        <v>582729</v>
      </c>
      <c r="I42" s="54">
        <v>319571</v>
      </c>
      <c r="J42" s="54">
        <v>-943850</v>
      </c>
      <c r="K42" s="54">
        <v>542460</v>
      </c>
      <c r="L42" s="54">
        <v>749802</v>
      </c>
      <c r="M42" s="54">
        <v>735559</v>
      </c>
      <c r="N42" s="54">
        <v>721032</v>
      </c>
      <c r="O42" s="54">
        <v>706214</v>
      </c>
      <c r="P42" s="54">
        <v>12234729</v>
      </c>
      <c r="Q42" s="8" t="s">
        <v>61</v>
      </c>
      <c r="R42" s="8" t="s">
        <v>61</v>
      </c>
      <c r="S42" s="8" t="s">
        <v>61</v>
      </c>
      <c r="T42" s="8" t="s">
        <v>61</v>
      </c>
      <c r="U42" s="8" t="s">
        <v>61</v>
      </c>
    </row>
    <row r="43" spans="2:25">
      <c r="B43" s="9" t="s">
        <v>81</v>
      </c>
      <c r="C43" s="9" t="s">
        <v>1</v>
      </c>
      <c r="D43" s="9" t="s">
        <v>1</v>
      </c>
      <c r="E43" s="9" t="s">
        <v>1</v>
      </c>
      <c r="F43" s="19">
        <v>5.8500000000000003E-2</v>
      </c>
      <c r="G43" s="9" t="s">
        <v>1</v>
      </c>
      <c r="H43" s="9" t="s">
        <v>1</v>
      </c>
      <c r="I43" s="9" t="s">
        <v>1</v>
      </c>
      <c r="J43" s="9" t="s">
        <v>1</v>
      </c>
      <c r="K43" s="9" t="s">
        <v>1</v>
      </c>
      <c r="L43" s="9" t="s">
        <v>1</v>
      </c>
      <c r="M43" s="9" t="s">
        <v>1</v>
      </c>
      <c r="N43" s="9" t="s">
        <v>1</v>
      </c>
      <c r="O43" s="9" t="s">
        <v>1</v>
      </c>
      <c r="P43" s="9" t="s">
        <v>1</v>
      </c>
      <c r="Q43" s="9" t="s">
        <v>1</v>
      </c>
      <c r="R43" s="9" t="s">
        <v>1</v>
      </c>
      <c r="S43" s="9" t="s">
        <v>1</v>
      </c>
      <c r="T43" s="9" t="s">
        <v>1</v>
      </c>
      <c r="U43" s="9" t="s">
        <v>1</v>
      </c>
    </row>
    <row r="44" spans="2:25">
      <c r="B44" s="9" t="s">
        <v>27</v>
      </c>
      <c r="C44" s="9" t="s">
        <v>1</v>
      </c>
      <c r="D44" s="9" t="s">
        <v>1</v>
      </c>
      <c r="E44" s="9" t="s">
        <v>1</v>
      </c>
      <c r="F44" s="9" t="s">
        <v>82</v>
      </c>
      <c r="G44" s="9" t="s">
        <v>1</v>
      </c>
      <c r="H44" s="9" t="s">
        <v>1</v>
      </c>
      <c r="I44" s="9" t="s">
        <v>1</v>
      </c>
      <c r="J44" s="9" t="s">
        <v>1</v>
      </c>
      <c r="K44" s="9" t="s">
        <v>1</v>
      </c>
      <c r="L44" s="9" t="s">
        <v>1</v>
      </c>
      <c r="M44" s="9" t="s">
        <v>1</v>
      </c>
      <c r="N44" s="9" t="s">
        <v>1</v>
      </c>
      <c r="O44" s="9" t="s">
        <v>1</v>
      </c>
      <c r="P44" s="9" t="s">
        <v>1</v>
      </c>
      <c r="Q44" s="9" t="s">
        <v>1</v>
      </c>
      <c r="R44" s="9" t="s">
        <v>1</v>
      </c>
      <c r="S44" s="9" t="s">
        <v>1</v>
      </c>
      <c r="T44" s="9" t="s">
        <v>1</v>
      </c>
      <c r="U44" s="9" t="s">
        <v>1</v>
      </c>
    </row>
    <row r="45" spans="2:25">
      <c r="B45" s="9" t="s">
        <v>1</v>
      </c>
      <c r="C45" s="9" t="s">
        <v>1</v>
      </c>
      <c r="D45" s="9" t="s">
        <v>1</v>
      </c>
      <c r="E45" s="9" t="s">
        <v>1</v>
      </c>
      <c r="F45" s="31" t="s">
        <v>1</v>
      </c>
      <c r="G45" s="9" t="s">
        <v>1</v>
      </c>
      <c r="H45" s="9" t="s">
        <v>1</v>
      </c>
      <c r="I45" s="9" t="s">
        <v>1</v>
      </c>
      <c r="J45" s="9" t="s">
        <v>1</v>
      </c>
      <c r="K45" s="9" t="s">
        <v>1</v>
      </c>
      <c r="L45" s="9" t="s">
        <v>1</v>
      </c>
      <c r="M45" s="9" t="s">
        <v>1</v>
      </c>
      <c r="N45" s="9" t="s">
        <v>1</v>
      </c>
      <c r="O45" s="9" t="s">
        <v>1</v>
      </c>
      <c r="P45" s="31" t="s">
        <v>1</v>
      </c>
      <c r="Q45" s="9" t="s">
        <v>1</v>
      </c>
      <c r="R45" s="9" t="s">
        <v>1</v>
      </c>
      <c r="S45" s="9" t="s">
        <v>1</v>
      </c>
      <c r="T45" s="9" t="s">
        <v>1</v>
      </c>
      <c r="U45" s="9" t="s">
        <v>1</v>
      </c>
    </row>
  </sheetData>
  <mergeCells count="6">
    <mergeCell ref="J18:N18"/>
    <mergeCell ref="F13:G14"/>
    <mergeCell ref="H13:I13"/>
    <mergeCell ref="J15:N15"/>
    <mergeCell ref="J16:N16"/>
    <mergeCell ref="J17:N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64AA-5077-4A35-85F4-DE74B69C8B3E}">
  <dimension ref="B1:O9"/>
  <sheetViews>
    <sheetView topLeftCell="W52" workbookViewId="0">
      <selection activeCell="D3" sqref="D3"/>
    </sheetView>
  </sheetViews>
  <sheetFormatPr defaultRowHeight="14.25"/>
  <cols>
    <col min="2" max="2" width="20.28515625" customWidth="1"/>
    <col min="3" max="3" width="44.85546875" customWidth="1"/>
    <col min="4" max="4" width="20.42578125" customWidth="1"/>
    <col min="5" max="5" width="12.28515625" customWidth="1"/>
    <col min="8" max="8" width="18.42578125" customWidth="1"/>
    <col min="9" max="9" width="12.28515625" customWidth="1"/>
    <col min="10" max="10" width="12.140625" customWidth="1"/>
    <col min="11" max="11" width="11.7109375" customWidth="1"/>
    <col min="12" max="12" width="13.42578125" customWidth="1"/>
    <col min="13" max="13" width="10.5703125" customWidth="1"/>
    <col min="14" max="14" width="11.28515625" customWidth="1"/>
    <col min="15" max="15" width="33.5703125" bestFit="1" customWidth="1"/>
  </cols>
  <sheetData>
    <row r="1" spans="2:15">
      <c r="H1" t="s">
        <v>83</v>
      </c>
    </row>
    <row r="2" spans="2:15">
      <c r="B2" s="463" t="s">
        <v>84</v>
      </c>
      <c r="C2" s="464" t="s">
        <v>85</v>
      </c>
      <c r="D2" s="464" t="s">
        <v>86</v>
      </c>
      <c r="E2" s="465" t="s">
        <v>87</v>
      </c>
      <c r="H2" s="463" t="s">
        <v>88</v>
      </c>
      <c r="I2" s="464" t="s">
        <v>89</v>
      </c>
      <c r="J2" s="464" t="s">
        <v>90</v>
      </c>
      <c r="K2" s="464" t="s">
        <v>91</v>
      </c>
      <c r="L2" s="464" t="s">
        <v>92</v>
      </c>
      <c r="M2" s="464" t="s">
        <v>93</v>
      </c>
      <c r="N2" s="464" t="s">
        <v>94</v>
      </c>
      <c r="O2" s="465" t="s">
        <v>25</v>
      </c>
    </row>
    <row r="3" spans="2:15">
      <c r="B3" s="458" t="s">
        <v>95</v>
      </c>
      <c r="C3" s="596" t="s">
        <v>96</v>
      </c>
      <c r="D3" t="s">
        <v>97</v>
      </c>
      <c r="E3" s="459"/>
      <c r="H3" s="458" t="str">
        <f>B3</f>
        <v>Gross Lease</v>
      </c>
      <c r="I3" t="s">
        <v>7</v>
      </c>
      <c r="J3" t="s">
        <v>98</v>
      </c>
      <c r="K3" t="s">
        <v>98</v>
      </c>
      <c r="L3" t="s">
        <v>98</v>
      </c>
      <c r="M3" t="s">
        <v>98</v>
      </c>
      <c r="N3" t="s">
        <v>98</v>
      </c>
      <c r="O3" s="459" t="s">
        <v>99</v>
      </c>
    </row>
    <row r="4" spans="2:15">
      <c r="B4" s="458" t="s">
        <v>100</v>
      </c>
      <c r="C4" t="s">
        <v>101</v>
      </c>
      <c r="D4" t="s">
        <v>97</v>
      </c>
      <c r="E4" s="459"/>
      <c r="H4" s="458" t="str">
        <f t="shared" ref="H4:H7" si="0">B4</f>
        <v>Modified Gross</v>
      </c>
      <c r="I4" t="s">
        <v>7</v>
      </c>
      <c r="J4" t="s">
        <v>102</v>
      </c>
      <c r="K4" t="s">
        <v>102</v>
      </c>
      <c r="L4" t="s">
        <v>102</v>
      </c>
      <c r="M4" t="s">
        <v>98</v>
      </c>
      <c r="N4" t="s">
        <v>102</v>
      </c>
      <c r="O4" s="459" t="s">
        <v>103</v>
      </c>
    </row>
    <row r="5" spans="2:15">
      <c r="B5" s="458" t="s">
        <v>104</v>
      </c>
      <c r="C5" s="596" t="s">
        <v>105</v>
      </c>
      <c r="D5" t="s">
        <v>106</v>
      </c>
      <c r="E5" s="459"/>
      <c r="H5" s="458" t="str">
        <f t="shared" si="0"/>
        <v>Triple Net (NNN)</v>
      </c>
      <c r="I5" t="s">
        <v>7</v>
      </c>
      <c r="J5" t="s">
        <v>7</v>
      </c>
      <c r="K5" t="s">
        <v>7</v>
      </c>
      <c r="L5" t="s">
        <v>7</v>
      </c>
      <c r="M5" t="s">
        <v>98</v>
      </c>
      <c r="N5" t="s">
        <v>7</v>
      </c>
      <c r="O5" s="459" t="s">
        <v>107</v>
      </c>
    </row>
    <row r="6" spans="2:15">
      <c r="B6" s="458" t="s">
        <v>108</v>
      </c>
      <c r="C6" s="596" t="s">
        <v>109</v>
      </c>
      <c r="D6" t="s">
        <v>110</v>
      </c>
      <c r="E6" s="459"/>
      <c r="H6" s="458" t="str">
        <f t="shared" si="0"/>
        <v>Absolute Net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s="459" t="s">
        <v>111</v>
      </c>
    </row>
    <row r="7" spans="2:15">
      <c r="B7" s="460" t="s">
        <v>112</v>
      </c>
      <c r="C7" s="597" t="s">
        <v>113</v>
      </c>
      <c r="D7" s="461" t="s">
        <v>110</v>
      </c>
      <c r="E7" s="462"/>
      <c r="H7" s="460" t="str">
        <f t="shared" si="0"/>
        <v>Percentage Lease</v>
      </c>
      <c r="I7" s="461" t="s">
        <v>114</v>
      </c>
      <c r="J7" s="461" t="s">
        <v>102</v>
      </c>
      <c r="K7" s="461" t="s">
        <v>102</v>
      </c>
      <c r="L7" s="461" t="s">
        <v>102</v>
      </c>
      <c r="M7" s="461" t="s">
        <v>98</v>
      </c>
      <c r="N7" s="461" t="s">
        <v>102</v>
      </c>
      <c r="O7" s="462" t="s">
        <v>115</v>
      </c>
    </row>
    <row r="8" spans="2:15">
      <c r="H8" s="457"/>
    </row>
    <row r="9" spans="2:15">
      <c r="H9" s="457"/>
    </row>
  </sheetData>
  <conditionalFormatting sqref="I3:N7">
    <cfRule type="containsText" dxfId="40" priority="1" operator="containsText" text="Split">
      <formula>NOT(ISERROR(SEARCH("Split",I3)))</formula>
    </cfRule>
    <cfRule type="containsText" dxfId="39" priority="2" operator="containsText" text="No">
      <formula>NOT(ISERROR(SEARCH("No",I3)))</formula>
    </cfRule>
    <cfRule type="containsText" dxfId="38" priority="3" operator="containsText" text="Yes">
      <formula>NOT(ISERROR(SEARCH("Yes",I3)))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4A9F-C187-4C87-B639-7CAA8AF8BD25}">
  <sheetPr>
    <tabColor rgb="FFD0CECE"/>
  </sheetPr>
  <dimension ref="A1:DN275"/>
  <sheetViews>
    <sheetView tabSelected="1" topLeftCell="BD1" zoomScale="110" zoomScaleNormal="70" workbookViewId="0">
      <selection activeCell="BW9" sqref="BW9"/>
    </sheetView>
  </sheetViews>
  <sheetFormatPr defaultColWidth="10.7109375" defaultRowHeight="15" customHeight="1"/>
  <cols>
    <col min="1" max="1" width="28.85546875" style="55" customWidth="1"/>
    <col min="2" max="2" width="57.28515625" style="55" customWidth="1"/>
    <col min="3" max="3" width="108.85546875" style="55" bestFit="1" customWidth="1"/>
    <col min="4" max="4" width="22.42578125" style="55" customWidth="1"/>
    <col min="5" max="5" width="18.85546875" style="55" customWidth="1"/>
    <col min="6" max="6" width="19.140625" style="55" customWidth="1"/>
    <col min="7" max="7" width="16.85546875" style="55" customWidth="1"/>
    <col min="8" max="8" width="19.28515625" style="55" customWidth="1"/>
    <col min="9" max="9" width="21.28515625" style="55" customWidth="1"/>
    <col min="10" max="10" width="18.42578125" style="55" customWidth="1"/>
    <col min="11" max="11" width="10.7109375" style="55" customWidth="1"/>
    <col min="12" max="12" width="11.85546875" style="55" bestFit="1" customWidth="1"/>
    <col min="13" max="18" width="10.7109375" style="55" customWidth="1"/>
    <col min="19" max="19" width="14.42578125" style="55" customWidth="1"/>
    <col min="20" max="20" width="10.7109375" style="55" customWidth="1"/>
    <col min="21" max="21" width="14.28515625" style="55" customWidth="1"/>
    <col min="22" max="22" width="10.7109375" style="55" customWidth="1"/>
    <col min="23" max="23" width="10.7109375" style="161" customWidth="1"/>
    <col min="24" max="24" width="10.7109375" style="55" customWidth="1"/>
    <col min="25" max="25" width="30.140625" style="55" customWidth="1"/>
    <col min="26" max="26" width="12.28515625" style="55" customWidth="1"/>
    <col min="27" max="27" width="18.140625" style="55" customWidth="1"/>
    <col min="28" max="28" width="31.28515625" style="163" customWidth="1"/>
    <col min="29" max="29" width="11" style="55" customWidth="1"/>
    <col min="30" max="31" width="10.7109375" style="55"/>
    <col min="32" max="32" width="29.140625" style="55" customWidth="1"/>
    <col min="33" max="33" width="25.28515625" style="55" customWidth="1"/>
    <col min="34" max="34" width="11.28515625" style="55" customWidth="1"/>
    <col min="35" max="35" width="14.7109375" style="399" customWidth="1"/>
    <col min="36" max="36" width="14.42578125" style="55" customWidth="1"/>
    <col min="37" max="37" width="15" style="55" customWidth="1"/>
    <col min="38" max="38" width="21.140625" style="55" customWidth="1"/>
    <col min="39" max="39" width="11.85546875" style="55" customWidth="1"/>
    <col min="40" max="40" width="12.140625" style="55" customWidth="1"/>
    <col min="41" max="41" width="13.28515625" style="55" customWidth="1"/>
    <col min="42" max="42" width="11.7109375" style="55" bestFit="1" customWidth="1"/>
    <col min="43" max="43" width="13.5703125" style="55" bestFit="1" customWidth="1"/>
    <col min="44" max="44" width="12.85546875" style="55" customWidth="1"/>
    <col min="45" max="45" width="13" style="55" customWidth="1"/>
    <col min="46" max="46" width="12" style="55" customWidth="1"/>
    <col min="47" max="47" width="12.85546875" style="55" customWidth="1"/>
    <col min="48" max="48" width="12.42578125" style="55" customWidth="1"/>
    <col min="49" max="49" width="13.5703125" style="55" customWidth="1"/>
    <col min="50" max="50" width="12.5703125" style="55" customWidth="1"/>
    <col min="51" max="51" width="13.28515625" style="55" customWidth="1"/>
    <col min="52" max="52" width="36" style="380" customWidth="1"/>
    <col min="53" max="54" width="10.7109375" style="55"/>
    <col min="55" max="55" width="5.7109375" style="55" bestFit="1" customWidth="1"/>
    <col min="56" max="56" width="90.140625" style="55" customWidth="1"/>
    <col min="57" max="57" width="11.140625" style="55" bestFit="1" customWidth="1"/>
    <col min="58" max="59" width="11.7109375" style="55" customWidth="1"/>
    <col min="60" max="60" width="12.28515625" style="55" bestFit="1" customWidth="1"/>
    <col min="61" max="68" width="11.7109375" style="55" customWidth="1"/>
    <col min="69" max="69" width="14.42578125" style="55" customWidth="1"/>
    <col min="70" max="73" width="2.5703125" style="55" bestFit="1" customWidth="1"/>
    <col min="74" max="75" width="10.7109375" style="55"/>
    <col min="76" max="76" width="5.7109375" style="55" bestFit="1" customWidth="1"/>
    <col min="77" max="77" width="51" style="55" customWidth="1"/>
    <col min="78" max="78" width="16" style="55" bestFit="1" customWidth="1"/>
    <col min="79" max="79" width="16.28515625" style="55" customWidth="1"/>
    <col min="80" max="80" width="20.42578125" style="55" bestFit="1" customWidth="1"/>
    <col min="81" max="81" width="13.5703125" style="55" bestFit="1" customWidth="1"/>
    <col min="82" max="82" width="11.7109375" style="55" customWidth="1"/>
    <col min="83" max="83" width="10.5703125" style="55" customWidth="1"/>
    <col min="84" max="84" width="13.42578125" style="55" customWidth="1"/>
    <col min="85" max="85" width="12" style="55" bestFit="1" customWidth="1"/>
    <col min="86" max="86" width="12.28515625" style="55" customWidth="1"/>
    <col min="87" max="87" width="10.7109375" style="55" customWidth="1"/>
    <col min="88" max="88" width="11.140625" style="55" customWidth="1"/>
    <col min="89" max="89" width="11.5703125" style="55" customWidth="1"/>
    <col min="90" max="91" width="11.85546875" style="55" customWidth="1"/>
    <col min="92" max="97" width="2.7109375" style="55" bestFit="1" customWidth="1"/>
    <col min="98" max="99" width="10.7109375" style="55"/>
    <col min="100" max="100" width="37.7109375" style="55" customWidth="1"/>
    <col min="101" max="102" width="13" style="55" bestFit="1" customWidth="1"/>
    <col min="103" max="103" width="22.7109375" style="55" customWidth="1"/>
    <col min="104" max="16384" width="10.7109375" style="55"/>
  </cols>
  <sheetData>
    <row r="1" spans="1:118" ht="51.95" customHeight="1">
      <c r="A1" s="160" t="s">
        <v>116</v>
      </c>
      <c r="Y1" s="162" t="s">
        <v>117</v>
      </c>
      <c r="AF1" s="160" t="s">
        <v>118</v>
      </c>
      <c r="AG1" s="55" t="s">
        <v>119</v>
      </c>
      <c r="AN1" s="164"/>
      <c r="BD1" s="160" t="s">
        <v>120</v>
      </c>
      <c r="BE1" s="729" t="s">
        <v>121</v>
      </c>
      <c r="BY1" s="604" t="s">
        <v>122</v>
      </c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V1" s="160" t="s">
        <v>123</v>
      </c>
      <c r="CW1" s="55" t="s">
        <v>124</v>
      </c>
    </row>
    <row r="2" spans="1:118" ht="17.25">
      <c r="Y2" s="286" t="s">
        <v>125</v>
      </c>
      <c r="Z2" s="286"/>
      <c r="AA2" s="286"/>
      <c r="AF2" s="165"/>
      <c r="AG2" s="165"/>
      <c r="AH2" s="165"/>
      <c r="AI2" s="400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381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Y2" s="605" t="str">
        <f>C4</f>
        <v>Hiland Office</v>
      </c>
      <c r="BZ2" s="606" t="s">
        <v>1</v>
      </c>
      <c r="CA2" s="606" t="s">
        <v>1</v>
      </c>
      <c r="CB2" s="606" t="s">
        <v>1</v>
      </c>
      <c r="CC2" s="606" t="s">
        <v>1</v>
      </c>
      <c r="CD2" s="606" t="s">
        <v>1</v>
      </c>
      <c r="CE2" s="606" t="s">
        <v>1</v>
      </c>
      <c r="CF2" s="606" t="s">
        <v>1</v>
      </c>
      <c r="CG2" s="606" t="s">
        <v>1</v>
      </c>
      <c r="CH2" s="606" t="s">
        <v>1</v>
      </c>
      <c r="CI2" s="606" t="s">
        <v>1</v>
      </c>
      <c r="CJ2" s="606" t="s">
        <v>1</v>
      </c>
      <c r="CK2" s="606" t="s">
        <v>1</v>
      </c>
      <c r="CL2" s="606" t="s">
        <v>1</v>
      </c>
      <c r="CM2" s="606" t="s">
        <v>1</v>
      </c>
      <c r="CN2" s="606" t="s">
        <v>1</v>
      </c>
      <c r="CO2" s="606" t="s">
        <v>1</v>
      </c>
      <c r="CP2" s="606" t="s">
        <v>1</v>
      </c>
      <c r="CQ2" s="606" t="s">
        <v>1</v>
      </c>
      <c r="CR2" s="606" t="s">
        <v>1</v>
      </c>
      <c r="CS2" s="449"/>
      <c r="CT2" s="449"/>
    </row>
    <row r="3" spans="1:118" ht="37.5">
      <c r="A3" s="837" t="s">
        <v>125</v>
      </c>
      <c r="B3" s="837"/>
      <c r="C3" s="837"/>
      <c r="E3" s="168"/>
      <c r="F3" s="169"/>
      <c r="Y3" s="793" t="s">
        <v>126</v>
      </c>
      <c r="Z3" s="263"/>
      <c r="AA3" s="287">
        <f>(1+C18)*AA12+AA29*C30+C17</f>
        <v>25407936.243000001</v>
      </c>
      <c r="AB3" s="163" t="s">
        <v>127</v>
      </c>
      <c r="AF3" s="170" t="s">
        <v>128</v>
      </c>
      <c r="AG3" s="170"/>
      <c r="AH3" s="170"/>
      <c r="AI3" s="401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382"/>
      <c r="BA3" s="170"/>
      <c r="BB3" s="170"/>
      <c r="BC3" s="293"/>
      <c r="BD3" s="170" t="s">
        <v>128</v>
      </c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1"/>
      <c r="BY3" s="512" t="s">
        <v>1</v>
      </c>
      <c r="BZ3" s="494" t="s">
        <v>1</v>
      </c>
      <c r="CA3" s="494" t="s">
        <v>1</v>
      </c>
      <c r="CB3" s="467" t="s">
        <v>1</v>
      </c>
      <c r="CC3" s="467" t="s">
        <v>1</v>
      </c>
      <c r="CD3" s="467" t="s">
        <v>1</v>
      </c>
      <c r="CE3" s="467" t="s">
        <v>1</v>
      </c>
      <c r="CF3" s="467" t="s">
        <v>1</v>
      </c>
      <c r="CG3" s="467" t="s">
        <v>1</v>
      </c>
      <c r="CH3" s="467" t="s">
        <v>1</v>
      </c>
      <c r="CI3" s="467" t="s">
        <v>1</v>
      </c>
      <c r="CJ3" s="467" t="s">
        <v>1</v>
      </c>
      <c r="CK3" s="467" t="s">
        <v>1</v>
      </c>
      <c r="CL3" s="467" t="s">
        <v>1</v>
      </c>
      <c r="CM3" s="467" t="s">
        <v>1</v>
      </c>
      <c r="CN3" s="467" t="s">
        <v>1</v>
      </c>
      <c r="CO3" s="467" t="s">
        <v>1</v>
      </c>
      <c r="CP3" s="467" t="s">
        <v>1</v>
      </c>
      <c r="CQ3" s="467" t="s">
        <v>1</v>
      </c>
      <c r="CR3" s="467" t="s">
        <v>1</v>
      </c>
      <c r="CS3" s="449"/>
      <c r="CT3" s="449"/>
      <c r="CV3" s="231"/>
      <c r="CW3" s="231" t="s">
        <v>46</v>
      </c>
      <c r="CX3" s="231" t="s">
        <v>129</v>
      </c>
      <c r="CY3" s="248" t="s">
        <v>130</v>
      </c>
      <c r="CZ3" s="598"/>
      <c r="DA3" s="249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</row>
    <row r="4" spans="1:118" ht="16.5">
      <c r="A4" s="35" t="s">
        <v>131</v>
      </c>
      <c r="B4" s="174"/>
      <c r="C4" s="36" t="s">
        <v>132</v>
      </c>
      <c r="F4" s="175"/>
      <c r="Y4" s="793" t="s">
        <v>133</v>
      </c>
      <c r="Z4" s="263"/>
      <c r="AA4" s="288">
        <f>AA6/AA12</f>
        <v>6.5000013024073072E-2</v>
      </c>
      <c r="AB4" s="163" t="s">
        <v>134</v>
      </c>
      <c r="AF4" s="165"/>
      <c r="AG4" s="165"/>
      <c r="AH4" s="165"/>
      <c r="AI4" s="400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381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Y4" s="607" t="s">
        <v>3</v>
      </c>
      <c r="BZ4" s="469" t="s">
        <v>1</v>
      </c>
      <c r="CA4" s="470"/>
      <c r="CB4" s="469" t="s">
        <v>1</v>
      </c>
      <c r="CC4" s="471"/>
      <c r="CD4" s="469"/>
      <c r="CE4" s="469"/>
      <c r="CF4" s="469"/>
      <c r="CG4" s="469" t="s">
        <v>1</v>
      </c>
      <c r="CH4" s="469" t="s">
        <v>1</v>
      </c>
      <c r="CI4" s="469" t="s">
        <v>1</v>
      </c>
      <c r="CJ4" s="469" t="s">
        <v>1</v>
      </c>
      <c r="CK4" s="469" t="s">
        <v>1</v>
      </c>
      <c r="CL4" s="469" t="s">
        <v>1</v>
      </c>
      <c r="CM4" s="469" t="s">
        <v>1</v>
      </c>
      <c r="CN4" s="469" t="s">
        <v>1</v>
      </c>
      <c r="CO4" s="469" t="s">
        <v>1</v>
      </c>
      <c r="CP4" s="469" t="s">
        <v>1</v>
      </c>
      <c r="CQ4" s="608" t="s">
        <v>1</v>
      </c>
      <c r="CR4" s="467" t="s">
        <v>1</v>
      </c>
      <c r="CS4" s="449"/>
      <c r="CT4" s="449"/>
      <c r="CV4" s="792" t="s">
        <v>135</v>
      </c>
      <c r="CW4" s="441">
        <f>F90</f>
        <v>645198</v>
      </c>
      <c r="CX4" s="441">
        <f>H90</f>
        <v>782198</v>
      </c>
      <c r="CY4" s="446">
        <f>J90</f>
        <v>782198</v>
      </c>
    </row>
    <row r="5" spans="1:118" ht="24.75">
      <c r="A5" s="35" t="s">
        <v>136</v>
      </c>
      <c r="B5" s="174"/>
      <c r="C5" s="37" t="s">
        <v>137</v>
      </c>
      <c r="F5" s="177"/>
      <c r="Y5" s="793" t="s">
        <v>138</v>
      </c>
      <c r="Z5" s="263"/>
      <c r="AA5" s="289">
        <f>AA12/C16</f>
        <v>490.16924</v>
      </c>
      <c r="AB5" s="163" t="s">
        <v>139</v>
      </c>
      <c r="AF5" s="165"/>
      <c r="AG5" s="165"/>
      <c r="AH5" s="165"/>
      <c r="AI5" s="400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381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Y5" s="609" t="s">
        <v>5</v>
      </c>
      <c r="BZ5" s="467" t="s">
        <v>1</v>
      </c>
      <c r="CA5" s="473"/>
      <c r="CB5" s="467" t="s">
        <v>7</v>
      </c>
      <c r="CC5" s="467"/>
      <c r="CD5" s="467"/>
      <c r="CE5" s="467"/>
      <c r="CF5" s="467"/>
      <c r="CG5" s="467" t="s">
        <v>1</v>
      </c>
      <c r="CH5" s="467" t="s">
        <v>1</v>
      </c>
      <c r="CI5" s="467" t="s">
        <v>1</v>
      </c>
      <c r="CJ5" s="467" t="s">
        <v>1</v>
      </c>
      <c r="CK5" s="467" t="s">
        <v>1</v>
      </c>
      <c r="CL5" s="467" t="s">
        <v>1</v>
      </c>
      <c r="CM5" s="467" t="s">
        <v>1</v>
      </c>
      <c r="CN5" s="467" t="s">
        <v>1</v>
      </c>
      <c r="CO5" s="467" t="s">
        <v>1</v>
      </c>
      <c r="CP5" s="467" t="s">
        <v>1</v>
      </c>
      <c r="CQ5" s="610" t="s">
        <v>1</v>
      </c>
      <c r="CR5" s="467" t="s">
        <v>1</v>
      </c>
      <c r="CS5" s="449"/>
      <c r="CT5" s="449"/>
      <c r="CV5" s="792" t="s">
        <v>140</v>
      </c>
      <c r="CW5" s="441">
        <f>F91</f>
        <v>322597.19999999995</v>
      </c>
      <c r="CX5" s="441">
        <f>H91</f>
        <v>322597.19999999995</v>
      </c>
      <c r="CY5" s="446">
        <f>J91</f>
        <v>322597.19999999995</v>
      </c>
    </row>
    <row r="6" spans="1:118" ht="18.75">
      <c r="A6" s="35"/>
      <c r="B6" s="174"/>
      <c r="C6" s="38"/>
      <c r="Y6" s="790" t="s">
        <v>141</v>
      </c>
      <c r="Z6" s="263"/>
      <c r="AA6" s="290">
        <f>BG23</f>
        <v>1593050.3491999998</v>
      </c>
      <c r="AB6" s="163" t="s">
        <v>142</v>
      </c>
      <c r="AF6" s="179" t="s">
        <v>143</v>
      </c>
      <c r="AG6" s="180"/>
      <c r="AH6" s="180"/>
      <c r="AI6" s="402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383"/>
      <c r="BA6" s="180"/>
      <c r="BB6" s="180"/>
      <c r="BC6" s="181"/>
      <c r="BD6" s="179" t="str">
        <f>UPPER("Property-Level Cash Flow and Returns")</f>
        <v>PROPERTY-LEVEL CASH FLOW AND RETURNS</v>
      </c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1"/>
      <c r="BY6" s="611" t="s">
        <v>1</v>
      </c>
      <c r="BZ6" s="449" t="s">
        <v>1</v>
      </c>
      <c r="CA6" s="449"/>
      <c r="CB6" s="449"/>
      <c r="CC6" s="449"/>
      <c r="CD6" s="449"/>
      <c r="CE6" s="449"/>
      <c r="CF6" s="449"/>
      <c r="CG6" s="449" t="s">
        <v>1</v>
      </c>
      <c r="CH6" s="449" t="s">
        <v>1</v>
      </c>
      <c r="CI6" s="449" t="s">
        <v>1</v>
      </c>
      <c r="CJ6" s="467" t="s">
        <v>1</v>
      </c>
      <c r="CK6" s="449" t="s">
        <v>1</v>
      </c>
      <c r="CL6" s="449" t="s">
        <v>1</v>
      </c>
      <c r="CM6" s="449" t="s">
        <v>1</v>
      </c>
      <c r="CN6" s="449" t="s">
        <v>1</v>
      </c>
      <c r="CO6" s="449" t="s">
        <v>1</v>
      </c>
      <c r="CP6" s="449" t="s">
        <v>1</v>
      </c>
      <c r="CQ6" s="612" t="s">
        <v>1</v>
      </c>
      <c r="CR6" s="449" t="s">
        <v>1</v>
      </c>
      <c r="CS6" s="449"/>
      <c r="CT6" s="449"/>
      <c r="CV6" s="792" t="s">
        <v>144</v>
      </c>
      <c r="CW6" s="441">
        <f>F92</f>
        <v>258085.19999999998</v>
      </c>
      <c r="CX6" s="441">
        <f>H92</f>
        <v>258085.19999999998</v>
      </c>
      <c r="CY6" s="446">
        <f>J92</f>
        <v>258085.19999999998</v>
      </c>
    </row>
    <row r="7" spans="1:118" ht="16.5">
      <c r="A7" s="255" t="s">
        <v>145</v>
      </c>
      <c r="B7" s="183"/>
      <c r="C7" s="37" t="s">
        <v>146</v>
      </c>
      <c r="Y7" s="790" t="s">
        <v>147</v>
      </c>
      <c r="Z7" s="263"/>
      <c r="AA7" s="290">
        <f>BI23</f>
        <v>1568002.1472</v>
      </c>
      <c r="AB7" s="163" t="s">
        <v>142</v>
      </c>
      <c r="AF7" s="184" t="str">
        <f>UPPER(_xlfn.SINGLE(Name))</f>
        <v>HILAND OFFICE</v>
      </c>
      <c r="AG7" s="185"/>
      <c r="AH7" s="185"/>
      <c r="AI7" s="40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384"/>
      <c r="BA7" s="185"/>
      <c r="BB7" s="185"/>
      <c r="BC7" s="165"/>
      <c r="BD7" s="184" t="str" cm="1">
        <f t="array" ref="BD7">UPPER(Name)</f>
        <v>HILAND OFFICE</v>
      </c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65"/>
      <c r="BY7" s="613" t="s">
        <v>8</v>
      </c>
      <c r="BZ7" s="476" t="s">
        <v>9</v>
      </c>
      <c r="CA7" s="476" t="s">
        <v>10</v>
      </c>
      <c r="CB7" s="449"/>
      <c r="CC7" s="475"/>
      <c r="CD7" s="449"/>
      <c r="CE7" s="449"/>
      <c r="CF7" s="449"/>
      <c r="CG7" s="449" t="s">
        <v>1</v>
      </c>
      <c r="CH7" s="449" t="s">
        <v>1</v>
      </c>
      <c r="CI7" s="449" t="s">
        <v>1</v>
      </c>
      <c r="CJ7" s="467" t="s">
        <v>1</v>
      </c>
      <c r="CK7" s="449" t="s">
        <v>1</v>
      </c>
      <c r="CL7" s="449" t="s">
        <v>1</v>
      </c>
      <c r="CM7" s="449" t="s">
        <v>1</v>
      </c>
      <c r="CN7" s="449" t="s">
        <v>1</v>
      </c>
      <c r="CO7" s="449" t="s">
        <v>1</v>
      </c>
      <c r="CP7" s="449" t="s">
        <v>1</v>
      </c>
      <c r="CQ7" s="612" t="s">
        <v>1</v>
      </c>
      <c r="CR7" s="449" t="s">
        <v>1</v>
      </c>
      <c r="CS7" s="449"/>
      <c r="CT7" s="449"/>
      <c r="CV7" s="792" t="s">
        <v>148</v>
      </c>
      <c r="CW7" s="441">
        <f>F93</f>
        <v>387120</v>
      </c>
      <c r="CX7" s="441">
        <f>H93</f>
        <v>387120</v>
      </c>
      <c r="CY7" s="446">
        <f>J93</f>
        <v>387120</v>
      </c>
    </row>
    <row r="8" spans="1:118" ht="24.75" customHeight="1">
      <c r="A8" s="35" t="s">
        <v>149</v>
      </c>
      <c r="B8" s="174"/>
      <c r="C8" s="39">
        <v>45839</v>
      </c>
      <c r="D8" s="187"/>
      <c r="Y8" s="790" t="s">
        <v>150</v>
      </c>
      <c r="Z8" s="263"/>
      <c r="AA8" s="288">
        <f>C13+(C10*(C12/10000))</f>
        <v>7.0000000000000007E-2</v>
      </c>
      <c r="AB8" s="163" t="s">
        <v>151</v>
      </c>
      <c r="AF8" s="806" t="s">
        <v>152</v>
      </c>
      <c r="AG8" s="807"/>
      <c r="AH8" s="61"/>
      <c r="AI8" s="400"/>
      <c r="AJ8" s="189"/>
      <c r="AK8" s="190">
        <f>C16</f>
        <v>50000</v>
      </c>
      <c r="AL8" s="58"/>
      <c r="AM8" s="191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385"/>
      <c r="BA8" s="58"/>
      <c r="BB8" s="58"/>
      <c r="BC8" s="165"/>
      <c r="BD8" s="150"/>
      <c r="BE8" s="275"/>
      <c r="BF8" s="308">
        <v>0</v>
      </c>
      <c r="BG8" s="309">
        <f>IF(OR(BF8="",BF8=Analysis_Period+1),"",BF8+1)</f>
        <v>1</v>
      </c>
      <c r="BH8" s="309">
        <f t="shared" ref="BH8:BU8" si="0">IF(OR(BG8="",BG8=_xlfn.SINGLE(Analysis_Period)+1),"",BG8+1)</f>
        <v>2</v>
      </c>
      <c r="BI8" s="309">
        <f t="shared" si="0"/>
        <v>3</v>
      </c>
      <c r="BJ8" s="309">
        <f t="shared" si="0"/>
        <v>4</v>
      </c>
      <c r="BK8" s="309">
        <f t="shared" si="0"/>
        <v>5</v>
      </c>
      <c r="BL8" s="309">
        <f t="shared" si="0"/>
        <v>6</v>
      </c>
      <c r="BM8" s="309">
        <f t="shared" si="0"/>
        <v>7</v>
      </c>
      <c r="BN8" s="309">
        <f t="shared" si="0"/>
        <v>8</v>
      </c>
      <c r="BO8" s="309">
        <f t="shared" si="0"/>
        <v>9</v>
      </c>
      <c r="BP8" s="309">
        <f t="shared" si="0"/>
        <v>10</v>
      </c>
      <c r="BQ8" s="309">
        <f t="shared" si="0"/>
        <v>11</v>
      </c>
      <c r="BR8" s="309" t="str">
        <f t="shared" si="0"/>
        <v/>
      </c>
      <c r="BS8" s="309" t="str">
        <f t="shared" si="0"/>
        <v/>
      </c>
      <c r="BT8" s="309" t="str">
        <f t="shared" si="0"/>
        <v/>
      </c>
      <c r="BU8" s="309" t="str">
        <f t="shared" si="0"/>
        <v/>
      </c>
      <c r="BV8" s="165"/>
      <c r="BY8" s="611" t="s">
        <v>11</v>
      </c>
      <c r="BZ8" s="477">
        <v>0.05</v>
      </c>
      <c r="CA8" s="478">
        <f>CA10*BZ8</f>
        <v>319941.01157645561</v>
      </c>
      <c r="CB8" s="449" t="s">
        <v>1</v>
      </c>
      <c r="CC8" s="449" t="s">
        <v>1</v>
      </c>
      <c r="CD8" s="479" t="s">
        <v>1</v>
      </c>
      <c r="CE8" s="449" t="s">
        <v>1</v>
      </c>
      <c r="CF8" s="449" t="s">
        <v>1</v>
      </c>
      <c r="CG8" s="449" t="s">
        <v>1</v>
      </c>
      <c r="CH8" s="480" t="s">
        <v>12</v>
      </c>
      <c r="CI8" s="481" t="s">
        <v>13</v>
      </c>
      <c r="CJ8" s="449" t="s">
        <v>1</v>
      </c>
      <c r="CK8" s="449" t="s">
        <v>1</v>
      </c>
      <c r="CL8" s="449" t="s">
        <v>1</v>
      </c>
      <c r="CM8" s="449" t="s">
        <v>1</v>
      </c>
      <c r="CN8" s="449" t="s">
        <v>1</v>
      </c>
      <c r="CO8" s="449" t="s">
        <v>1</v>
      </c>
      <c r="CP8" s="449" t="s">
        <v>1</v>
      </c>
      <c r="CQ8" s="612" t="s">
        <v>1</v>
      </c>
      <c r="CR8" s="449" t="s">
        <v>1</v>
      </c>
      <c r="CS8" s="449"/>
      <c r="CT8" s="449"/>
      <c r="CV8" s="792" t="s">
        <v>153</v>
      </c>
      <c r="CW8" s="441"/>
      <c r="CX8" s="441"/>
    </row>
    <row r="9" spans="1:118" ht="43.5" customHeight="1">
      <c r="A9" s="35" t="s">
        <v>154</v>
      </c>
      <c r="B9" s="174"/>
      <c r="C9" s="40" t="s">
        <v>155</v>
      </c>
      <c r="Y9" s="790" t="s">
        <v>156</v>
      </c>
      <c r="Z9" s="263"/>
      <c r="AA9" s="257">
        <f ca="1">OFFSET(BG32,0,C10-1)</f>
        <v>24365431.886493862</v>
      </c>
      <c r="AB9" s="163" t="s">
        <v>157</v>
      </c>
      <c r="AF9" s="808"/>
      <c r="AG9" s="809" t="str">
        <f>IF(AF9="Simple","","See row 45")</f>
        <v>See row 45</v>
      </c>
      <c r="AH9" s="61"/>
      <c r="AI9" s="403"/>
      <c r="AJ9" s="62" t="str">
        <f>B37</f>
        <v>Year 0</v>
      </c>
      <c r="AK9" s="62" t="str">
        <f>C37</f>
        <v>T12</v>
      </c>
      <c r="AL9" s="62" t="s">
        <v>130</v>
      </c>
      <c r="AM9" s="63" t="str">
        <f>"/"&amp;C9</f>
        <v>/SF</v>
      </c>
      <c r="AN9" s="64"/>
      <c r="AO9" s="65">
        <f t="shared" ref="AO9:AY9" si="1">BG8</f>
        <v>1</v>
      </c>
      <c r="AP9" s="65">
        <f t="shared" si="1"/>
        <v>2</v>
      </c>
      <c r="AQ9" s="65">
        <f t="shared" si="1"/>
        <v>3</v>
      </c>
      <c r="AR9" s="65">
        <f t="shared" si="1"/>
        <v>4</v>
      </c>
      <c r="AS9" s="65">
        <f t="shared" si="1"/>
        <v>5</v>
      </c>
      <c r="AT9" s="65">
        <f t="shared" si="1"/>
        <v>6</v>
      </c>
      <c r="AU9" s="65">
        <f t="shared" si="1"/>
        <v>7</v>
      </c>
      <c r="AV9" s="65">
        <f t="shared" si="1"/>
        <v>8</v>
      </c>
      <c r="AW9" s="65">
        <f t="shared" si="1"/>
        <v>9</v>
      </c>
      <c r="AX9" s="65">
        <f t="shared" si="1"/>
        <v>10</v>
      </c>
      <c r="AY9" s="65">
        <f t="shared" si="1"/>
        <v>11</v>
      </c>
      <c r="AZ9" s="386"/>
      <c r="BA9" s="65"/>
      <c r="BB9" s="65"/>
      <c r="BC9" s="294"/>
      <c r="BD9" s="310" t="s">
        <v>158</v>
      </c>
      <c r="BE9" s="311" t="s">
        <v>75</v>
      </c>
      <c r="BF9" s="312">
        <f>EOMONTH(Analysis_Start,-1)</f>
        <v>45838</v>
      </c>
      <c r="BG9" s="312">
        <f>EOMONTH(Analysis_Start,11)</f>
        <v>46203</v>
      </c>
      <c r="BH9" s="312">
        <f t="shared" ref="BH9:BU9" si="2">_xlfn.SINGLE(IF(BH8="","",EOMONTH(Analysis_Start,(11*BH8)+BG8)))</f>
        <v>46568</v>
      </c>
      <c r="BI9" s="312">
        <f t="shared" si="2"/>
        <v>46934</v>
      </c>
      <c r="BJ9" s="312">
        <f t="shared" si="2"/>
        <v>47299</v>
      </c>
      <c r="BK9" s="312">
        <f t="shared" si="2"/>
        <v>47664</v>
      </c>
      <c r="BL9" s="312">
        <f t="shared" si="2"/>
        <v>48029</v>
      </c>
      <c r="BM9" s="312">
        <f t="shared" si="2"/>
        <v>48395</v>
      </c>
      <c r="BN9" s="312">
        <f t="shared" si="2"/>
        <v>48760</v>
      </c>
      <c r="BO9" s="312">
        <f t="shared" si="2"/>
        <v>49125</v>
      </c>
      <c r="BP9" s="312">
        <f t="shared" si="2"/>
        <v>49490</v>
      </c>
      <c r="BQ9" s="312">
        <f>_xlfn.SINGLE(IF(BQ8="","",EOMONTH(Analysis_Start,(11*BQ8)+BP8)))</f>
        <v>49856</v>
      </c>
      <c r="BR9" s="312" t="str">
        <f t="shared" si="2"/>
        <v/>
      </c>
      <c r="BS9" s="312" t="str">
        <f t="shared" si="2"/>
        <v/>
      </c>
      <c r="BT9" s="312" t="str">
        <f t="shared" si="2"/>
        <v/>
      </c>
      <c r="BU9" s="312" t="str">
        <f t="shared" si="2"/>
        <v/>
      </c>
      <c r="BV9" s="165"/>
      <c r="BY9" s="611" t="s">
        <v>14</v>
      </c>
      <c r="BZ9" s="482">
        <f>100%-BZ8</f>
        <v>0.95</v>
      </c>
      <c r="CA9" s="483">
        <f>CA10*BZ9</f>
        <v>6078879.219952656</v>
      </c>
      <c r="CB9" s="449" t="s">
        <v>1</v>
      </c>
      <c r="CC9" s="449" t="s">
        <v>1</v>
      </c>
      <c r="CD9" s="479" t="s">
        <v>1</v>
      </c>
      <c r="CE9" s="449" t="s">
        <v>1</v>
      </c>
      <c r="CF9" s="449" t="s">
        <v>1</v>
      </c>
      <c r="CG9" s="449" t="s">
        <v>1</v>
      </c>
      <c r="CH9" s="480" t="s">
        <v>15</v>
      </c>
      <c r="CI9" s="485" t="e">
        <f>(CA23+CA32)/1000000</f>
        <v>#VALUE!</v>
      </c>
      <c r="CJ9" s="449" t="s">
        <v>1</v>
      </c>
      <c r="CK9" s="449" t="s">
        <v>1</v>
      </c>
      <c r="CL9" s="449" t="s">
        <v>1</v>
      </c>
      <c r="CM9" s="449" t="s">
        <v>1</v>
      </c>
      <c r="CN9" s="449" t="s">
        <v>1</v>
      </c>
      <c r="CO9" s="449" t="s">
        <v>1</v>
      </c>
      <c r="CP9" s="449" t="s">
        <v>1</v>
      </c>
      <c r="CQ9" s="612" t="s">
        <v>1</v>
      </c>
      <c r="CR9" s="449" t="s">
        <v>1</v>
      </c>
      <c r="CS9" s="449"/>
      <c r="CT9" s="449"/>
      <c r="CV9" s="792" t="s">
        <v>159</v>
      </c>
      <c r="CW9" s="441"/>
      <c r="CX9" s="441"/>
    </row>
    <row r="10" spans="1:118" ht="16.5">
      <c r="A10" s="35" t="s">
        <v>160</v>
      </c>
      <c r="B10" s="174"/>
      <c r="C10" s="36">
        <v>10</v>
      </c>
      <c r="Y10" s="253"/>
      <c r="Z10" s="253"/>
      <c r="AF10" s="810">
        <f>_xlfn.RRI(Analysis_Period-1,AO10,INDEX(AO10:BB10,1,Analysis_Period))</f>
        <v>1.0646292707510829E-2</v>
      </c>
      <c r="AG10" s="811" t="s">
        <v>161</v>
      </c>
      <c r="AH10" s="61"/>
      <c r="AI10" s="399" t="s">
        <v>162</v>
      </c>
      <c r="AJ10" s="307">
        <f>CW19</f>
        <v>1613000.4</v>
      </c>
      <c r="AK10" s="307">
        <f>CX19</f>
        <v>1750000.4</v>
      </c>
      <c r="AL10" s="307">
        <f>CY19</f>
        <v>1750000.4</v>
      </c>
      <c r="AM10" s="69">
        <f>+AO10/C16</f>
        <v>35.000008000000001</v>
      </c>
      <c r="AN10" s="70"/>
      <c r="AO10" s="71">
        <f>+AL10</f>
        <v>1750000.4</v>
      </c>
      <c r="AP10" s="72">
        <f>AO10*(1+F69)</f>
        <v>1750000.4</v>
      </c>
      <c r="AQ10" s="72">
        <f>AP10*(1+G69)</f>
        <v>1750000.4</v>
      </c>
      <c r="AR10" s="72">
        <f t="shared" ref="AR10:AY10" si="3">AQ10*(1+H69)</f>
        <v>1750000.4</v>
      </c>
      <c r="AS10" s="72">
        <f t="shared" si="3"/>
        <v>1750000.4</v>
      </c>
      <c r="AT10" s="72">
        <f>AS10*(1+J69)</f>
        <v>1925000.44</v>
      </c>
      <c r="AU10" s="72">
        <f t="shared" si="3"/>
        <v>1925000.44</v>
      </c>
      <c r="AV10" s="72">
        <f t="shared" si="3"/>
        <v>1925000.44</v>
      </c>
      <c r="AW10" s="72">
        <f t="shared" si="3"/>
        <v>1925000.44</v>
      </c>
      <c r="AX10" s="72">
        <f t="shared" si="3"/>
        <v>1925000.44</v>
      </c>
      <c r="AY10" s="72">
        <f t="shared" si="3"/>
        <v>2117500.4840000002</v>
      </c>
      <c r="AZ10" s="380" t="s">
        <v>162</v>
      </c>
      <c r="BA10" s="73"/>
      <c r="BB10" s="73"/>
      <c r="BC10" s="295"/>
      <c r="BD10" s="829" t="s">
        <v>163</v>
      </c>
      <c r="BE10" s="314"/>
      <c r="BF10" s="315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165"/>
      <c r="BY10" s="611" t="s">
        <v>17</v>
      </c>
      <c r="BZ10" s="449" t="s">
        <v>1</v>
      </c>
      <c r="CA10" s="614">
        <f>SUM(CC42:CM42)</f>
        <v>6398820.231529112</v>
      </c>
      <c r="CB10" s="449" t="s">
        <v>1</v>
      </c>
      <c r="CC10" s="449" t="s">
        <v>1</v>
      </c>
      <c r="CD10" s="479" t="s">
        <v>1</v>
      </c>
      <c r="CE10" s="449" t="s">
        <v>1</v>
      </c>
      <c r="CF10" s="449" t="s">
        <v>1</v>
      </c>
      <c r="CG10" s="449" t="s">
        <v>1</v>
      </c>
      <c r="CH10" s="480" t="s">
        <v>18</v>
      </c>
      <c r="CI10" s="485">
        <f>SUM(CC38:CM38)/1000000</f>
        <v>7.9064472315291141</v>
      </c>
      <c r="CJ10" s="449" t="s">
        <v>1</v>
      </c>
      <c r="CK10" s="449" t="s">
        <v>1</v>
      </c>
      <c r="CL10" s="449" t="s">
        <v>1</v>
      </c>
      <c r="CM10" s="449" t="s">
        <v>1</v>
      </c>
      <c r="CN10" s="449" t="s">
        <v>1</v>
      </c>
      <c r="CO10" s="449" t="s">
        <v>1</v>
      </c>
      <c r="CP10" s="449" t="s">
        <v>1</v>
      </c>
      <c r="CQ10" s="612" t="s">
        <v>1</v>
      </c>
      <c r="CR10" s="449" t="s">
        <v>1</v>
      </c>
      <c r="CS10" s="449"/>
      <c r="CT10" s="449"/>
      <c r="CV10" s="792" t="s">
        <v>164</v>
      </c>
      <c r="CW10" s="441"/>
      <c r="CX10" s="441"/>
    </row>
    <row r="11" spans="1:118" ht="16.5">
      <c r="A11" s="35" t="s">
        <v>165</v>
      </c>
      <c r="B11" s="174"/>
      <c r="C11" s="41" t="s">
        <v>129</v>
      </c>
      <c r="Y11" s="258" t="s">
        <v>166</v>
      </c>
      <c r="Z11" s="258"/>
      <c r="AA11" s="258"/>
      <c r="AF11" s="810">
        <f>_xlfn.RRI(Analysis_Period-1,AO11,INDEX(AO11:BC11,1,Analysis_Period))</f>
        <v>1.0646292707510829E-2</v>
      </c>
      <c r="AG11" s="811" t="s">
        <v>167</v>
      </c>
      <c r="AH11" s="196"/>
      <c r="AI11" s="399" t="s">
        <v>168</v>
      </c>
      <c r="AJ11" s="68">
        <f t="shared" ref="AJ11:AL12" si="4">B39</f>
        <v>660000</v>
      </c>
      <c r="AK11" s="68">
        <f t="shared" si="4"/>
        <v>670000</v>
      </c>
      <c r="AL11" s="307">
        <f t="shared" si="4"/>
        <v>685000</v>
      </c>
      <c r="AM11" s="69">
        <f>+AO11/C16</f>
        <v>13.7</v>
      </c>
      <c r="AN11" s="70"/>
      <c r="AO11" s="71">
        <f>+AL11</f>
        <v>685000</v>
      </c>
      <c r="AP11" s="72">
        <f t="shared" ref="AP11:AY11" si="5">AO11*(1+F69)</f>
        <v>685000</v>
      </c>
      <c r="AQ11" s="72">
        <f t="shared" si="5"/>
        <v>685000</v>
      </c>
      <c r="AR11" s="72">
        <f t="shared" si="5"/>
        <v>685000</v>
      </c>
      <c r="AS11" s="72">
        <f t="shared" si="5"/>
        <v>685000</v>
      </c>
      <c r="AT11" s="72">
        <f t="shared" si="5"/>
        <v>753500.00000000012</v>
      </c>
      <c r="AU11" s="72">
        <f t="shared" si="5"/>
        <v>753500.00000000012</v>
      </c>
      <c r="AV11" s="72">
        <f t="shared" si="5"/>
        <v>753500.00000000012</v>
      </c>
      <c r="AW11" s="72">
        <f t="shared" si="5"/>
        <v>753500.00000000012</v>
      </c>
      <c r="AX11" s="72">
        <f t="shared" si="5"/>
        <v>753500.00000000012</v>
      </c>
      <c r="AY11" s="72">
        <f t="shared" si="5"/>
        <v>828850.00000000023</v>
      </c>
      <c r="AZ11" s="380" t="s">
        <v>168</v>
      </c>
      <c r="BA11" s="73"/>
      <c r="BB11" s="73"/>
      <c r="BC11" s="295"/>
      <c r="BD11" s="830" t="s">
        <v>169</v>
      </c>
      <c r="BE11" s="314"/>
      <c r="BF11" s="317">
        <f>AA12</f>
        <v>24508462</v>
      </c>
      <c r="BG11" s="317">
        <f t="shared" ref="BG11:BP11" si="6">(BG8&lt;=$C$10)*(BG8=0)*$C$20</f>
        <v>0</v>
      </c>
      <c r="BH11" s="317">
        <f t="shared" si="6"/>
        <v>0</v>
      </c>
      <c r="BI11" s="317">
        <f t="shared" si="6"/>
        <v>0</v>
      </c>
      <c r="BJ11" s="317">
        <f t="shared" si="6"/>
        <v>0</v>
      </c>
      <c r="BK11" s="317">
        <f t="shared" si="6"/>
        <v>0</v>
      </c>
      <c r="BL11" s="317">
        <f t="shared" si="6"/>
        <v>0</v>
      </c>
      <c r="BM11" s="317">
        <f t="shared" si="6"/>
        <v>0</v>
      </c>
      <c r="BN11" s="317">
        <f t="shared" si="6"/>
        <v>0</v>
      </c>
      <c r="BO11" s="317">
        <f t="shared" si="6"/>
        <v>0</v>
      </c>
      <c r="BP11" s="317">
        <f t="shared" si="6"/>
        <v>0</v>
      </c>
      <c r="BQ11" s="317" t="str">
        <f>IF(BQ8&gt;_xlfn.SINGLE(Analysis_Period),"",(BQ8=0)*'[1]Property Cash Flow'!$D$22)</f>
        <v/>
      </c>
      <c r="BR11" s="317" t="str">
        <f>IF(BR8&gt;_xlfn.SINGLE(Analysis_Period),"",(BR8=0)*'[1]Property Cash Flow'!$D$22)</f>
        <v/>
      </c>
      <c r="BS11" s="317" t="str">
        <f>IF(BS8&gt;_xlfn.SINGLE(Analysis_Period),"",(BS8=0)*'[1]Property Cash Flow'!$D$22)</f>
        <v/>
      </c>
      <c r="BT11" s="317" t="str">
        <f>IF(BT8&gt;_xlfn.SINGLE(Analysis_Period),"",(BT8=0)*'[1]Property Cash Flow'!$D$22)</f>
        <v/>
      </c>
      <c r="BU11" s="317" t="str">
        <f>IF(BU8&gt;_xlfn.SINGLE(Analysis_Period),"",(BU8=0)*'[1]Property Cash Flow'!$D$22)</f>
        <v/>
      </c>
      <c r="BV11" s="165"/>
      <c r="BY11" s="611" t="s">
        <v>1</v>
      </c>
      <c r="BZ11" s="449" t="s">
        <v>1</v>
      </c>
      <c r="CA11" s="473" t="s">
        <v>1</v>
      </c>
      <c r="CB11" s="449" t="s">
        <v>1</v>
      </c>
      <c r="CC11" s="449" t="s">
        <v>1</v>
      </c>
      <c r="CD11" s="479" t="s">
        <v>1</v>
      </c>
      <c r="CE11" s="449" t="s">
        <v>1</v>
      </c>
      <c r="CF11" s="449" t="s">
        <v>1</v>
      </c>
      <c r="CG11" s="449" t="s">
        <v>1</v>
      </c>
      <c r="CH11" s="449" t="s">
        <v>1</v>
      </c>
      <c r="CI11" s="449" t="s">
        <v>1</v>
      </c>
      <c r="CJ11" s="449" t="s">
        <v>1</v>
      </c>
      <c r="CK11" s="449" t="s">
        <v>1</v>
      </c>
      <c r="CL11" s="449" t="s">
        <v>1</v>
      </c>
      <c r="CM11" s="449" t="s">
        <v>1</v>
      </c>
      <c r="CN11" s="449" t="s">
        <v>1</v>
      </c>
      <c r="CO11" s="449" t="s">
        <v>1</v>
      </c>
      <c r="CP11" s="449" t="s">
        <v>1</v>
      </c>
      <c r="CQ11" s="612" t="s">
        <v>1</v>
      </c>
      <c r="CR11" s="449" t="s">
        <v>1</v>
      </c>
      <c r="CS11" s="449"/>
      <c r="CT11" s="449"/>
      <c r="CV11" s="792" t="s">
        <v>170</v>
      </c>
      <c r="CW11" s="441"/>
      <c r="CX11" s="441"/>
    </row>
    <row r="12" spans="1:118" ht="28.15" customHeight="1">
      <c r="A12" s="35" t="s">
        <v>171</v>
      </c>
      <c r="B12" s="174"/>
      <c r="C12" s="42">
        <v>5</v>
      </c>
      <c r="Y12" s="794" t="s">
        <v>169</v>
      </c>
      <c r="Z12" s="794"/>
      <c r="AA12" s="795">
        <f>IF(C7="Manual Input",C20,IF(C7="DCF",AA13,IF(C7="Cap Year 1 NOI",AA6/C13,AA14)))</f>
        <v>24508462</v>
      </c>
      <c r="AB12" s="198" t="s">
        <v>172</v>
      </c>
      <c r="AC12" s="199"/>
      <c r="AF12" s="810">
        <f>_xlfn.RRI(_xlfn.SINGLE(Analysis_Period)-1,AO12,_xlfn.SINGLE(INDEX(AO12:BC12,1,_xlfn.SINGLE(Analysis_Period))))</f>
        <v>1.0646292707510829E-2</v>
      </c>
      <c r="AG12" s="811" t="s">
        <v>173</v>
      </c>
      <c r="AH12" s="61"/>
      <c r="AI12" s="404" t="s">
        <v>174</v>
      </c>
      <c r="AJ12" s="68">
        <f t="shared" si="4"/>
        <v>98751</v>
      </c>
      <c r="AK12" s="68">
        <f t="shared" si="4"/>
        <v>99152</v>
      </c>
      <c r="AL12" s="307">
        <f t="shared" si="4"/>
        <v>100000</v>
      </c>
      <c r="AM12" s="75">
        <f>+AO12/C16</f>
        <v>2</v>
      </c>
      <c r="AN12" s="76"/>
      <c r="AO12" s="77">
        <f>+AL12</f>
        <v>100000</v>
      </c>
      <c r="AP12" s="72">
        <f>AO12*(1+F69)</f>
        <v>100000</v>
      </c>
      <c r="AQ12" s="72">
        <f t="shared" ref="AP12:AY12" si="7">AP12*(1+G69)</f>
        <v>100000</v>
      </c>
      <c r="AR12" s="72">
        <f t="shared" si="7"/>
        <v>100000</v>
      </c>
      <c r="AS12" s="72">
        <f t="shared" si="7"/>
        <v>100000</v>
      </c>
      <c r="AT12" s="72">
        <f t="shared" si="7"/>
        <v>110000.00000000001</v>
      </c>
      <c r="AU12" s="72">
        <f t="shared" si="7"/>
        <v>110000.00000000001</v>
      </c>
      <c r="AV12" s="72">
        <f t="shared" si="7"/>
        <v>110000.00000000001</v>
      </c>
      <c r="AW12" s="72">
        <f t="shared" si="7"/>
        <v>110000.00000000001</v>
      </c>
      <c r="AX12" s="72">
        <f t="shared" si="7"/>
        <v>110000.00000000001</v>
      </c>
      <c r="AY12" s="72">
        <f t="shared" si="7"/>
        <v>121000.00000000003</v>
      </c>
      <c r="AZ12" s="387" t="s">
        <v>174</v>
      </c>
      <c r="BA12" s="78"/>
      <c r="BB12" s="78"/>
      <c r="BC12" s="296"/>
      <c r="BD12" s="830" t="s">
        <v>175</v>
      </c>
      <c r="BE12" s="314"/>
      <c r="BF12" s="317">
        <f>C17</f>
        <v>250000</v>
      </c>
      <c r="BG12" s="317">
        <f t="shared" ref="BG12:BP12" si="8">(BG8&lt;=$C$10)*(BG8=0)*$C$20</f>
        <v>0</v>
      </c>
      <c r="BH12" s="317">
        <f t="shared" si="8"/>
        <v>0</v>
      </c>
      <c r="BI12" s="317">
        <f t="shared" si="8"/>
        <v>0</v>
      </c>
      <c r="BJ12" s="317">
        <f t="shared" si="8"/>
        <v>0</v>
      </c>
      <c r="BK12" s="317">
        <f t="shared" si="8"/>
        <v>0</v>
      </c>
      <c r="BL12" s="317">
        <f t="shared" si="8"/>
        <v>0</v>
      </c>
      <c r="BM12" s="317">
        <f t="shared" si="8"/>
        <v>0</v>
      </c>
      <c r="BN12" s="317">
        <f t="shared" si="8"/>
        <v>0</v>
      </c>
      <c r="BO12" s="317">
        <f t="shared" si="8"/>
        <v>0</v>
      </c>
      <c r="BP12" s="317">
        <f t="shared" si="8"/>
        <v>0</v>
      </c>
      <c r="BQ12" s="317" t="str">
        <f>IF(BQ8&gt;_xlfn.SINGLE(Analysis_Period),"",(BQ8=0)*'[1]Property Cash Flow'!AC10)</f>
        <v/>
      </c>
      <c r="BR12" s="317" t="str">
        <f>IF(BR8&gt;_xlfn.SINGLE(Analysis_Period),"",(BR8=0)*'[1]Property Cash Flow'!AD10)</f>
        <v/>
      </c>
      <c r="BS12" s="317" t="str">
        <f>IF(BS8&gt;_xlfn.SINGLE(Analysis_Period),"",(BS8=0)*'[1]Property Cash Flow'!AE10)</f>
        <v/>
      </c>
      <c r="BT12" s="317" t="str">
        <f>IF(BT8&gt;_xlfn.SINGLE(Analysis_Period),"",(BT8=0)*'[1]Property Cash Flow'!AF10)</f>
        <v/>
      </c>
      <c r="BU12" s="317" t="str">
        <f>IF(BU8&gt;_xlfn.SINGLE(Analysis_Period),"",(BU8=0)*'[1]Property Cash Flow'!AG10)</f>
        <v/>
      </c>
      <c r="BV12" s="165"/>
      <c r="BY12" s="615" t="s">
        <v>19</v>
      </c>
      <c r="BZ12" s="488" t="s">
        <v>4</v>
      </c>
      <c r="CA12" s="449" t="s">
        <v>1</v>
      </c>
      <c r="CB12" s="449" t="s">
        <v>1</v>
      </c>
      <c r="CC12" s="835" t="s">
        <v>20</v>
      </c>
      <c r="CD12" s="835"/>
      <c r="CE12" s="836" t="s">
        <v>21</v>
      </c>
      <c r="CF12" s="836"/>
      <c r="CG12" s="449" t="s">
        <v>1</v>
      </c>
      <c r="CH12" s="449" t="s">
        <v>1</v>
      </c>
      <c r="CI12" s="449" t="s">
        <v>1</v>
      </c>
      <c r="CJ12" s="449" t="s">
        <v>1</v>
      </c>
      <c r="CK12" s="449" t="s">
        <v>1</v>
      </c>
      <c r="CL12" s="449" t="s">
        <v>1</v>
      </c>
      <c r="CM12" s="449" t="s">
        <v>1</v>
      </c>
      <c r="CN12" s="449" t="s">
        <v>1</v>
      </c>
      <c r="CO12" s="449" t="s">
        <v>1</v>
      </c>
      <c r="CP12" s="449" t="s">
        <v>1</v>
      </c>
      <c r="CQ12" s="612" t="s">
        <v>1</v>
      </c>
      <c r="CR12" s="449" t="s">
        <v>1</v>
      </c>
      <c r="CS12" s="449"/>
      <c r="CT12" s="449"/>
      <c r="CV12" s="792" t="s">
        <v>176</v>
      </c>
      <c r="CW12" s="441"/>
      <c r="CX12" s="441"/>
    </row>
    <row r="13" spans="1:118" ht="37.5">
      <c r="A13" s="35" t="s">
        <v>177</v>
      </c>
      <c r="B13" s="174"/>
      <c r="C13" s="43">
        <v>6.5000000000000002E-2</v>
      </c>
      <c r="Y13" s="790" t="s">
        <v>178</v>
      </c>
      <c r="Z13" s="790"/>
      <c r="AA13" s="796">
        <f>NPV(C14,BG43:BQ43)</f>
        <v>21284123.182466652</v>
      </c>
      <c r="AB13" s="198" t="s">
        <v>179</v>
      </c>
      <c r="AC13" s="199"/>
      <c r="AF13" s="812">
        <f>_xlfn.RRI(_xlfn.SINGLE(Analysis_Period)-1,AO13,_xlfn.SINGLE(INDEX(AO13:BC13,1,_xlfn.SINGLE(Analysis_Period))))</f>
        <v>1.0646292707510829E-2</v>
      </c>
      <c r="AG13" s="813" t="s">
        <v>180</v>
      </c>
      <c r="AH13" s="202"/>
      <c r="AI13" s="404" t="s">
        <v>181</v>
      </c>
      <c r="AJ13" s="79">
        <f>SUM(AJ10:AJ12)</f>
        <v>2371751.4</v>
      </c>
      <c r="AK13" s="79">
        <f>SUM(AK10:AK12)</f>
        <v>2519152.4</v>
      </c>
      <c r="AL13" s="79">
        <f>SUM(AL10:AL12)</f>
        <v>2535000.4</v>
      </c>
      <c r="AM13" s="80">
        <f>SUM(AM10:AM12)</f>
        <v>50.700007999999997</v>
      </c>
      <c r="AN13" s="81"/>
      <c r="AO13" s="82">
        <f>SUM(AO10:AO12)</f>
        <v>2535000.4</v>
      </c>
      <c r="AP13" s="82">
        <f>SUM(AP10:AP12)</f>
        <v>2535000.4</v>
      </c>
      <c r="AQ13" s="82">
        <f>SUM(AQ10:AQ12)</f>
        <v>2535000.4</v>
      </c>
      <c r="AR13" s="82">
        <f>SUM(AR10:AR12)</f>
        <v>2535000.4</v>
      </c>
      <c r="AS13" s="82">
        <f t="shared" ref="AS13:AY13" si="9">SUM(AS10:AS12)</f>
        <v>2535000.4</v>
      </c>
      <c r="AT13" s="82">
        <f t="shared" si="9"/>
        <v>2788500.44</v>
      </c>
      <c r="AU13" s="82">
        <f t="shared" si="9"/>
        <v>2788500.44</v>
      </c>
      <c r="AV13" s="82">
        <f t="shared" si="9"/>
        <v>2788500.44</v>
      </c>
      <c r="AW13" s="82">
        <f t="shared" si="9"/>
        <v>2788500.44</v>
      </c>
      <c r="AX13" s="82">
        <f t="shared" si="9"/>
        <v>2788500.44</v>
      </c>
      <c r="AY13" s="82">
        <f t="shared" si="9"/>
        <v>3067350.4840000002</v>
      </c>
      <c r="AZ13" s="387" t="s">
        <v>181</v>
      </c>
      <c r="BA13" s="83"/>
      <c r="BB13" s="83"/>
      <c r="BC13" s="297"/>
      <c r="BD13" s="830" t="s">
        <v>182</v>
      </c>
      <c r="BE13" s="314"/>
      <c r="BF13" s="318">
        <f>C18*AA12</f>
        <v>490169.24</v>
      </c>
      <c r="BG13" s="317">
        <f t="shared" ref="BG13:BP13" si="10">(BG8&lt;=$C$10)*(BG8=0)*$C$20</f>
        <v>0</v>
      </c>
      <c r="BH13" s="317">
        <f t="shared" si="10"/>
        <v>0</v>
      </c>
      <c r="BI13" s="317">
        <f t="shared" si="10"/>
        <v>0</v>
      </c>
      <c r="BJ13" s="317">
        <f t="shared" si="10"/>
        <v>0</v>
      </c>
      <c r="BK13" s="317">
        <f t="shared" si="10"/>
        <v>0</v>
      </c>
      <c r="BL13" s="317">
        <f t="shared" si="10"/>
        <v>0</v>
      </c>
      <c r="BM13" s="317">
        <f t="shared" si="10"/>
        <v>0</v>
      </c>
      <c r="BN13" s="317">
        <f t="shared" si="10"/>
        <v>0</v>
      </c>
      <c r="BO13" s="317">
        <f t="shared" si="10"/>
        <v>0</v>
      </c>
      <c r="BP13" s="317">
        <f t="shared" si="10"/>
        <v>0</v>
      </c>
      <c r="BQ13" s="317" t="str">
        <f>IF(BQ8&gt;_xlfn.SINGLE(Analysis_Period),"",(BQ9=0)*'[1]Property Cash Flow'!$D$22)</f>
        <v/>
      </c>
      <c r="BR13" s="318" t="str">
        <f>IF(BR8&gt;_xlfn.SINGLE(Analysis_Period),"",(BR8=0)*BR11*'[1]Property Cash Flow'!AD11)</f>
        <v/>
      </c>
      <c r="BS13" s="318" t="str">
        <f>IF(BS8&gt;_xlfn.SINGLE(Analysis_Period),"",(BS8=0)*BS11*'[1]Property Cash Flow'!AE11)</f>
        <v/>
      </c>
      <c r="BT13" s="318" t="str">
        <f>IF(BT8&gt;_xlfn.SINGLE(Analysis_Period),"",(BT8=0)*BT11*'[1]Property Cash Flow'!AF11)</f>
        <v/>
      </c>
      <c r="BU13" s="318" t="str">
        <f>IF(BU8&gt;_xlfn.SINGLE(Analysis_Period),"",(BU8=0)*BU11*'[1]Property Cash Flow'!AG11)</f>
        <v/>
      </c>
      <c r="BV13" s="165"/>
      <c r="BY13" s="613" t="s">
        <v>22</v>
      </c>
      <c r="BZ13" s="449" t="s">
        <v>1</v>
      </c>
      <c r="CA13" s="449" t="s">
        <v>1</v>
      </c>
      <c r="CB13" s="449" t="s">
        <v>1</v>
      </c>
      <c r="CC13" s="835"/>
      <c r="CD13" s="835"/>
      <c r="CE13" s="476" t="s">
        <v>23</v>
      </c>
      <c r="CF13" s="476" t="s">
        <v>24</v>
      </c>
      <c r="CG13" s="476" t="s">
        <v>25</v>
      </c>
      <c r="CH13" s="449" t="s">
        <v>1</v>
      </c>
      <c r="CI13" s="449" t="s">
        <v>1</v>
      </c>
      <c r="CJ13" s="449" t="s">
        <v>1</v>
      </c>
      <c r="CK13" s="449" t="s">
        <v>1</v>
      </c>
      <c r="CL13" s="449" t="s">
        <v>1</v>
      </c>
      <c r="CM13" s="449" t="s">
        <v>1</v>
      </c>
      <c r="CN13" s="449" t="s">
        <v>1</v>
      </c>
      <c r="CO13" s="449" t="s">
        <v>1</v>
      </c>
      <c r="CP13" s="449" t="s">
        <v>1</v>
      </c>
      <c r="CQ13" s="612" t="s">
        <v>1</v>
      </c>
      <c r="CR13" s="449" t="s">
        <v>1</v>
      </c>
      <c r="CS13" s="449"/>
      <c r="CT13" s="449"/>
      <c r="CV13" s="792" t="s">
        <v>183</v>
      </c>
      <c r="CW13" s="441"/>
      <c r="CX13" s="441"/>
    </row>
    <row r="14" spans="1:118" ht="16.5">
      <c r="A14" s="35" t="s">
        <v>184</v>
      </c>
      <c r="B14" s="174"/>
      <c r="C14" s="43">
        <v>7.4999999999999997E-2</v>
      </c>
      <c r="Y14" s="790" t="s">
        <v>185</v>
      </c>
      <c r="Z14" s="790"/>
      <c r="AA14" s="797">
        <f>C15*C16</f>
        <v>20000000</v>
      </c>
      <c r="AB14" s="198" t="s">
        <v>186</v>
      </c>
      <c r="AC14" s="199"/>
      <c r="AF14" s="814"/>
      <c r="AG14" s="807"/>
      <c r="AH14" s="203"/>
      <c r="AI14" s="405"/>
      <c r="AJ14" s="68"/>
      <c r="AK14" s="68"/>
      <c r="AL14" s="85"/>
      <c r="AM14" s="69"/>
      <c r="AN14" s="70"/>
      <c r="AO14" s="71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388"/>
      <c r="BA14" s="73"/>
      <c r="BB14" s="73"/>
      <c r="BC14" s="295"/>
      <c r="BD14" s="822" t="s">
        <v>187</v>
      </c>
      <c r="BE14" s="314"/>
      <c r="BF14" s="320">
        <f>SUM(BF11:BF13)</f>
        <v>25248631.239999998</v>
      </c>
      <c r="BG14" s="320"/>
      <c r="BH14" s="320">
        <f t="shared" ref="BH14:BQ14" si="11">IF(BH8&gt;_xlfn.SINGLE(Analysis_Period),"",SUM(BH11:BH13))</f>
        <v>0</v>
      </c>
      <c r="BI14" s="320">
        <f t="shared" si="11"/>
        <v>0</v>
      </c>
      <c r="BJ14" s="320">
        <f t="shared" si="11"/>
        <v>0</v>
      </c>
      <c r="BK14" s="320">
        <f t="shared" si="11"/>
        <v>0</v>
      </c>
      <c r="BL14" s="320">
        <f t="shared" si="11"/>
        <v>0</v>
      </c>
      <c r="BM14" s="320">
        <f t="shared" si="11"/>
        <v>0</v>
      </c>
      <c r="BN14" s="320">
        <f t="shared" si="11"/>
        <v>0</v>
      </c>
      <c r="BO14" s="320">
        <f t="shared" si="11"/>
        <v>0</v>
      </c>
      <c r="BP14" s="320">
        <f t="shared" si="11"/>
        <v>0</v>
      </c>
      <c r="BQ14" s="320" t="str">
        <f t="shared" si="11"/>
        <v/>
      </c>
      <c r="BR14" s="317" t="str">
        <f t="shared" ref="BR14" si="12">IF(BR8&gt;_xlfn.SINGLE(Analysis_Period),"",SUM(BR11:BR13))</f>
        <v/>
      </c>
      <c r="BS14" s="317" t="str">
        <f t="shared" ref="BS14" si="13">IF(BS8&gt;_xlfn.SINGLE(Analysis_Period),"",SUM(BS11:BS13))</f>
        <v/>
      </c>
      <c r="BT14" s="317" t="str">
        <f t="shared" ref="BT14" si="14">IF(BT8&gt;_xlfn.SINGLE(Analysis_Period),"",SUM(BT11:BT13))</f>
        <v/>
      </c>
      <c r="BU14" s="317" t="str">
        <f t="shared" ref="BU14" si="15">IF(BU8&gt;_xlfn.SINGLE(Analysis_Period),"",SUM(BU11:BU13))</f>
        <v/>
      </c>
      <c r="BV14" s="165"/>
      <c r="BY14" s="611" t="s">
        <v>26</v>
      </c>
      <c r="BZ14" s="537" t="s">
        <v>27</v>
      </c>
      <c r="CA14" s="490" t="s">
        <v>4</v>
      </c>
      <c r="CB14" s="473" t="str">
        <f t="shared" ref="CB14:CB15" si="16">CA15</f>
        <v>&gt; 8.0% IRR to LP</v>
      </c>
      <c r="CC14" s="492" t="s">
        <v>29</v>
      </c>
      <c r="CD14" s="492"/>
      <c r="CE14" s="477">
        <f>BZ8</f>
        <v>0.05</v>
      </c>
      <c r="CF14" s="493">
        <f>1-CE14</f>
        <v>0.95</v>
      </c>
      <c r="CG14" s="838" t="s">
        <v>30</v>
      </c>
      <c r="CH14" s="838"/>
      <c r="CI14" s="838"/>
      <c r="CJ14" s="838"/>
      <c r="CK14" s="838"/>
      <c r="CL14" s="449" t="s">
        <v>1</v>
      </c>
      <c r="CM14" s="449" t="s">
        <v>1</v>
      </c>
      <c r="CN14" s="449" t="s">
        <v>1</v>
      </c>
      <c r="CO14" s="449" t="s">
        <v>1</v>
      </c>
      <c r="CP14" s="449" t="s">
        <v>1</v>
      </c>
      <c r="CQ14" s="612" t="s">
        <v>1</v>
      </c>
      <c r="CR14" s="449" t="s">
        <v>1</v>
      </c>
      <c r="CS14" s="449"/>
      <c r="CT14" s="449"/>
      <c r="CV14" s="792" t="s">
        <v>188</v>
      </c>
    </row>
    <row r="15" spans="1:118" ht="16.5">
      <c r="A15" s="35" t="s">
        <v>189</v>
      </c>
      <c r="B15" s="174"/>
      <c r="C15" s="44">
        <v>400</v>
      </c>
      <c r="Y15" s="798"/>
      <c r="Z15" s="798"/>
      <c r="AA15" s="799"/>
      <c r="AB15" s="198"/>
      <c r="AC15" s="199"/>
      <c r="AF15" s="815"/>
      <c r="AG15" s="811" t="s">
        <v>190</v>
      </c>
      <c r="AH15" s="206"/>
      <c r="AI15" s="404" t="s">
        <v>191</v>
      </c>
      <c r="AJ15" s="307">
        <f>B59</f>
        <v>-24131.084275599998</v>
      </c>
      <c r="AK15" s="307">
        <f>C43</f>
        <v>-24561.7</v>
      </c>
      <c r="AL15" s="307">
        <v>0</v>
      </c>
      <c r="AM15" s="600">
        <f>+AO15/$C$16</f>
        <v>0</v>
      </c>
      <c r="AN15" s="70"/>
      <c r="AO15" s="71">
        <f>+AL15</f>
        <v>0</v>
      </c>
      <c r="AP15" s="73">
        <f>IF(AO$9="","",AO15*(1+F$69))</f>
        <v>0</v>
      </c>
      <c r="AQ15" s="73">
        <f>IF(AP$9="","",AP15*(1+G$69))</f>
        <v>0</v>
      </c>
      <c r="AR15" s="73">
        <f>IF(AQ$9="","",AQ15*(1+H$69))</f>
        <v>0</v>
      </c>
      <c r="AS15" s="73">
        <f>IF(AR$9="","",AR15*(1+I$69))</f>
        <v>0</v>
      </c>
      <c r="AT15" s="73">
        <f>IF(AS$9="","",AS15*(1+J$69))</f>
        <v>0</v>
      </c>
      <c r="AU15" s="73">
        <f>IF(AT$9="","",AT15*(1+K$69))</f>
        <v>0</v>
      </c>
      <c r="AV15" s="73">
        <f>IF(AU$9="","",AU15*(1+L$69))</f>
        <v>0</v>
      </c>
      <c r="AW15" s="73">
        <f>IF(AV$9="","",AV15*(1+M$69))</f>
        <v>0</v>
      </c>
      <c r="AX15" s="73">
        <f>IF(AW$9="","",AW15*(1+N$69))</f>
        <v>0</v>
      </c>
      <c r="AY15" s="73">
        <f>IF(AX$9="","",AX15*(1+O$69))</f>
        <v>0</v>
      </c>
      <c r="AZ15" s="387" t="s">
        <v>191</v>
      </c>
      <c r="BA15" s="73"/>
      <c r="BB15" s="73"/>
      <c r="BC15" s="295"/>
      <c r="BD15" s="165"/>
      <c r="BE15" s="314"/>
      <c r="BF15" s="317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165"/>
      <c r="BY15" s="611" t="s">
        <v>31</v>
      </c>
      <c r="BZ15" s="467" t="s">
        <v>32</v>
      </c>
      <c r="CA15" s="479" t="s">
        <v>33</v>
      </c>
      <c r="CB15" s="473" t="str">
        <f t="shared" si="16"/>
        <v>&gt; 12.0% IRR to LP</v>
      </c>
      <c r="CC15" s="477">
        <v>0.2</v>
      </c>
      <c r="CD15" s="449" t="s">
        <v>1</v>
      </c>
      <c r="CE15" s="496">
        <f>1-($BZ$9*(1-CC15))</f>
        <v>0.24</v>
      </c>
      <c r="CF15" s="493">
        <f>1-CE15</f>
        <v>0.76</v>
      </c>
      <c r="CG15" s="838" t="s">
        <v>35</v>
      </c>
      <c r="CH15" s="838"/>
      <c r="CI15" s="838"/>
      <c r="CJ15" s="838"/>
      <c r="CK15" s="838"/>
      <c r="CL15" s="449" t="s">
        <v>1</v>
      </c>
      <c r="CM15" s="449" t="s">
        <v>1</v>
      </c>
      <c r="CN15" s="449" t="s">
        <v>1</v>
      </c>
      <c r="CO15" s="449" t="s">
        <v>1</v>
      </c>
      <c r="CP15" s="449" t="s">
        <v>1</v>
      </c>
      <c r="CQ15" s="612" t="s">
        <v>1</v>
      </c>
      <c r="CR15" s="449" t="s">
        <v>1</v>
      </c>
      <c r="CS15" s="449"/>
      <c r="CT15" s="449"/>
      <c r="CV15" s="792" t="s">
        <v>192</v>
      </c>
    </row>
    <row r="16" spans="1:118" ht="16.5">
      <c r="A16" s="255" t="str">
        <f>"Net Rentable Area ("&amp;C9 &amp;")"</f>
        <v>Net Rentable Area (SF)</v>
      </c>
      <c r="B16" s="183"/>
      <c r="C16" s="45">
        <v>50000</v>
      </c>
      <c r="T16" s="55" t="s">
        <v>4</v>
      </c>
      <c r="U16" s="55" t="s">
        <v>27</v>
      </c>
      <c r="Y16" s="790" t="s">
        <v>193</v>
      </c>
      <c r="Z16" s="790"/>
      <c r="AA16" s="800">
        <f>BF47</f>
        <v>5.2008091258499478E-2</v>
      </c>
      <c r="AB16" s="198" t="s">
        <v>142</v>
      </c>
      <c r="AC16" s="199"/>
      <c r="AF16" s="816"/>
      <c r="AG16" s="811" t="s">
        <v>194</v>
      </c>
      <c r="AH16" s="601"/>
      <c r="AI16" s="405" t="s">
        <v>195</v>
      </c>
      <c r="AJ16" s="113">
        <f>-AJ13*B33</f>
        <v>-237175.14</v>
      </c>
      <c r="AK16" s="113">
        <f>-AK13*$B$33</f>
        <v>-251915.24</v>
      </c>
      <c r="AL16" s="113">
        <f>-AL13*$B$33</f>
        <v>-253500.04</v>
      </c>
      <c r="AM16" s="600">
        <f>+AO16/$C$16</f>
        <v>-5.0700007999999999</v>
      </c>
      <c r="AN16" s="70"/>
      <c r="AO16" s="71">
        <f>+AL16</f>
        <v>-253500.04</v>
      </c>
      <c r="AP16" s="72">
        <f>-AP13*F68</f>
        <v>-253500.04</v>
      </c>
      <c r="AQ16" s="72">
        <f>-AQ13*G68</f>
        <v>-253500.04</v>
      </c>
      <c r="AR16" s="72">
        <f>-AR13*H68</f>
        <v>-253500.04</v>
      </c>
      <c r="AS16" s="72">
        <f>-AS13*I68</f>
        <v>-253500.04</v>
      </c>
      <c r="AT16" s="72">
        <f t="shared" ref="AT16:AY16" si="17">-AT13*J68</f>
        <v>-278850.04399999999</v>
      </c>
      <c r="AU16" s="72">
        <f t="shared" si="17"/>
        <v>-278850.04399999999</v>
      </c>
      <c r="AV16" s="72">
        <f t="shared" si="17"/>
        <v>-278850.04399999999</v>
      </c>
      <c r="AW16" s="72">
        <f t="shared" si="17"/>
        <v>-278850.04399999999</v>
      </c>
      <c r="AX16" s="72">
        <f t="shared" si="17"/>
        <v>-278850.04399999999</v>
      </c>
      <c r="AY16" s="72">
        <f>-AY13*O68</f>
        <v>-306735.04840000003</v>
      </c>
      <c r="AZ16" s="388" t="s">
        <v>195</v>
      </c>
      <c r="BA16" s="73"/>
      <c r="BB16" s="73"/>
      <c r="BC16" s="295"/>
      <c r="BD16" s="831" t="s">
        <v>196</v>
      </c>
      <c r="BE16" s="314"/>
      <c r="BF16" s="317">
        <f>AA12*C29</f>
        <v>15930500.300000001</v>
      </c>
      <c r="BG16" s="317">
        <f t="shared" ref="BG16" si="18">IF(BG8&gt;_xlfn.SINGLE(Analysis_Period),"",(BG8=0)*_xlfn.SINGLE(Debt))</f>
        <v>0</v>
      </c>
      <c r="BH16" s="317">
        <f t="shared" ref="BH16:BU16" si="19">IF(BH8&gt;_xlfn.SINGLE(Analysis_Period),"",(BH8=0)*_xlfn.SINGLE(Debt))</f>
        <v>0</v>
      </c>
      <c r="BI16" s="317">
        <f>IF(BI8&gt;_xlfn.SINGLE(Analysis_Period),"",(BI8=0)*_xlfn.SINGLE(Debt))</f>
        <v>0</v>
      </c>
      <c r="BJ16" s="317">
        <f t="shared" si="19"/>
        <v>0</v>
      </c>
      <c r="BK16" s="317">
        <f t="shared" si="19"/>
        <v>0</v>
      </c>
      <c r="BL16" s="317">
        <f t="shared" si="19"/>
        <v>0</v>
      </c>
      <c r="BM16" s="317">
        <f t="shared" si="19"/>
        <v>0</v>
      </c>
      <c r="BN16" s="317">
        <f t="shared" si="19"/>
        <v>0</v>
      </c>
      <c r="BO16" s="317">
        <f t="shared" si="19"/>
        <v>0</v>
      </c>
      <c r="BP16" s="317">
        <f t="shared" si="19"/>
        <v>0</v>
      </c>
      <c r="BQ16" s="317" t="str">
        <f t="shared" si="19"/>
        <v/>
      </c>
      <c r="BR16" s="317" t="str">
        <f t="shared" si="19"/>
        <v/>
      </c>
      <c r="BS16" s="317" t="str">
        <f t="shared" si="19"/>
        <v/>
      </c>
      <c r="BT16" s="317" t="str">
        <f t="shared" si="19"/>
        <v/>
      </c>
      <c r="BU16" s="317" t="str">
        <f t="shared" si="19"/>
        <v/>
      </c>
      <c r="BV16" s="165"/>
      <c r="BY16" s="611" t="s">
        <v>36</v>
      </c>
      <c r="BZ16" s="467" t="s">
        <v>37</v>
      </c>
      <c r="CA16" s="479" t="s">
        <v>38</v>
      </c>
      <c r="CB16" s="473" t="str">
        <f>CA17</f>
        <v>&gt; 15.0% IRR to LP</v>
      </c>
      <c r="CC16" s="477">
        <v>0.3</v>
      </c>
      <c r="CD16" s="449" t="s">
        <v>1</v>
      </c>
      <c r="CE16" s="496">
        <f>1-($BZ$9*(1-CC16))</f>
        <v>0.33500000000000008</v>
      </c>
      <c r="CF16" s="493">
        <f>1-CE16</f>
        <v>0.66499999999999992</v>
      </c>
      <c r="CG16" s="838" t="s">
        <v>40</v>
      </c>
      <c r="CH16" s="838"/>
      <c r="CI16" s="838"/>
      <c r="CJ16" s="838"/>
      <c r="CK16" s="838"/>
      <c r="CL16" s="449" t="s">
        <v>1</v>
      </c>
      <c r="CM16" s="449" t="s">
        <v>1</v>
      </c>
      <c r="CN16" s="449" t="s">
        <v>1</v>
      </c>
      <c r="CO16" s="449" t="s">
        <v>1</v>
      </c>
      <c r="CP16" s="449" t="s">
        <v>1</v>
      </c>
      <c r="CQ16" s="612" t="s">
        <v>1</v>
      </c>
      <c r="CR16" s="449" t="s">
        <v>1</v>
      </c>
      <c r="CS16" s="449"/>
      <c r="CT16" s="449"/>
      <c r="CV16" s="792" t="s">
        <v>197</v>
      </c>
    </row>
    <row r="17" spans="1:103" ht="16.5">
      <c r="A17" s="255" t="s">
        <v>175</v>
      </c>
      <c r="B17" s="183"/>
      <c r="C17" s="45">
        <v>250000</v>
      </c>
      <c r="S17" s="55" t="s">
        <v>198</v>
      </c>
      <c r="T17" s="177">
        <f>AA16</f>
        <v>5.2008091258499478E-2</v>
      </c>
      <c r="U17" s="420">
        <f>AA17</f>
        <v>1.5170160813013667</v>
      </c>
      <c r="Y17" s="790" t="s">
        <v>199</v>
      </c>
      <c r="Z17" s="790"/>
      <c r="AA17" s="801">
        <f>BF48</f>
        <v>1.5170160813013667</v>
      </c>
      <c r="AB17" s="198" t="s">
        <v>142</v>
      </c>
      <c r="AC17" s="199"/>
      <c r="AF17" s="814"/>
      <c r="AG17" s="811" t="s">
        <v>200</v>
      </c>
      <c r="AH17" s="61"/>
      <c r="AI17" s="406"/>
      <c r="AJ17" s="86">
        <f>B60</f>
        <v>0</v>
      </c>
      <c r="AK17" s="86">
        <f t="shared" ref="AK17:AL17" si="20">C60</f>
        <v>0</v>
      </c>
      <c r="AL17" s="86">
        <f t="shared" si="20"/>
        <v>0</v>
      </c>
      <c r="AM17" s="600">
        <f>+AO17/$C$16</f>
        <v>0</v>
      </c>
      <c r="AN17" s="87"/>
      <c r="AO17" s="77">
        <f>AL17</f>
        <v>0</v>
      </c>
      <c r="AP17" s="88">
        <f>F60</f>
        <v>0</v>
      </c>
      <c r="AQ17" s="88">
        <f t="shared" ref="AQ17:AY17" si="21">G60</f>
        <v>0</v>
      </c>
      <c r="AR17" s="88">
        <f t="shared" si="21"/>
        <v>0</v>
      </c>
      <c r="AS17" s="88">
        <f t="shared" si="21"/>
        <v>0</v>
      </c>
      <c r="AT17" s="88">
        <f t="shared" si="21"/>
        <v>0</v>
      </c>
      <c r="AU17" s="88">
        <f t="shared" si="21"/>
        <v>0</v>
      </c>
      <c r="AV17" s="88">
        <f t="shared" si="21"/>
        <v>0</v>
      </c>
      <c r="AW17" s="88">
        <f t="shared" si="21"/>
        <v>0</v>
      </c>
      <c r="AX17" s="88">
        <f t="shared" si="21"/>
        <v>0</v>
      </c>
      <c r="AY17" s="88">
        <f t="shared" si="21"/>
        <v>0</v>
      </c>
      <c r="AZ17" s="389"/>
      <c r="BA17" s="88"/>
      <c r="BB17" s="88"/>
      <c r="BC17" s="298"/>
      <c r="BD17" s="823" t="s">
        <v>201</v>
      </c>
      <c r="BE17" s="314"/>
      <c r="BF17" s="318">
        <f>(BF16*C30)*-1</f>
        <v>-159305.003</v>
      </c>
      <c r="BG17" s="318"/>
      <c r="BH17" s="318">
        <f>IF(BH8&gt;_xlfn.SINGLE(Analysis_Period),"",(BH8=0)*BH16*-'[1]Property Cash Flow'!T32)</f>
        <v>0</v>
      </c>
      <c r="BI17" s="318">
        <f>IF(BI8&gt;_xlfn.SINGLE(Analysis_Period),"",(BI8=0)*BI16*-'[1]Property Cash Flow'!U32)</f>
        <v>0</v>
      </c>
      <c r="BJ17" s="318">
        <f>IF(BJ8&gt;_xlfn.SINGLE(Analysis_Period),"",(BJ8=0)*BJ16*-'[1]Property Cash Flow'!V32)</f>
        <v>0</v>
      </c>
      <c r="BK17" s="318">
        <f>IF(BK8&gt;_xlfn.SINGLE(Analysis_Period),"",(BK8=0)*BK16*-'[1]Property Cash Flow'!W32)</f>
        <v>0</v>
      </c>
      <c r="BL17" s="318">
        <f>IF(BL8&gt;_xlfn.SINGLE(Analysis_Period),"",(BL8=0)*BL16*-'[1]Property Cash Flow'!X32)</f>
        <v>0</v>
      </c>
      <c r="BM17" s="318">
        <f>IF(BM8&gt;_xlfn.SINGLE(Analysis_Period),"",(BM8=0)*BM16*-'[1]Property Cash Flow'!Y32)</f>
        <v>0</v>
      </c>
      <c r="BN17" s="318">
        <f>IF(BN8&gt;_xlfn.SINGLE(Analysis_Period),"",(BN8=0)*BN16*-'[1]Property Cash Flow'!Z32)</f>
        <v>0</v>
      </c>
      <c r="BO17" s="318">
        <f>IF(BO8&gt;_xlfn.SINGLE(Analysis_Period),"",(BO8=0)*BO16*-'[1]Property Cash Flow'!AA32)</f>
        <v>0</v>
      </c>
      <c r="BP17" s="318">
        <f>IF(BP8&gt;_xlfn.SINGLE(Analysis_Period),"",(BP8=0)*BP16*-'[1]Property Cash Flow'!AB32)</f>
        <v>0</v>
      </c>
      <c r="BQ17" s="318" t="str">
        <f>IF(BQ8&gt;_xlfn.SINGLE(Analysis_Period),"",(BQ8=0)*BQ16*-'[1]Property Cash Flow'!AC32)</f>
        <v/>
      </c>
      <c r="BR17" s="318" t="str">
        <f>IF(BR8&gt;_xlfn.SINGLE(Analysis_Period),"",(BR8=0)*BR16*-'[1]Property Cash Flow'!AD32)</f>
        <v/>
      </c>
      <c r="BS17" s="318" t="str">
        <f>IF(BS8&gt;_xlfn.SINGLE(Analysis_Period),"",(BS8=0)*BS16*-'[1]Property Cash Flow'!AE32)</f>
        <v/>
      </c>
      <c r="BT17" s="318" t="str">
        <f>IF(BT8&gt;_xlfn.SINGLE(Analysis_Period),"",(BT8=0)*BT16*-'[1]Property Cash Flow'!AF32)</f>
        <v/>
      </c>
      <c r="BU17" s="318" t="str">
        <f>IF(BU8&gt;_xlfn.SINGLE(Analysis_Period),"",(BU8=0)*BU16*-'[1]Property Cash Flow'!AG32)</f>
        <v/>
      </c>
      <c r="BV17" s="165"/>
      <c r="BY17" s="616" t="s">
        <v>41</v>
      </c>
      <c r="BZ17" s="541" t="s">
        <v>42</v>
      </c>
      <c r="CA17" s="542" t="s">
        <v>43</v>
      </c>
      <c r="CB17" s="617" t="s">
        <v>1</v>
      </c>
      <c r="CC17" s="544">
        <v>0.4</v>
      </c>
      <c r="CD17" s="618" t="s">
        <v>1</v>
      </c>
      <c r="CE17" s="546">
        <f>1-($BZ$9*(1-CC17))</f>
        <v>0.43000000000000005</v>
      </c>
      <c r="CF17" s="619">
        <f>1-CE17</f>
        <v>0.56999999999999995</v>
      </c>
      <c r="CG17" s="839" t="s">
        <v>44</v>
      </c>
      <c r="CH17" s="839"/>
      <c r="CI17" s="839"/>
      <c r="CJ17" s="839"/>
      <c r="CK17" s="839"/>
      <c r="CL17" s="618" t="s">
        <v>1</v>
      </c>
      <c r="CM17" s="618" t="s">
        <v>1</v>
      </c>
      <c r="CN17" s="618" t="s">
        <v>1</v>
      </c>
      <c r="CO17" s="618" t="s">
        <v>1</v>
      </c>
      <c r="CP17" s="618" t="s">
        <v>1</v>
      </c>
      <c r="CQ17" s="620" t="s">
        <v>1</v>
      </c>
      <c r="CR17" s="449" t="s">
        <v>1</v>
      </c>
      <c r="CS17" s="449"/>
      <c r="CT17" s="449"/>
      <c r="CV17" s="792" t="s">
        <v>202</v>
      </c>
    </row>
    <row r="18" spans="1:103" ht="37.5">
      <c r="A18" s="255" t="s">
        <v>203</v>
      </c>
      <c r="B18" s="183"/>
      <c r="C18" s="43">
        <v>0.02</v>
      </c>
      <c r="S18" s="55" t="s">
        <v>204</v>
      </c>
      <c r="T18" s="177">
        <f>AA20</f>
        <v>7.4026594176218374E-2</v>
      </c>
      <c r="U18" s="420">
        <f>AA21</f>
        <v>1.7670736361897403</v>
      </c>
      <c r="Y18" s="790" t="s">
        <v>205</v>
      </c>
      <c r="Z18" s="790"/>
      <c r="AA18" s="800" cm="1">
        <f t="array" ref="AA18">INDEX(BG46:BQ46,1,C10)</f>
        <v>5.7129656796255236E-2</v>
      </c>
      <c r="AB18" s="198" t="s">
        <v>206</v>
      </c>
      <c r="AC18" s="199"/>
      <c r="AF18" s="812">
        <f>_xlfn.RRI(_xlfn.SINGLE(Analysis_Period)-1,AO18,_xlfn.SINGLE(INDEX(AO18:BC18,1,_xlfn.SINGLE(Analysis_Period))))</f>
        <v>1.0646292707510829E-2</v>
      </c>
      <c r="AG18" s="817" t="s">
        <v>207</v>
      </c>
      <c r="AH18" s="202"/>
      <c r="AI18" s="405" t="s">
        <v>208</v>
      </c>
      <c r="AJ18" s="91">
        <f>SUM(AJ13:AJ17)</f>
        <v>2110445.1757243997</v>
      </c>
      <c r="AK18" s="91">
        <f>SUM(AK13:AK17)</f>
        <v>2242675.46</v>
      </c>
      <c r="AL18" s="91">
        <f>SUM(AL13:AL17)</f>
        <v>2281500.36</v>
      </c>
      <c r="AM18" s="600">
        <f>+AO18/$C$16</f>
        <v>45.630007199999994</v>
      </c>
      <c r="AN18" s="90"/>
      <c r="AO18" s="83">
        <f>SUM(AO13:AO17)</f>
        <v>2281500.36</v>
      </c>
      <c r="AP18" s="83">
        <f>SUM(AP13:AP17)</f>
        <v>2281500.36</v>
      </c>
      <c r="AQ18" s="83">
        <f t="shared" ref="AQ18:AY18" si="22">SUM(AQ13:AQ17)</f>
        <v>2281500.36</v>
      </c>
      <c r="AR18" s="83">
        <f>SUM(AR13:AR17)</f>
        <v>2281500.36</v>
      </c>
      <c r="AS18" s="83">
        <f t="shared" si="22"/>
        <v>2281500.36</v>
      </c>
      <c r="AT18" s="83">
        <f t="shared" si="22"/>
        <v>2509650.3959999997</v>
      </c>
      <c r="AU18" s="83">
        <f t="shared" si="22"/>
        <v>2509650.3959999997</v>
      </c>
      <c r="AV18" s="83">
        <f t="shared" si="22"/>
        <v>2509650.3959999997</v>
      </c>
      <c r="AW18" s="83">
        <f t="shared" si="22"/>
        <v>2509650.3959999997</v>
      </c>
      <c r="AX18" s="83">
        <f t="shared" si="22"/>
        <v>2509650.3959999997</v>
      </c>
      <c r="AY18" s="83">
        <f t="shared" si="22"/>
        <v>2760615.4356</v>
      </c>
      <c r="AZ18" s="388" t="s">
        <v>208</v>
      </c>
      <c r="BA18" s="91"/>
      <c r="BB18" s="91"/>
      <c r="BC18" s="299"/>
      <c r="BD18" s="822" t="s">
        <v>209</v>
      </c>
      <c r="BE18" s="314"/>
      <c r="BF18" s="317">
        <f>BF16+BF17</f>
        <v>15771195.297</v>
      </c>
      <c r="BG18" s="320">
        <f>IF(BG8&gt;_xlfn.SINGLE(Analysis_Period),"",SUM(BG16:BG17))</f>
        <v>0</v>
      </c>
      <c r="BH18" s="317">
        <f t="shared" ref="BH18" si="23">IF(BH8&gt;_xlfn.SINGLE(Analysis_Period),"",SUM(BH16:BH17))</f>
        <v>0</v>
      </c>
      <c r="BI18" s="317">
        <f t="shared" ref="BI18" si="24">IF(BI8&gt;_xlfn.SINGLE(Analysis_Period),"",SUM(BI16:BI17))</f>
        <v>0</v>
      </c>
      <c r="BJ18" s="317">
        <f t="shared" ref="BJ18" si="25">IF(BJ8&gt;_xlfn.SINGLE(Analysis_Period),"",SUM(BJ16:BJ17))</f>
        <v>0</v>
      </c>
      <c r="BK18" s="317">
        <f t="shared" ref="BK18" si="26">IF(BK8&gt;_xlfn.SINGLE(Analysis_Period),"",SUM(BK16:BK17))</f>
        <v>0</v>
      </c>
      <c r="BL18" s="317">
        <f t="shared" ref="BL18" si="27">IF(BL8&gt;_xlfn.SINGLE(Analysis_Period),"",SUM(BL16:BL17))</f>
        <v>0</v>
      </c>
      <c r="BM18" s="317">
        <f t="shared" ref="BM18" si="28">IF(BM8&gt;_xlfn.SINGLE(Analysis_Period),"",SUM(BM16:BM17))</f>
        <v>0</v>
      </c>
      <c r="BN18" s="317">
        <f t="shared" ref="BN18" si="29">IF(BN8&gt;_xlfn.SINGLE(Analysis_Period),"",SUM(BN16:BN17))</f>
        <v>0</v>
      </c>
      <c r="BO18" s="317">
        <f t="shared" ref="BO18" si="30">IF(BO8&gt;_xlfn.SINGLE(Analysis_Period),"",SUM(BO16:BO17))</f>
        <v>0</v>
      </c>
      <c r="BP18" s="320">
        <f t="shared" ref="BP18" si="31">IF(BP8&gt;_xlfn.SINGLE(Analysis_Period),"",SUM(BP16:BP17))</f>
        <v>0</v>
      </c>
      <c r="BQ18" s="320" t="str">
        <f t="shared" ref="BQ18" si="32">IF(BQ8&gt;_xlfn.SINGLE(Analysis_Period),"",SUM(BQ16:BQ17))</f>
        <v/>
      </c>
      <c r="BR18" s="317" t="str">
        <f t="shared" ref="BR18" si="33">IF(BR8&gt;_xlfn.SINGLE(Analysis_Period),"",SUM(BR16:BR17))</f>
        <v/>
      </c>
      <c r="BS18" s="317" t="str">
        <f t="shared" ref="BS18" si="34">IF(BS8&gt;_xlfn.SINGLE(Analysis_Period),"",SUM(BS16:BS17))</f>
        <v/>
      </c>
      <c r="BT18" s="317" t="str">
        <f t="shared" ref="BT18" si="35">IF(BT8&gt;_xlfn.SINGLE(Analysis_Period),"",SUM(BT16:BT17))</f>
        <v/>
      </c>
      <c r="BU18" s="317" t="str">
        <f t="shared" ref="BU18" si="36">IF(BU8&gt;_xlfn.SINGLE(Analysis_Period),"",SUM(BU16:BU17))</f>
        <v/>
      </c>
      <c r="BV18" s="165"/>
      <c r="BY18" s="449" t="s">
        <v>1</v>
      </c>
      <c r="BZ18" s="449" t="s">
        <v>1</v>
      </c>
      <c r="CA18" s="479" t="s">
        <v>1</v>
      </c>
      <c r="CB18" s="473" t="s">
        <v>1</v>
      </c>
      <c r="CC18" s="479" t="s">
        <v>1</v>
      </c>
      <c r="CD18" s="473" t="s">
        <v>1</v>
      </c>
      <c r="CE18" s="449" t="s">
        <v>1</v>
      </c>
      <c r="CF18" s="449" t="s">
        <v>1</v>
      </c>
      <c r="CG18" s="449" t="s">
        <v>1</v>
      </c>
      <c r="CH18" s="449" t="s">
        <v>1</v>
      </c>
      <c r="CI18" s="449" t="s">
        <v>1</v>
      </c>
      <c r="CJ18" s="449" t="s">
        <v>1</v>
      </c>
      <c r="CK18" s="449" t="s">
        <v>1</v>
      </c>
      <c r="CL18" s="449" t="s">
        <v>1</v>
      </c>
      <c r="CM18" s="449" t="s">
        <v>1</v>
      </c>
      <c r="CN18" s="449" t="s">
        <v>1</v>
      </c>
      <c r="CO18" s="449" t="s">
        <v>1</v>
      </c>
      <c r="CP18" s="449" t="s">
        <v>1</v>
      </c>
      <c r="CQ18" s="449" t="s">
        <v>1</v>
      </c>
      <c r="CR18" s="449" t="s">
        <v>1</v>
      </c>
      <c r="CS18" s="449"/>
      <c r="CT18" s="449"/>
      <c r="CV18" s="792"/>
    </row>
    <row r="19" spans="1:103" ht="16.5">
      <c r="A19" s="255" t="s">
        <v>210</v>
      </c>
      <c r="B19" s="183"/>
      <c r="C19" s="43">
        <v>0.02</v>
      </c>
      <c r="Y19" s="790"/>
      <c r="Z19" s="790"/>
      <c r="AA19" s="802"/>
      <c r="AB19" s="198"/>
      <c r="AC19" s="199"/>
      <c r="AF19" s="814"/>
      <c r="AG19" s="807"/>
      <c r="AH19" s="61"/>
      <c r="AI19" s="405"/>
      <c r="AJ19" s="85"/>
      <c r="AK19" s="85"/>
      <c r="AL19" s="85"/>
      <c r="AM19" s="600"/>
      <c r="AN19" s="70"/>
      <c r="AO19" s="71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388"/>
      <c r="BA19" s="73"/>
      <c r="BB19" s="73"/>
      <c r="BC19" s="295"/>
      <c r="BD19" s="822"/>
      <c r="BE19" s="314"/>
      <c r="BF19" s="317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165"/>
      <c r="BW19" s="436" t="s">
        <v>211</v>
      </c>
      <c r="BY19" s="475" t="s">
        <v>45</v>
      </c>
      <c r="BZ19" s="449" t="s">
        <v>1</v>
      </c>
      <c r="CA19" s="479" t="s">
        <v>1</v>
      </c>
      <c r="CB19" s="473" t="s">
        <v>1</v>
      </c>
      <c r="CC19" s="621">
        <f>BF8</f>
        <v>0</v>
      </c>
      <c r="CD19" s="621">
        <f t="shared" ref="CD19:CM19" si="37">BG8</f>
        <v>1</v>
      </c>
      <c r="CE19" s="621">
        <f t="shared" si="37"/>
        <v>2</v>
      </c>
      <c r="CF19" s="621">
        <f t="shared" si="37"/>
        <v>3</v>
      </c>
      <c r="CG19" s="621">
        <f t="shared" si="37"/>
        <v>4</v>
      </c>
      <c r="CH19" s="621">
        <f t="shared" si="37"/>
        <v>5</v>
      </c>
      <c r="CI19" s="621">
        <f t="shared" si="37"/>
        <v>6</v>
      </c>
      <c r="CJ19" s="621">
        <f t="shared" si="37"/>
        <v>7</v>
      </c>
      <c r="CK19" s="621">
        <f t="shared" si="37"/>
        <v>8</v>
      </c>
      <c r="CL19" s="621">
        <f t="shared" si="37"/>
        <v>9</v>
      </c>
      <c r="CM19" s="621">
        <f t="shared" si="37"/>
        <v>10</v>
      </c>
      <c r="CN19" s="449" t="s">
        <v>1</v>
      </c>
      <c r="CO19" s="449" t="s">
        <v>1</v>
      </c>
      <c r="CP19" s="449" t="s">
        <v>1</v>
      </c>
      <c r="CQ19" s="449" t="s">
        <v>1</v>
      </c>
      <c r="CR19" s="449" t="s">
        <v>1</v>
      </c>
      <c r="CS19" s="449"/>
      <c r="CT19" s="449"/>
      <c r="CV19" s="791" t="s">
        <v>212</v>
      </c>
      <c r="CW19" s="446">
        <f>SUM(CW4:CW7)</f>
        <v>1613000.4</v>
      </c>
      <c r="CX19" s="446">
        <f t="shared" ref="CW19:CX19" si="38">SUM(CX4:CX7)</f>
        <v>1750000.4</v>
      </c>
      <c r="CY19" s="446">
        <f>SUM(CY4:CY7)</f>
        <v>1750000.4</v>
      </c>
    </row>
    <row r="20" spans="1:103" ht="16.5">
      <c r="A20" s="255" t="s">
        <v>213</v>
      </c>
      <c r="B20" s="456"/>
      <c r="C20" s="508">
        <v>24508462</v>
      </c>
      <c r="Y20" s="790" t="s">
        <v>81</v>
      </c>
      <c r="Z20" s="790"/>
      <c r="AA20" s="800">
        <f>BF58</f>
        <v>7.4026594176218374E-2</v>
      </c>
      <c r="AB20" s="198" t="s">
        <v>142</v>
      </c>
      <c r="AC20" s="199"/>
      <c r="AF20" s="818"/>
      <c r="AG20" s="811" t="s">
        <v>214</v>
      </c>
      <c r="AH20" s="61"/>
      <c r="AI20" s="405" t="s">
        <v>215</v>
      </c>
      <c r="AJ20" s="307">
        <f t="shared" ref="AJ20:AL24" si="39">B47</f>
        <v>14478.65056536</v>
      </c>
      <c r="AK20" s="307">
        <f t="shared" si="39"/>
        <v>14737.02</v>
      </c>
      <c r="AL20" s="307">
        <f t="shared" si="39"/>
        <v>15000</v>
      </c>
      <c r="AM20" s="600">
        <f t="shared" ref="AM20:AM26" si="40">+AO20/$C$16</f>
        <v>0.3</v>
      </c>
      <c r="AN20" s="70"/>
      <c r="AO20" s="71">
        <f>+AL20</f>
        <v>15000</v>
      </c>
      <c r="AP20" s="73">
        <f>AO20*(1+F$70)</f>
        <v>15300</v>
      </c>
      <c r="AQ20" s="73">
        <f t="shared" ref="AP20:AY24" si="41">AP20*(1+G$70)</f>
        <v>15606</v>
      </c>
      <c r="AR20" s="73">
        <f t="shared" si="41"/>
        <v>15918.12</v>
      </c>
      <c r="AS20" s="73">
        <f t="shared" si="41"/>
        <v>16236.482400000001</v>
      </c>
      <c r="AT20" s="73">
        <f t="shared" si="41"/>
        <v>16561.212048000001</v>
      </c>
      <c r="AU20" s="73">
        <f t="shared" si="41"/>
        <v>16892.436288960002</v>
      </c>
      <c r="AV20" s="73">
        <f t="shared" si="41"/>
        <v>17230.285014739202</v>
      </c>
      <c r="AW20" s="73">
        <f t="shared" si="41"/>
        <v>17574.890715033987</v>
      </c>
      <c r="AX20" s="73">
        <f t="shared" si="41"/>
        <v>17926.388529334668</v>
      </c>
      <c r="AY20" s="73">
        <f t="shared" si="41"/>
        <v>18284.916299921362</v>
      </c>
      <c r="AZ20" s="388" t="s">
        <v>215</v>
      </c>
      <c r="BA20" s="73"/>
      <c r="BB20" s="73"/>
      <c r="BC20" s="295"/>
      <c r="BD20" s="821" t="s">
        <v>216</v>
      </c>
      <c r="BE20" s="314"/>
      <c r="BF20" s="317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165"/>
      <c r="BY20" s="622" t="s">
        <v>57</v>
      </c>
      <c r="BZ20" s="449" t="s">
        <v>1</v>
      </c>
      <c r="CA20" s="623"/>
      <c r="CB20" s="473" t="s">
        <v>1</v>
      </c>
      <c r="CC20" s="495"/>
      <c r="CD20" s="493"/>
      <c r="CE20" s="482"/>
      <c r="CF20" s="482"/>
      <c r="CG20" s="449"/>
      <c r="CH20" s="449"/>
      <c r="CI20" s="449"/>
      <c r="CJ20" s="449"/>
      <c r="CK20" s="449"/>
      <c r="CL20" s="449"/>
      <c r="CM20" s="449"/>
      <c r="CN20" s="449" t="s">
        <v>1</v>
      </c>
      <c r="CO20" s="449" t="s">
        <v>1</v>
      </c>
      <c r="CP20" s="449" t="s">
        <v>1</v>
      </c>
      <c r="CQ20" s="449" t="s">
        <v>1</v>
      </c>
      <c r="CR20" s="449" t="s">
        <v>1</v>
      </c>
      <c r="CS20" s="449"/>
      <c r="CT20" s="449"/>
    </row>
    <row r="21" spans="1:103" ht="16.5">
      <c r="Y21" s="790" t="s">
        <v>217</v>
      </c>
      <c r="Z21" s="790"/>
      <c r="AA21" s="801">
        <f>BF61</f>
        <v>1.7670736361897403</v>
      </c>
      <c r="AB21" s="198" t="s">
        <v>142</v>
      </c>
      <c r="AC21" s="199"/>
      <c r="AF21" s="815"/>
      <c r="AG21" s="811" t="s">
        <v>218</v>
      </c>
      <c r="AH21" s="61"/>
      <c r="AI21" s="404" t="s">
        <v>219</v>
      </c>
      <c r="AJ21" s="307">
        <f t="shared" si="39"/>
        <v>62740.81911656</v>
      </c>
      <c r="AK21" s="307">
        <f t="shared" si="39"/>
        <v>63860.42</v>
      </c>
      <c r="AL21" s="307">
        <f t="shared" si="39"/>
        <v>65000</v>
      </c>
      <c r="AM21" s="600">
        <f t="shared" si="40"/>
        <v>1.3</v>
      </c>
      <c r="AN21" s="70"/>
      <c r="AO21" s="71">
        <f t="shared" ref="AO21:AO28" si="42">+AL21</f>
        <v>65000</v>
      </c>
      <c r="AP21" s="73">
        <f>AO21*(1+F$70)</f>
        <v>66300</v>
      </c>
      <c r="AQ21" s="73">
        <f t="shared" si="41"/>
        <v>67626</v>
      </c>
      <c r="AR21" s="73">
        <f t="shared" si="41"/>
        <v>68978.52</v>
      </c>
      <c r="AS21" s="73">
        <f t="shared" si="41"/>
        <v>70358.090400000001</v>
      </c>
      <c r="AT21" s="73">
        <f t="shared" si="41"/>
        <v>71765.252208000005</v>
      </c>
      <c r="AU21" s="73">
        <f t="shared" si="41"/>
        <v>73200.557252160012</v>
      </c>
      <c r="AV21" s="73">
        <f t="shared" si="41"/>
        <v>74664.568397203213</v>
      </c>
      <c r="AW21" s="73">
        <f t="shared" si="41"/>
        <v>76157.859765147281</v>
      </c>
      <c r="AX21" s="73">
        <f t="shared" si="41"/>
        <v>77681.01696045023</v>
      </c>
      <c r="AY21" s="73">
        <f t="shared" si="41"/>
        <v>79234.63729965924</v>
      </c>
      <c r="AZ21" s="387" t="s">
        <v>219</v>
      </c>
      <c r="BA21" s="73"/>
      <c r="BB21" s="73"/>
      <c r="BC21" s="295"/>
      <c r="BD21" s="807" t="s">
        <v>207</v>
      </c>
      <c r="BE21" s="322"/>
      <c r="BF21" s="317"/>
      <c r="BG21" s="317">
        <f>AO18</f>
        <v>2281500.36</v>
      </c>
      <c r="BH21" s="317">
        <f t="shared" ref="BG21:BQ21" si="43">AP18</f>
        <v>2281500.36</v>
      </c>
      <c r="BI21" s="317">
        <f>AQ18</f>
        <v>2281500.36</v>
      </c>
      <c r="BJ21" s="317">
        <f t="shared" si="43"/>
        <v>2281500.36</v>
      </c>
      <c r="BK21" s="317">
        <f t="shared" si="43"/>
        <v>2281500.36</v>
      </c>
      <c r="BL21" s="317">
        <f t="shared" si="43"/>
        <v>2509650.3959999997</v>
      </c>
      <c r="BM21" s="317">
        <f t="shared" si="43"/>
        <v>2509650.3959999997</v>
      </c>
      <c r="BN21" s="317">
        <f t="shared" si="43"/>
        <v>2509650.3959999997</v>
      </c>
      <c r="BO21" s="317">
        <f t="shared" si="43"/>
        <v>2509650.3959999997</v>
      </c>
      <c r="BP21" s="317">
        <f t="shared" si="43"/>
        <v>2509650.3959999997</v>
      </c>
      <c r="BQ21" s="317">
        <f t="shared" si="43"/>
        <v>2760615.4356</v>
      </c>
      <c r="BR21" s="317">
        <f>'[1]Property Cash Flow'!AU18</f>
        <v>0</v>
      </c>
      <c r="BS21" s="317">
        <f>'[1]Property Cash Flow'!AV18</f>
        <v>0</v>
      </c>
      <c r="BT21" s="317">
        <f>'[1]Property Cash Flow'!AW18</f>
        <v>0</v>
      </c>
      <c r="BU21" s="317">
        <f>'[1]Property Cash Flow'!AX18</f>
        <v>0</v>
      </c>
      <c r="BV21" s="165"/>
      <c r="BY21" s="452" t="s">
        <v>58</v>
      </c>
      <c r="BZ21" s="449"/>
      <c r="CA21" s="577" t="e">
        <f>SUM(CC21:CM21)</f>
        <v>#VALUE!</v>
      </c>
      <c r="CB21" s="473"/>
      <c r="CC21" s="577" t="e">
        <f>(CC19&lt;&gt;"") * (CC55 + CC75 + CC90 + CC102)</f>
        <v>#VALUE!</v>
      </c>
      <c r="CD21" s="577" t="e">
        <f t="shared" ref="CD21:CM21" si="44">(CD19&lt;&gt;"") * (CD55 + CD75 + CD90 + CD102)</f>
        <v>#VALUE!</v>
      </c>
      <c r="CE21" s="577" t="e">
        <f t="shared" si="44"/>
        <v>#VALUE!</v>
      </c>
      <c r="CF21" s="577" t="e">
        <f t="shared" si="44"/>
        <v>#VALUE!</v>
      </c>
      <c r="CG21" s="577" t="e">
        <f t="shared" si="44"/>
        <v>#VALUE!</v>
      </c>
      <c r="CH21" s="577" t="e">
        <f t="shared" si="44"/>
        <v>#VALUE!</v>
      </c>
      <c r="CI21" s="577" t="e">
        <f t="shared" si="44"/>
        <v>#VALUE!</v>
      </c>
      <c r="CJ21" s="577" t="e">
        <f t="shared" si="44"/>
        <v>#VALUE!</v>
      </c>
      <c r="CK21" s="577" t="e">
        <f t="shared" si="44"/>
        <v>#VALUE!</v>
      </c>
      <c r="CL21" s="577" t="e">
        <f t="shared" si="44"/>
        <v>#VALUE!</v>
      </c>
      <c r="CM21" s="577" t="e">
        <f t="shared" si="44"/>
        <v>#VALUE!</v>
      </c>
      <c r="CN21" s="473" t="s">
        <v>61</v>
      </c>
      <c r="CO21" s="473" t="s">
        <v>61</v>
      </c>
      <c r="CP21" s="473" t="s">
        <v>61</v>
      </c>
      <c r="CQ21" s="473" t="s">
        <v>61</v>
      </c>
      <c r="CR21" s="473" t="s">
        <v>61</v>
      </c>
      <c r="CS21" s="449"/>
      <c r="CT21" s="449"/>
    </row>
    <row r="22" spans="1:103" ht="37.5">
      <c r="A22" s="109" t="s">
        <v>220</v>
      </c>
      <c r="B22" s="109"/>
      <c r="C22" s="109"/>
      <c r="T22" s="177"/>
      <c r="U22" s="177"/>
      <c r="Y22" s="790" t="s">
        <v>221</v>
      </c>
      <c r="Z22" s="790"/>
      <c r="AA22" s="800">
        <f>INDEX(BG57:BU57,1,C27)</f>
        <v>6.1622664269816538E-2</v>
      </c>
      <c r="AB22" s="198" t="s">
        <v>222</v>
      </c>
      <c r="AC22" s="199"/>
      <c r="AF22" s="815"/>
      <c r="AG22" s="811" t="s">
        <v>223</v>
      </c>
      <c r="AH22" s="61"/>
      <c r="AI22" s="405" t="s">
        <v>94</v>
      </c>
      <c r="AJ22" s="307">
        <f t="shared" si="39"/>
        <v>72393.252826800002</v>
      </c>
      <c r="AK22" s="307">
        <f t="shared" si="39"/>
        <v>73685.100000000006</v>
      </c>
      <c r="AL22" s="307">
        <f t="shared" si="39"/>
        <v>75000</v>
      </c>
      <c r="AM22" s="600">
        <f t="shared" si="40"/>
        <v>1.5</v>
      </c>
      <c r="AN22" s="70"/>
      <c r="AO22" s="71">
        <f t="shared" si="42"/>
        <v>75000</v>
      </c>
      <c r="AP22" s="73">
        <f t="shared" si="41"/>
        <v>76500</v>
      </c>
      <c r="AQ22" s="73">
        <f t="shared" si="41"/>
        <v>78030</v>
      </c>
      <c r="AR22" s="73">
        <f t="shared" si="41"/>
        <v>79590.600000000006</v>
      </c>
      <c r="AS22" s="73">
        <f t="shared" si="41"/>
        <v>81182.412000000011</v>
      </c>
      <c r="AT22" s="73">
        <f t="shared" si="41"/>
        <v>82806.060240000006</v>
      </c>
      <c r="AU22" s="73">
        <f t="shared" si="41"/>
        <v>84462.181444800008</v>
      </c>
      <c r="AV22" s="73">
        <f t="shared" si="41"/>
        <v>86151.425073696009</v>
      </c>
      <c r="AW22" s="73">
        <f t="shared" si="41"/>
        <v>87874.45357516993</v>
      </c>
      <c r="AX22" s="73">
        <f t="shared" si="41"/>
        <v>89631.942646673328</v>
      </c>
      <c r="AY22" s="73">
        <f t="shared" si="41"/>
        <v>91424.581499606793</v>
      </c>
      <c r="AZ22" s="388" t="s">
        <v>94</v>
      </c>
      <c r="BA22" s="73"/>
      <c r="BB22" s="73"/>
      <c r="BC22" s="295"/>
      <c r="BD22" s="820" t="s">
        <v>224</v>
      </c>
      <c r="BE22" s="323"/>
      <c r="BF22" s="318"/>
      <c r="BG22" s="318">
        <f>AO29</f>
        <v>688450.01080000005</v>
      </c>
      <c r="BH22" s="318">
        <f t="shared" ref="BG22:BQ22" si="45">AP29</f>
        <v>700850.11080000002</v>
      </c>
      <c r="BI22" s="318">
        <f t="shared" si="45"/>
        <v>713498.21279999998</v>
      </c>
      <c r="BJ22" s="318">
        <f t="shared" si="45"/>
        <v>726399.27683999995</v>
      </c>
      <c r="BK22" s="318">
        <f t="shared" si="45"/>
        <v>739558.36216080002</v>
      </c>
      <c r="BL22" s="318">
        <f t="shared" si="45"/>
        <v>759825.13026801613</v>
      </c>
      <c r="BM22" s="318">
        <f t="shared" si="45"/>
        <v>773515.84263577638</v>
      </c>
      <c r="BN22" s="318">
        <f t="shared" si="45"/>
        <v>787480.36925089196</v>
      </c>
      <c r="BO22" s="318">
        <f t="shared" si="45"/>
        <v>801724.18639830989</v>
      </c>
      <c r="BP22" s="318">
        <f t="shared" si="45"/>
        <v>816252.87988867599</v>
      </c>
      <c r="BQ22" s="318">
        <f t="shared" si="45"/>
        <v>838601.09843684942</v>
      </c>
      <c r="BR22" s="318">
        <f>'[1]Property Cash Flow'!AU28</f>
        <v>0</v>
      </c>
      <c r="BS22" s="318">
        <f>'[1]Property Cash Flow'!AV28</f>
        <v>0</v>
      </c>
      <c r="BT22" s="318">
        <f>'[1]Property Cash Flow'!AW28</f>
        <v>0</v>
      </c>
      <c r="BU22" s="318">
        <f>'[1]Property Cash Flow'!AX28</f>
        <v>0</v>
      </c>
      <c r="BV22" s="165"/>
      <c r="BY22" s="452" t="s">
        <v>62</v>
      </c>
      <c r="BZ22" s="449"/>
      <c r="CA22" s="577">
        <f>SUM(CC22:CM22)</f>
        <v>9352809.7958499976</v>
      </c>
      <c r="CB22" s="473"/>
      <c r="CC22" s="478">
        <f>CC51</f>
        <v>9352809.7958499976</v>
      </c>
      <c r="CD22" s="478">
        <f t="shared" ref="CD22:CM22" si="46">CD51</f>
        <v>0</v>
      </c>
      <c r="CE22" s="478">
        <f t="shared" si="46"/>
        <v>0</v>
      </c>
      <c r="CF22" s="478">
        <f t="shared" si="46"/>
        <v>0</v>
      </c>
      <c r="CG22" s="478">
        <f t="shared" si="46"/>
        <v>0</v>
      </c>
      <c r="CH22" s="478">
        <f t="shared" si="46"/>
        <v>0</v>
      </c>
      <c r="CI22" s="478">
        <f t="shared" si="46"/>
        <v>0</v>
      </c>
      <c r="CJ22" s="478">
        <f t="shared" si="46"/>
        <v>0</v>
      </c>
      <c r="CK22" s="478">
        <f t="shared" si="46"/>
        <v>0</v>
      </c>
      <c r="CL22" s="478">
        <f t="shared" si="46"/>
        <v>0</v>
      </c>
      <c r="CM22" s="478">
        <f t="shared" si="46"/>
        <v>0</v>
      </c>
      <c r="CN22" s="473" t="s">
        <v>61</v>
      </c>
      <c r="CO22" s="473" t="s">
        <v>61</v>
      </c>
      <c r="CP22" s="473" t="s">
        <v>61</v>
      </c>
      <c r="CQ22" s="473" t="s">
        <v>61</v>
      </c>
      <c r="CR22" s="473" t="s">
        <v>61</v>
      </c>
      <c r="CS22" s="449"/>
      <c r="CT22" s="449"/>
    </row>
    <row r="23" spans="1:103" ht="16.5">
      <c r="A23" s="218"/>
      <c r="B23" s="218"/>
      <c r="C23" s="93"/>
      <c r="T23" s="420"/>
      <c r="U23" s="420"/>
      <c r="Y23" s="790"/>
      <c r="Z23" s="790"/>
      <c r="AA23" s="802"/>
      <c r="AB23" s="198"/>
      <c r="AC23" s="199"/>
      <c r="AF23" s="815"/>
      <c r="AG23" s="811" t="s">
        <v>225</v>
      </c>
      <c r="AH23" s="61"/>
      <c r="AI23" s="405" t="s">
        <v>226</v>
      </c>
      <c r="AJ23" s="307">
        <f t="shared" si="39"/>
        <v>91698.120247280007</v>
      </c>
      <c r="AK23" s="307">
        <f t="shared" si="39"/>
        <v>93334.46</v>
      </c>
      <c r="AL23" s="307">
        <f t="shared" si="39"/>
        <v>95000</v>
      </c>
      <c r="AM23" s="600">
        <f t="shared" si="40"/>
        <v>1.9</v>
      </c>
      <c r="AN23" s="70"/>
      <c r="AO23" s="71">
        <f t="shared" si="42"/>
        <v>95000</v>
      </c>
      <c r="AP23" s="73">
        <f t="shared" si="41"/>
        <v>96900</v>
      </c>
      <c r="AQ23" s="73">
        <f t="shared" si="41"/>
        <v>98838</v>
      </c>
      <c r="AR23" s="73">
        <f t="shared" si="41"/>
        <v>100814.76</v>
      </c>
      <c r="AS23" s="73">
        <f t="shared" si="41"/>
        <v>102831.0552</v>
      </c>
      <c r="AT23" s="73">
        <f t="shared" si="41"/>
        <v>104887.67630400001</v>
      </c>
      <c r="AU23" s="73">
        <f t="shared" si="41"/>
        <v>106985.42983008001</v>
      </c>
      <c r="AV23" s="73">
        <f t="shared" si="41"/>
        <v>109125.13842668162</v>
      </c>
      <c r="AW23" s="73">
        <f t="shared" si="41"/>
        <v>111307.64119521526</v>
      </c>
      <c r="AX23" s="73">
        <f t="shared" si="41"/>
        <v>113533.79401911957</v>
      </c>
      <c r="AY23" s="73">
        <f t="shared" si="41"/>
        <v>115804.46989950196</v>
      </c>
      <c r="AZ23" s="388" t="s">
        <v>226</v>
      </c>
      <c r="BA23" s="73"/>
      <c r="BB23" s="73"/>
      <c r="BC23" s="295"/>
      <c r="BD23" s="807" t="s">
        <v>227</v>
      </c>
      <c r="BE23" s="323"/>
      <c r="BF23" s="317"/>
      <c r="BG23" s="317">
        <f>BG21-BG22</f>
        <v>1593050.3491999998</v>
      </c>
      <c r="BH23" s="317">
        <f>BH21-BH22</f>
        <v>1580650.2492</v>
      </c>
      <c r="BI23" s="317">
        <f t="shared" ref="BG23:BP23" si="47">BI21-BI22</f>
        <v>1568002.1472</v>
      </c>
      <c r="BJ23" s="317">
        <f>BJ21-BJ22</f>
        <v>1555101.0831599999</v>
      </c>
      <c r="BK23" s="317">
        <f t="shared" si="47"/>
        <v>1541941.9978391998</v>
      </c>
      <c r="BL23" s="317">
        <f t="shared" si="47"/>
        <v>1749825.2657319836</v>
      </c>
      <c r="BM23" s="317">
        <f t="shared" si="47"/>
        <v>1736134.5533642233</v>
      </c>
      <c r="BN23" s="317">
        <f t="shared" si="47"/>
        <v>1722170.0267491078</v>
      </c>
      <c r="BO23" s="317">
        <f t="shared" si="47"/>
        <v>1707926.2096016898</v>
      </c>
      <c r="BP23" s="317">
        <f t="shared" si="47"/>
        <v>1693397.5161113236</v>
      </c>
      <c r="BQ23" s="317"/>
      <c r="BR23" s="317" t="str">
        <f t="shared" ref="BR23:BU23" si="48">IF(BR8="","",BR21-BR22)</f>
        <v/>
      </c>
      <c r="BS23" s="317" t="str">
        <f t="shared" si="48"/>
        <v/>
      </c>
      <c r="BT23" s="317" t="str">
        <f t="shared" si="48"/>
        <v/>
      </c>
      <c r="BU23" s="317" t="str">
        <f t="shared" si="48"/>
        <v/>
      </c>
      <c r="BV23" s="165"/>
      <c r="BY23" s="452" t="s">
        <v>63</v>
      </c>
      <c r="BZ23" s="449"/>
      <c r="CA23" s="577" t="e">
        <f>CA21-CA22</f>
        <v>#VALUE!</v>
      </c>
      <c r="CB23" s="473"/>
      <c r="CC23" s="624"/>
      <c r="CD23" s="473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 t="s">
        <v>1</v>
      </c>
      <c r="CO23" s="449" t="s">
        <v>1</v>
      </c>
      <c r="CP23" s="449" t="s">
        <v>1</v>
      </c>
      <c r="CQ23" s="449" t="s">
        <v>1</v>
      </c>
      <c r="CR23" s="449" t="s">
        <v>1</v>
      </c>
      <c r="CS23" s="449"/>
      <c r="CT23" s="449"/>
      <c r="CY23" s="446"/>
    </row>
    <row r="24" spans="1:103" ht="21" customHeight="1">
      <c r="A24" s="150" t="s">
        <v>228</v>
      </c>
      <c r="B24" s="220"/>
      <c r="C24" s="94">
        <v>3.5000000000000003E-2</v>
      </c>
      <c r="Y24" s="790" t="s">
        <v>229</v>
      </c>
      <c r="Z24" s="790"/>
      <c r="AA24" s="801">
        <f>MIN(BG63:BQ63)</f>
        <v>1.7962542688475074</v>
      </c>
      <c r="AB24" s="198" t="s">
        <v>230</v>
      </c>
      <c r="AC24" s="199"/>
      <c r="AF24" s="815"/>
      <c r="AG24" s="811" t="s">
        <v>231</v>
      </c>
      <c r="AH24" s="61"/>
      <c r="AI24" s="405" t="s">
        <v>232</v>
      </c>
      <c r="AJ24" s="307">
        <f t="shared" si="39"/>
        <v>82045.686537040005</v>
      </c>
      <c r="AK24" s="307">
        <f t="shared" si="39"/>
        <v>83509.78</v>
      </c>
      <c r="AL24" s="307">
        <f t="shared" si="39"/>
        <v>85000</v>
      </c>
      <c r="AM24" s="600">
        <f t="shared" si="40"/>
        <v>1.7</v>
      </c>
      <c r="AN24" s="70"/>
      <c r="AO24" s="71">
        <f t="shared" si="42"/>
        <v>85000</v>
      </c>
      <c r="AP24" s="73">
        <f t="shared" si="41"/>
        <v>86700</v>
      </c>
      <c r="AQ24" s="73">
        <f t="shared" si="41"/>
        <v>88434</v>
      </c>
      <c r="AR24" s="73">
        <f t="shared" si="41"/>
        <v>90202.680000000008</v>
      </c>
      <c r="AS24" s="73">
        <f t="shared" si="41"/>
        <v>92006.733600000007</v>
      </c>
      <c r="AT24" s="73">
        <f t="shared" si="41"/>
        <v>93846.868272000007</v>
      </c>
      <c r="AU24" s="73">
        <f t="shared" si="41"/>
        <v>95723.805637440004</v>
      </c>
      <c r="AV24" s="73">
        <f t="shared" si="41"/>
        <v>97638.281750188806</v>
      </c>
      <c r="AW24" s="73">
        <f t="shared" si="41"/>
        <v>99591.047385192578</v>
      </c>
      <c r="AX24" s="73">
        <f t="shared" si="41"/>
        <v>101582.86833289643</v>
      </c>
      <c r="AY24" s="73">
        <f t="shared" si="41"/>
        <v>103614.52569955436</v>
      </c>
      <c r="AZ24" s="388" t="s">
        <v>232</v>
      </c>
      <c r="BA24" s="73"/>
      <c r="BB24" s="73"/>
      <c r="BC24" s="295"/>
      <c r="BD24" s="820" t="s">
        <v>233</v>
      </c>
      <c r="BE24" s="323"/>
      <c r="BF24" s="318"/>
      <c r="BG24" s="318">
        <f>AO37</f>
        <v>25000</v>
      </c>
      <c r="BH24" s="318">
        <f t="shared" ref="BG24:BP24" si="49">AP37</f>
        <v>25500</v>
      </c>
      <c r="BI24" s="318">
        <f t="shared" si="49"/>
        <v>276010</v>
      </c>
      <c r="BJ24" s="318">
        <f t="shared" si="49"/>
        <v>1526530.2</v>
      </c>
      <c r="BK24" s="318">
        <f t="shared" si="49"/>
        <v>27060.804</v>
      </c>
      <c r="BL24" s="318">
        <f t="shared" si="49"/>
        <v>27602.020080000002</v>
      </c>
      <c r="BM24" s="318">
        <f t="shared" si="49"/>
        <v>28154.060481600001</v>
      </c>
      <c r="BN24" s="318">
        <f t="shared" si="49"/>
        <v>28717.141691232002</v>
      </c>
      <c r="BO24" s="318">
        <f t="shared" si="49"/>
        <v>29291.484525056643</v>
      </c>
      <c r="BP24" s="318">
        <f t="shared" si="49"/>
        <v>29877.314215557777</v>
      </c>
      <c r="BQ24" s="318"/>
      <c r="BR24" s="318" t="str">
        <f>IF(BS8="","",'[1]Property Cash Flow'!AU36)</f>
        <v/>
      </c>
      <c r="BS24" s="318" t="str">
        <f>IF(BT8="","",'[1]Property Cash Flow'!AV36)</f>
        <v/>
      </c>
      <c r="BT24" s="318" t="str">
        <f>IF(BU8="","",'[1]Property Cash Flow'!AW36)</f>
        <v/>
      </c>
      <c r="BU24" s="318" t="str">
        <f>IF(BV8="","",'[1]Property Cash Flow'!AX36)</f>
        <v/>
      </c>
      <c r="BV24" s="165"/>
      <c r="BY24" s="452" t="s">
        <v>64</v>
      </c>
      <c r="BZ24" s="449"/>
      <c r="CA24" s="493" t="e">
        <f>IRR(CC24:CM24)</f>
        <v>#VALUE!</v>
      </c>
      <c r="CB24" s="473"/>
      <c r="CC24" s="577" t="e">
        <f>(CC19&lt;&gt;"") * (-CC22 + CC21)</f>
        <v>#VALUE!</v>
      </c>
      <c r="CD24" s="577" t="e">
        <f t="shared" ref="CD24:CM24" si="50">(CD19&lt;&gt;"") * (-CD22 + CD21)</f>
        <v>#VALUE!</v>
      </c>
      <c r="CE24" s="577" t="e">
        <f t="shared" si="50"/>
        <v>#VALUE!</v>
      </c>
      <c r="CF24" s="577" t="e">
        <f t="shared" si="50"/>
        <v>#VALUE!</v>
      </c>
      <c r="CG24" s="577" t="e">
        <f t="shared" si="50"/>
        <v>#VALUE!</v>
      </c>
      <c r="CH24" s="577" t="e">
        <f t="shared" si="50"/>
        <v>#VALUE!</v>
      </c>
      <c r="CI24" s="577" t="e">
        <f t="shared" si="50"/>
        <v>#VALUE!</v>
      </c>
      <c r="CJ24" s="577" t="e">
        <f t="shared" si="50"/>
        <v>#VALUE!</v>
      </c>
      <c r="CK24" s="577" t="e">
        <f t="shared" si="50"/>
        <v>#VALUE!</v>
      </c>
      <c r="CL24" s="577" t="e">
        <f t="shared" si="50"/>
        <v>#VALUE!</v>
      </c>
      <c r="CM24" s="577" t="e">
        <f t="shared" si="50"/>
        <v>#VALUE!</v>
      </c>
      <c r="CN24" s="577"/>
      <c r="CO24" s="577"/>
      <c r="CP24" s="577"/>
      <c r="CQ24" s="577"/>
      <c r="CR24" s="577"/>
      <c r="CS24" s="577"/>
      <c r="CT24" s="449"/>
    </row>
    <row r="25" spans="1:103" ht="21" customHeight="1">
      <c r="A25" s="150" t="s">
        <v>234</v>
      </c>
      <c r="B25" s="220"/>
      <c r="C25" s="95">
        <v>0</v>
      </c>
      <c r="Y25" s="790" t="s">
        <v>235</v>
      </c>
      <c r="Z25" s="790"/>
      <c r="AA25" s="800">
        <f>MIN(BG64:BQ64)</f>
        <v>0.10195669960921851</v>
      </c>
      <c r="AB25" s="198" t="s">
        <v>230</v>
      </c>
      <c r="AC25" s="199"/>
      <c r="AF25" s="815"/>
      <c r="AG25" s="811" t="s">
        <v>236</v>
      </c>
      <c r="AH25" s="601"/>
      <c r="AI25" s="407"/>
      <c r="AJ25" s="307">
        <f>AJ18*$B34</f>
        <v>63313.355271731991</v>
      </c>
      <c r="AK25" s="307">
        <f>AK18*$B34</f>
        <v>67280.263800000001</v>
      </c>
      <c r="AL25" s="307">
        <f>AL18*$B34</f>
        <v>68445.010799999989</v>
      </c>
      <c r="AM25" s="600">
        <f t="shared" si="40"/>
        <v>1.3689002159999999</v>
      </c>
      <c r="AN25" s="96"/>
      <c r="AO25" s="71">
        <f>+AL25</f>
        <v>68445.010799999989</v>
      </c>
      <c r="AP25" s="73">
        <f t="shared" ref="AP25:AY25" si="51">AP18*$B$34</f>
        <v>68445.010799999989</v>
      </c>
      <c r="AQ25" s="73">
        <f t="shared" si="51"/>
        <v>68445.010799999989</v>
      </c>
      <c r="AR25" s="73">
        <f t="shared" si="51"/>
        <v>68445.010799999989</v>
      </c>
      <c r="AS25" s="73">
        <f t="shared" si="51"/>
        <v>68445.010799999989</v>
      </c>
      <c r="AT25" s="73">
        <f t="shared" si="51"/>
        <v>75289.511879999991</v>
      </c>
      <c r="AU25" s="73">
        <f t="shared" si="51"/>
        <v>75289.511879999991</v>
      </c>
      <c r="AV25" s="73">
        <f t="shared" si="51"/>
        <v>75289.511879999991</v>
      </c>
      <c r="AW25" s="73">
        <f t="shared" si="51"/>
        <v>75289.511879999991</v>
      </c>
      <c r="AX25" s="73">
        <f t="shared" si="51"/>
        <v>75289.511879999991</v>
      </c>
      <c r="AY25" s="73">
        <f t="shared" si="51"/>
        <v>82818.463067999997</v>
      </c>
      <c r="AZ25" s="390"/>
      <c r="BA25" s="71"/>
      <c r="BB25" s="71"/>
      <c r="BC25" s="300"/>
      <c r="BD25" s="807" t="s">
        <v>237</v>
      </c>
      <c r="BE25" s="324"/>
      <c r="BF25" s="317"/>
      <c r="BG25" s="320">
        <f>BG23-BG24</f>
        <v>1568050.3491999998</v>
      </c>
      <c r="BH25" s="325">
        <f>BH23-BH24</f>
        <v>1555150.2492</v>
      </c>
      <c r="BI25" s="320">
        <f t="shared" ref="BI25:BP25" si="52">BI23-BI24</f>
        <v>1291992.1472</v>
      </c>
      <c r="BJ25" s="320">
        <f t="shared" si="52"/>
        <v>28570.883159999968</v>
      </c>
      <c r="BK25" s="320">
        <f t="shared" si="52"/>
        <v>1514881.1938391998</v>
      </c>
      <c r="BL25" s="320">
        <f t="shared" si="52"/>
        <v>1722223.2456519837</v>
      </c>
      <c r="BM25" s="320">
        <f t="shared" si="52"/>
        <v>1707980.4928826233</v>
      </c>
      <c r="BN25" s="320">
        <f t="shared" si="52"/>
        <v>1693452.8850578757</v>
      </c>
      <c r="BO25" s="320">
        <f t="shared" si="52"/>
        <v>1678634.7250766333</v>
      </c>
      <c r="BP25" s="320">
        <f t="shared" si="52"/>
        <v>1663520.2018957657</v>
      </c>
      <c r="BQ25" s="320"/>
      <c r="BR25" s="317" t="str">
        <f t="shared" ref="BR25:BU25" si="53">IF(BS8="","",BR23-BR24)</f>
        <v/>
      </c>
      <c r="BS25" s="317" t="str">
        <f t="shared" si="53"/>
        <v/>
      </c>
      <c r="BT25" s="317" t="str">
        <f t="shared" si="53"/>
        <v/>
      </c>
      <c r="BU25" s="317" t="str">
        <f t="shared" si="53"/>
        <v/>
      </c>
      <c r="BV25" s="165"/>
      <c r="BY25" s="452" t="s">
        <v>65</v>
      </c>
      <c r="BZ25" s="449"/>
      <c r="CA25" s="579" t="e">
        <f>CA21/CA22</f>
        <v>#VALUE!</v>
      </c>
      <c r="CB25" s="473"/>
      <c r="CC25" s="624"/>
      <c r="CD25" s="473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 t="s">
        <v>1</v>
      </c>
      <c r="CO25" s="449" t="s">
        <v>1</v>
      </c>
      <c r="CP25" s="449" t="s">
        <v>1</v>
      </c>
      <c r="CQ25" s="449" t="s">
        <v>1</v>
      </c>
      <c r="CR25" s="449" t="s">
        <v>1</v>
      </c>
      <c r="CS25" s="449"/>
      <c r="CT25" s="449"/>
    </row>
    <row r="26" spans="1:103" ht="16.5">
      <c r="A26" s="150" t="s">
        <v>238</v>
      </c>
      <c r="B26" s="220"/>
      <c r="C26" s="97">
        <v>30</v>
      </c>
      <c r="Y26" s="803" t="s">
        <v>166</v>
      </c>
      <c r="Z26" s="803"/>
      <c r="AA26" s="803"/>
      <c r="AC26" s="199"/>
      <c r="AF26" s="815"/>
      <c r="AG26" s="811" t="s">
        <v>239</v>
      </c>
      <c r="AH26" s="61"/>
      <c r="AI26" s="405" t="s">
        <v>240</v>
      </c>
      <c r="AJ26" s="307">
        <f>B53</f>
        <v>33783.517985840001</v>
      </c>
      <c r="AK26" s="307">
        <f>C53</f>
        <v>34386.379999999997</v>
      </c>
      <c r="AL26" s="307">
        <f>D53</f>
        <v>35000</v>
      </c>
      <c r="AM26" s="600">
        <f t="shared" si="40"/>
        <v>0.7</v>
      </c>
      <c r="AN26" s="70"/>
      <c r="AO26" s="71">
        <f t="shared" si="42"/>
        <v>35000</v>
      </c>
      <c r="AP26" s="73">
        <f t="shared" ref="AP26:AY28" si="54">AO26*(1+F$70)</f>
        <v>35700</v>
      </c>
      <c r="AQ26" s="73">
        <f>AP26*(1+G$70)</f>
        <v>36414</v>
      </c>
      <c r="AR26" s="73">
        <f t="shared" si="54"/>
        <v>37142.28</v>
      </c>
      <c r="AS26" s="73">
        <f t="shared" si="54"/>
        <v>37885.125599999999</v>
      </c>
      <c r="AT26" s="73">
        <f t="shared" si="54"/>
        <v>38642.828112000003</v>
      </c>
      <c r="AU26" s="73">
        <f t="shared" si="54"/>
        <v>39415.684674240001</v>
      </c>
      <c r="AV26" s="73">
        <f t="shared" si="54"/>
        <v>40203.998367724802</v>
      </c>
      <c r="AW26" s="73">
        <f t="shared" si="54"/>
        <v>41008.078335079299</v>
      </c>
      <c r="AX26" s="73">
        <f t="shared" si="54"/>
        <v>41828.239901780886</v>
      </c>
      <c r="AY26" s="73">
        <f t="shared" si="54"/>
        <v>42664.804699816501</v>
      </c>
      <c r="AZ26" s="388" t="s">
        <v>240</v>
      </c>
      <c r="BA26" s="73"/>
      <c r="BB26" s="73"/>
      <c r="BC26" s="295"/>
      <c r="BD26" s="820" t="s">
        <v>241</v>
      </c>
      <c r="BE26" s="323"/>
      <c r="BF26" s="318"/>
      <c r="BG26" s="318">
        <f>(($C$20*$C$29)*$C$24)/(1-(1+$C$24/12)^-($C$26*12))</f>
        <v>858420.78406222712</v>
      </c>
      <c r="BH26" s="326">
        <f t="shared" ref="BG26:BP26" si="55">(($C$20*$C$29)*$C$24)/(1-(1+$C$24/12)^-($C$26*12))</f>
        <v>858420.78406222712</v>
      </c>
      <c r="BI26" s="318">
        <f t="shared" si="55"/>
        <v>858420.78406222712</v>
      </c>
      <c r="BJ26" s="318">
        <f t="shared" si="55"/>
        <v>858420.78406222712</v>
      </c>
      <c r="BK26" s="318">
        <f t="shared" si="55"/>
        <v>858420.78406222712</v>
      </c>
      <c r="BL26" s="318">
        <f t="shared" si="55"/>
        <v>858420.78406222712</v>
      </c>
      <c r="BM26" s="318">
        <f t="shared" si="55"/>
        <v>858420.78406222712</v>
      </c>
      <c r="BN26" s="318">
        <f t="shared" si="55"/>
        <v>858420.78406222712</v>
      </c>
      <c r="BO26" s="318">
        <f t="shared" si="55"/>
        <v>858420.78406222712</v>
      </c>
      <c r="BP26" s="318">
        <f t="shared" si="55"/>
        <v>858420.78406222712</v>
      </c>
      <c r="BQ26" s="318"/>
      <c r="BR26" s="318" t="str">
        <f>IF(BS8="","",IF(BR8&lt;='[1]Property Cash Flow'!$H$27,'[1]Property Cash Flow'!$H$34,'[1]Property Cash Flow'!$H$33))</f>
        <v/>
      </c>
      <c r="BS26" s="318" t="str">
        <f>IF(BT8="","",IF(BS8&lt;='[1]Property Cash Flow'!$H$27,'[1]Property Cash Flow'!$H$34,'[1]Property Cash Flow'!$H$33))</f>
        <v/>
      </c>
      <c r="BT26" s="318" t="str">
        <f>IF(BU8="","",IF(BT8&lt;='[1]Property Cash Flow'!$H$27,'[1]Property Cash Flow'!$H$34,'[1]Property Cash Flow'!$H$33))</f>
        <v/>
      </c>
      <c r="BU26" s="318" t="str">
        <f>IF(BV8="","",IF(BU8&lt;='[1]Property Cash Flow'!$H$27,'[1]Property Cash Flow'!$H$34,'[1]Property Cash Flow'!$H$33))</f>
        <v/>
      </c>
      <c r="BV26" s="165"/>
      <c r="BY26" s="452" t="s">
        <v>1</v>
      </c>
      <c r="BZ26" s="449"/>
      <c r="CA26" s="623"/>
      <c r="CB26" s="473"/>
      <c r="CC26" s="624"/>
      <c r="CD26" s="473"/>
      <c r="CE26" s="449"/>
      <c r="CF26" s="449"/>
      <c r="CG26" s="449"/>
      <c r="CH26" s="449"/>
      <c r="CI26" s="449"/>
      <c r="CJ26" s="449"/>
      <c r="CK26" s="449"/>
      <c r="CL26" s="449"/>
      <c r="CM26" s="449"/>
      <c r="CN26" s="449" t="s">
        <v>1</v>
      </c>
      <c r="CO26" s="449" t="s">
        <v>1</v>
      </c>
      <c r="CP26" s="449" t="s">
        <v>1</v>
      </c>
      <c r="CQ26" s="449" t="s">
        <v>1</v>
      </c>
      <c r="CR26" s="449" t="s">
        <v>1</v>
      </c>
      <c r="CS26" s="449"/>
      <c r="CT26" s="449"/>
    </row>
    <row r="27" spans="1:103" ht="62.25">
      <c r="A27" s="150" t="s">
        <v>242</v>
      </c>
      <c r="B27" s="220"/>
      <c r="C27" s="95">
        <f>Analysis_Period</f>
        <v>10</v>
      </c>
      <c r="Y27" s="794" t="s">
        <v>169</v>
      </c>
      <c r="Z27" s="794"/>
      <c r="AA27" s="795">
        <f>IF(C22="Manual Input",C35,IF(C22="DCF",AA28,IF(C22="Cap Year 1 NOI",AA21/C28,AA30)))</f>
        <v>159305.003</v>
      </c>
      <c r="AB27" s="198" t="s">
        <v>172</v>
      </c>
      <c r="AF27" s="815"/>
      <c r="AG27" s="811"/>
      <c r="AH27" s="61"/>
      <c r="AI27" s="405"/>
      <c r="AJ27" s="307"/>
      <c r="AK27" s="307"/>
      <c r="AL27" s="307"/>
      <c r="AM27" s="69"/>
      <c r="AN27" s="70" t="s">
        <v>243</v>
      </c>
      <c r="AO27" s="71"/>
      <c r="AP27" s="73">
        <f t="shared" si="54"/>
        <v>0</v>
      </c>
      <c r="AQ27" s="73">
        <f t="shared" si="54"/>
        <v>0</v>
      </c>
      <c r="AR27" s="73">
        <f t="shared" si="54"/>
        <v>0</v>
      </c>
      <c r="AS27" s="73">
        <f t="shared" si="54"/>
        <v>0</v>
      </c>
      <c r="AT27" s="73">
        <f t="shared" si="54"/>
        <v>0</v>
      </c>
      <c r="AU27" s="73">
        <f t="shared" si="54"/>
        <v>0</v>
      </c>
      <c r="AV27" s="73">
        <f t="shared" si="54"/>
        <v>0</v>
      </c>
      <c r="AW27" s="73">
        <f t="shared" si="54"/>
        <v>0</v>
      </c>
      <c r="AX27" s="73">
        <f t="shared" si="54"/>
        <v>0</v>
      </c>
      <c r="AY27" s="73">
        <f t="shared" si="54"/>
        <v>0</v>
      </c>
      <c r="AZ27" s="388"/>
      <c r="BA27" s="73"/>
      <c r="BB27" s="73"/>
      <c r="BC27" s="295"/>
      <c r="BD27" s="820"/>
      <c r="BE27" s="323"/>
      <c r="BF27" s="318"/>
      <c r="BG27" s="318"/>
      <c r="BH27" s="326"/>
      <c r="BI27" s="326"/>
      <c r="BJ27" s="318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165"/>
      <c r="BY27" s="452"/>
      <c r="BZ27" s="449"/>
      <c r="CA27" s="623"/>
      <c r="CB27" s="473"/>
      <c r="CC27" s="624"/>
      <c r="CD27" s="473"/>
      <c r="CE27" s="449"/>
      <c r="CF27" s="449"/>
      <c r="CG27" s="449"/>
      <c r="CH27" s="449"/>
      <c r="CI27" s="449"/>
      <c r="CJ27" s="449"/>
      <c r="CK27" s="449"/>
      <c r="CL27" s="449"/>
      <c r="CM27" s="449"/>
      <c r="CN27" s="449"/>
      <c r="CO27" s="449"/>
      <c r="CP27" s="449"/>
      <c r="CQ27" s="449"/>
      <c r="CR27" s="449"/>
      <c r="CS27" s="449"/>
      <c r="CT27" s="449"/>
    </row>
    <row r="28" spans="1:103" ht="16.5">
      <c r="A28" s="150"/>
      <c r="B28" s="220"/>
      <c r="C28" s="95"/>
      <c r="Y28" s="841" t="s">
        <v>220</v>
      </c>
      <c r="Z28" s="841"/>
      <c r="AA28" s="841"/>
      <c r="AF28" s="818"/>
      <c r="AG28" s="811" t="s">
        <v>244</v>
      </c>
      <c r="AH28" s="61"/>
      <c r="AI28" s="408" t="s">
        <v>245</v>
      </c>
      <c r="AJ28" s="98">
        <f>B54</f>
        <v>241315.668972855</v>
      </c>
      <c r="AK28" s="98">
        <f>C54</f>
        <v>245621.91234000001</v>
      </c>
      <c r="AL28" s="98">
        <f>D54</f>
        <v>250005</v>
      </c>
      <c r="AM28" s="99">
        <f>+AO28/C16</f>
        <v>5.0000999999999998</v>
      </c>
      <c r="AN28" s="100"/>
      <c r="AO28" s="101">
        <f t="shared" si="42"/>
        <v>250005</v>
      </c>
      <c r="AP28" s="73">
        <f>AO28*(1+F$70)</f>
        <v>255005.1</v>
      </c>
      <c r="AQ28" s="73">
        <f t="shared" si="54"/>
        <v>260105.20200000002</v>
      </c>
      <c r="AR28" s="73">
        <f t="shared" si="54"/>
        <v>265307.30604</v>
      </c>
      <c r="AS28" s="73">
        <f>AR28*(1+I$70)</f>
        <v>270613.45216079999</v>
      </c>
      <c r="AT28" s="73">
        <f t="shared" si="54"/>
        <v>276025.72120401601</v>
      </c>
      <c r="AU28" s="73">
        <f t="shared" si="54"/>
        <v>281546.23562809633</v>
      </c>
      <c r="AV28" s="73">
        <f t="shared" si="54"/>
        <v>287177.16034065827</v>
      </c>
      <c r="AW28" s="73">
        <f t="shared" si="54"/>
        <v>292920.70354747144</v>
      </c>
      <c r="AX28" s="73">
        <f t="shared" si="54"/>
        <v>298779.11761842086</v>
      </c>
      <c r="AY28" s="73">
        <f t="shared" si="54"/>
        <v>304754.69997078925</v>
      </c>
      <c r="AZ28" s="391" t="s">
        <v>245</v>
      </c>
      <c r="BA28" s="102"/>
      <c r="BB28" s="102"/>
      <c r="BC28" s="301"/>
      <c r="BD28" s="807" t="s">
        <v>246</v>
      </c>
      <c r="BE28" s="327"/>
      <c r="BF28" s="317"/>
      <c r="BG28" s="320">
        <f>BG25-BG26+BG27</f>
        <v>709629.5651377727</v>
      </c>
      <c r="BH28" s="320">
        <f>BH25-BH26+BH27</f>
        <v>696729.46513777284</v>
      </c>
      <c r="BI28" s="320">
        <f>BI25-BI26+BI27</f>
        <v>433571.36313777289</v>
      </c>
      <c r="BJ28" s="320">
        <f>BJ25-BJ26</f>
        <v>-829849.90090222715</v>
      </c>
      <c r="BK28" s="320">
        <f t="shared" ref="BK28:BO28" si="56">BK25-BK26</f>
        <v>656460.40977697272</v>
      </c>
      <c r="BL28" s="320">
        <f t="shared" si="56"/>
        <v>863802.46158975654</v>
      </c>
      <c r="BM28" s="320">
        <f t="shared" si="56"/>
        <v>849559.70882039622</v>
      </c>
      <c r="BN28" s="320">
        <f t="shared" si="56"/>
        <v>835032.10099564854</v>
      </c>
      <c r="BO28" s="320">
        <f t="shared" si="56"/>
        <v>820213.94101440615</v>
      </c>
      <c r="BP28" s="320">
        <f>BP25-BP26</f>
        <v>805099.41783353861</v>
      </c>
      <c r="BQ28" s="320"/>
      <c r="BR28" s="317" t="str">
        <f t="shared" ref="BR28:BU28" si="57">IF(BS8="","",BR25-BR26)</f>
        <v/>
      </c>
      <c r="BS28" s="317"/>
      <c r="BT28" s="317" t="str">
        <f t="shared" si="57"/>
        <v/>
      </c>
      <c r="BU28" s="317" t="str">
        <f t="shared" si="57"/>
        <v/>
      </c>
      <c r="BV28" s="165"/>
      <c r="BY28" s="622" t="s">
        <v>67</v>
      </c>
      <c r="BZ28" s="449"/>
      <c r="CA28" s="577"/>
      <c r="CB28" s="473"/>
      <c r="CC28" s="577"/>
      <c r="CD28" s="625"/>
      <c r="CE28" s="626"/>
      <c r="CF28" s="626"/>
      <c r="CG28" s="577"/>
      <c r="CH28" s="626"/>
      <c r="CI28" s="626"/>
      <c r="CJ28" s="626"/>
      <c r="CK28" s="626"/>
      <c r="CL28" s="626"/>
      <c r="CM28" s="626"/>
      <c r="CN28" s="449" t="s">
        <v>1</v>
      </c>
      <c r="CO28" s="449" t="s">
        <v>1</v>
      </c>
      <c r="CP28" s="449" t="s">
        <v>1</v>
      </c>
      <c r="CQ28" s="449" t="s">
        <v>1</v>
      </c>
      <c r="CR28" s="449" t="s">
        <v>1</v>
      </c>
      <c r="CS28" s="449"/>
      <c r="CT28" s="449"/>
    </row>
    <row r="29" spans="1:103" ht="16.5">
      <c r="A29" s="150" t="s">
        <v>247</v>
      </c>
      <c r="B29" s="220"/>
      <c r="C29" s="94">
        <v>0.65</v>
      </c>
      <c r="Y29" s="790" t="s">
        <v>196</v>
      </c>
      <c r="Z29" s="790" t="s">
        <v>1</v>
      </c>
      <c r="AA29" s="804">
        <f>AA12*C29</f>
        <v>15930500.300000001</v>
      </c>
      <c r="AB29" s="163" t="s">
        <v>248</v>
      </c>
      <c r="AF29" s="812">
        <f>_xlfn.RRI(_xlfn.SINGLE(Analysis_Period)-1,AO29,_xlfn.SINGLE(INDEX(AO29:BC29,1,_xlfn.SINGLE(Analysis_Period))))</f>
        <v>1.9100287106375236E-2</v>
      </c>
      <c r="AG29" s="807" t="s">
        <v>224</v>
      </c>
      <c r="AH29" s="204"/>
      <c r="AI29" s="405" t="s">
        <v>249</v>
      </c>
      <c r="AJ29" s="137">
        <f>SUM(AJ20:AJ28)</f>
        <v>661769.07152346696</v>
      </c>
      <c r="AK29" s="137">
        <f>SUM(AK20:AK28)</f>
        <v>676415.33614000003</v>
      </c>
      <c r="AL29" s="137">
        <f>SUM(AL20:AL28)</f>
        <v>688450.01080000005</v>
      </c>
      <c r="AM29" s="69">
        <f>AO29/C16</f>
        <v>13.769000216</v>
      </c>
      <c r="AN29" s="70"/>
      <c r="AO29" s="104">
        <f>IF(AO9="","",SUM(AO20:AO28))</f>
        <v>688450.01080000005</v>
      </c>
      <c r="AP29" s="105">
        <f>SUM(AP20:AP28)</f>
        <v>700850.11080000002</v>
      </c>
      <c r="AQ29" s="105">
        <f>SUM(AQ20:AQ28)</f>
        <v>713498.21279999998</v>
      </c>
      <c r="AR29" s="105">
        <f t="shared" ref="AQ29:AY29" si="58">SUM(AR20:AR28)</f>
        <v>726399.27683999995</v>
      </c>
      <c r="AS29" s="105">
        <f t="shared" si="58"/>
        <v>739558.36216080002</v>
      </c>
      <c r="AT29" s="105">
        <f t="shared" si="58"/>
        <v>759825.13026801613</v>
      </c>
      <c r="AU29" s="105">
        <f t="shared" si="58"/>
        <v>773515.84263577638</v>
      </c>
      <c r="AV29" s="105">
        <f t="shared" si="58"/>
        <v>787480.36925089196</v>
      </c>
      <c r="AW29" s="105">
        <f>SUM(AW20:AW28)</f>
        <v>801724.18639830989</v>
      </c>
      <c r="AX29" s="105">
        <f t="shared" si="58"/>
        <v>816252.87988867599</v>
      </c>
      <c r="AY29" s="105">
        <f t="shared" si="58"/>
        <v>838601.09843684942</v>
      </c>
      <c r="AZ29" s="388" t="s">
        <v>249</v>
      </c>
      <c r="BA29" s="73"/>
      <c r="BB29" s="73"/>
      <c r="BC29" s="295"/>
      <c r="BD29" s="807"/>
      <c r="BE29" s="32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165"/>
      <c r="BY29" s="452" t="s">
        <v>68</v>
      </c>
      <c r="BZ29" s="449"/>
      <c r="CA29" s="577" t="e">
        <f>SUM(CC29:CR29)</f>
        <v>#VALUE!</v>
      </c>
      <c r="CB29" s="473"/>
      <c r="CC29" s="577" t="e">
        <f>(CC19&lt;&gt;"") * (CC62 + CC80 + CC95 + CC102)</f>
        <v>#VALUE!</v>
      </c>
      <c r="CD29" s="577" t="e">
        <f t="shared" ref="CD29:CM29" si="59">(CD19&lt;&gt;"") * (CD62 + CD80 + CD95 + CD102)</f>
        <v>#VALUE!</v>
      </c>
      <c r="CE29" s="577" t="e">
        <f t="shared" si="59"/>
        <v>#VALUE!</v>
      </c>
      <c r="CF29" s="577" t="e">
        <f t="shared" si="59"/>
        <v>#VALUE!</v>
      </c>
      <c r="CG29" s="577" t="e">
        <f t="shared" si="59"/>
        <v>#VALUE!</v>
      </c>
      <c r="CH29" s="577" t="e">
        <f t="shared" si="59"/>
        <v>#VALUE!</v>
      </c>
      <c r="CI29" s="577" t="e">
        <f t="shared" si="59"/>
        <v>#VALUE!</v>
      </c>
      <c r="CJ29" s="577" t="e">
        <f t="shared" si="59"/>
        <v>#VALUE!</v>
      </c>
      <c r="CK29" s="577" t="e">
        <f t="shared" si="59"/>
        <v>#VALUE!</v>
      </c>
      <c r="CL29" s="577" t="e">
        <f t="shared" si="59"/>
        <v>#VALUE!</v>
      </c>
      <c r="CM29" s="577" t="e">
        <f t="shared" si="59"/>
        <v>#VALUE!</v>
      </c>
      <c r="CN29" s="473" t="s">
        <v>61</v>
      </c>
      <c r="CO29" s="473" t="s">
        <v>61</v>
      </c>
      <c r="CP29" s="473" t="s">
        <v>61</v>
      </c>
      <c r="CQ29" s="473" t="s">
        <v>61</v>
      </c>
      <c r="CR29" s="473" t="s">
        <v>61</v>
      </c>
      <c r="CS29" s="449"/>
      <c r="CT29" s="449"/>
    </row>
    <row r="30" spans="1:103" ht="16.5">
      <c r="A30" s="150" t="s">
        <v>250</v>
      </c>
      <c r="B30" s="220"/>
      <c r="C30" s="94">
        <v>0.01</v>
      </c>
      <c r="Y30" s="793" t="s">
        <v>251</v>
      </c>
      <c r="Z30" s="790" t="s">
        <v>1</v>
      </c>
      <c r="AA30" s="832">
        <f>AA29*C30</f>
        <v>159305.003</v>
      </c>
      <c r="AB30" s="163" t="s">
        <v>252</v>
      </c>
      <c r="AF30" s="814"/>
      <c r="AG30" s="807"/>
      <c r="AH30" s="61"/>
      <c r="AI30" s="405"/>
      <c r="AJ30" s="137"/>
      <c r="AK30" s="137"/>
      <c r="AL30" s="137"/>
      <c r="AM30" s="69"/>
      <c r="AN30" s="70"/>
      <c r="AO30" s="71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388"/>
      <c r="BA30" s="73"/>
      <c r="BB30" s="73"/>
      <c r="BC30" s="295"/>
      <c r="BD30" s="813" t="s">
        <v>253</v>
      </c>
      <c r="BE30" s="292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165"/>
      <c r="BY30" s="452" t="s">
        <v>69</v>
      </c>
      <c r="BZ30" s="449"/>
      <c r="CA30" s="577">
        <f>SUM(CC30:CR30)</f>
        <v>1507627</v>
      </c>
      <c r="CB30" s="473"/>
      <c r="CC30" s="577">
        <f>((CC19&lt;&gt;"") * SUM(CC39:CC40))</f>
        <v>367627</v>
      </c>
      <c r="CD30" s="577">
        <f t="shared" ref="CD30:CM30" si="60">((CD19&lt;&gt;"") * SUM(CD39:CD40))</f>
        <v>114000</v>
      </c>
      <c r="CE30" s="577">
        <f t="shared" si="60"/>
        <v>114000</v>
      </c>
      <c r="CF30" s="577">
        <f t="shared" si="60"/>
        <v>114000</v>
      </c>
      <c r="CG30" s="577">
        <f t="shared" si="60"/>
        <v>114000</v>
      </c>
      <c r="CH30" s="577">
        <f t="shared" si="60"/>
        <v>114000</v>
      </c>
      <c r="CI30" s="577">
        <f t="shared" si="60"/>
        <v>114000</v>
      </c>
      <c r="CJ30" s="577">
        <f t="shared" si="60"/>
        <v>114000</v>
      </c>
      <c r="CK30" s="577">
        <f t="shared" si="60"/>
        <v>114000</v>
      </c>
      <c r="CL30" s="577">
        <f t="shared" si="60"/>
        <v>114000</v>
      </c>
      <c r="CM30" s="577">
        <f t="shared" si="60"/>
        <v>114000</v>
      </c>
      <c r="CN30" s="473" t="s">
        <v>61</v>
      </c>
      <c r="CO30" s="473" t="s">
        <v>61</v>
      </c>
      <c r="CP30" s="473" t="s">
        <v>61</v>
      </c>
      <c r="CQ30" s="473" t="s">
        <v>61</v>
      </c>
      <c r="CR30" s="473" t="s">
        <v>61</v>
      </c>
      <c r="CS30" s="449"/>
      <c r="CT30" s="449"/>
    </row>
    <row r="31" spans="1:103" ht="16.5">
      <c r="Y31" s="790" t="s">
        <v>254</v>
      </c>
      <c r="Z31" s="790" t="s">
        <v>1</v>
      </c>
      <c r="AA31" s="804">
        <f>AA3-AA29</f>
        <v>9477435.943</v>
      </c>
      <c r="AB31" s="163" t="s">
        <v>255</v>
      </c>
      <c r="AF31" s="812">
        <f>_xlfn.RRI(_xlfn.SINGLE(Analysis_Period)-1,AO31,_xlfn.SINGLE(INDEX(AO31:BC31,1,_xlfn.SINGLE(Analysis_Period))))</f>
        <v>6.8104461580562603E-3</v>
      </c>
      <c r="AG31" s="813" t="s">
        <v>227</v>
      </c>
      <c r="AH31" s="208"/>
      <c r="AI31" s="405" t="s">
        <v>256</v>
      </c>
      <c r="AJ31" s="107" t="s">
        <v>257</v>
      </c>
      <c r="AK31" s="107">
        <f>AK18-AK29</f>
        <v>1566260.1238599999</v>
      </c>
      <c r="AL31" s="107">
        <f>AL18-AL29</f>
        <v>1593050.3491999998</v>
      </c>
      <c r="AM31" s="107">
        <f>AM18-AM29</f>
        <v>31.861006983999992</v>
      </c>
      <c r="AN31" s="90"/>
      <c r="AO31" s="83">
        <f>AO18-AO29</f>
        <v>1593050.3491999998</v>
      </c>
      <c r="AP31" s="83">
        <f t="shared" ref="AP31:AY31" si="61">AP18-AP29</f>
        <v>1580650.2492</v>
      </c>
      <c r="AQ31" s="83">
        <f>AQ18-AQ29</f>
        <v>1568002.1472</v>
      </c>
      <c r="AR31" s="83">
        <f t="shared" si="61"/>
        <v>1555101.0831599999</v>
      </c>
      <c r="AS31" s="83">
        <f t="shared" si="61"/>
        <v>1541941.9978391998</v>
      </c>
      <c r="AT31" s="83">
        <f t="shared" si="61"/>
        <v>1749825.2657319836</v>
      </c>
      <c r="AU31" s="83">
        <f t="shared" si="61"/>
        <v>1736134.5533642233</v>
      </c>
      <c r="AV31" s="83">
        <f t="shared" si="61"/>
        <v>1722170.0267491078</v>
      </c>
      <c r="AW31" s="83">
        <f t="shared" si="61"/>
        <v>1707926.2096016898</v>
      </c>
      <c r="AX31" s="83">
        <f t="shared" si="61"/>
        <v>1693397.5161113236</v>
      </c>
      <c r="AY31" s="83">
        <f t="shared" si="61"/>
        <v>1922014.3371631505</v>
      </c>
      <c r="AZ31" s="388" t="s">
        <v>256</v>
      </c>
      <c r="BA31" s="91"/>
      <c r="BB31" s="91"/>
      <c r="BC31" s="299"/>
      <c r="BD31" s="807" t="s">
        <v>258</v>
      </c>
      <c r="BE31" s="292"/>
      <c r="BF31" s="84"/>
      <c r="BG31" s="108">
        <f>_xlfn.SINGLE(Exit_Cap_Yr_1)</f>
        <v>6.5000000000000002E-2</v>
      </c>
      <c r="BH31" s="108">
        <f t="shared" ref="BH31:BO31" si="62">BG31+($C$12/10000)</f>
        <v>6.5500000000000003E-2</v>
      </c>
      <c r="BI31" s="108">
        <f t="shared" si="62"/>
        <v>6.6000000000000003E-2</v>
      </c>
      <c r="BJ31" s="108">
        <f t="shared" si="62"/>
        <v>6.6500000000000004E-2</v>
      </c>
      <c r="BK31" s="108">
        <f t="shared" si="62"/>
        <v>6.7000000000000004E-2</v>
      </c>
      <c r="BL31" s="108">
        <f t="shared" si="62"/>
        <v>6.7500000000000004E-2</v>
      </c>
      <c r="BM31" s="108">
        <f t="shared" si="62"/>
        <v>6.8000000000000005E-2</v>
      </c>
      <c r="BN31" s="108">
        <f t="shared" si="62"/>
        <v>6.8500000000000005E-2</v>
      </c>
      <c r="BO31" s="108">
        <f t="shared" si="62"/>
        <v>6.9000000000000006E-2</v>
      </c>
      <c r="BP31" s="108">
        <f>BO31+($C$12/10000)</f>
        <v>6.9500000000000006E-2</v>
      </c>
      <c r="BQ31" s="108"/>
      <c r="BR31" s="108"/>
      <c r="BS31" s="108"/>
      <c r="BT31" s="108"/>
      <c r="BU31" s="108" t="str">
        <f>IF(BU21="","",IF(BU8&gt;_xlfn.SINGLE(Analysis_Period),"",BT31+'[1]Property Cash Flow'!$D$15/10000))</f>
        <v/>
      </c>
      <c r="BV31" s="165"/>
      <c r="BY31" s="452" t="s">
        <v>70</v>
      </c>
      <c r="BZ31" s="449"/>
      <c r="CA31" s="577">
        <f>SUM(CC31:CR31)</f>
        <v>1436103.0480522276</v>
      </c>
      <c r="CB31" s="473"/>
      <c r="CC31" s="627">
        <f>(CC19&lt;&gt;"") * ( -((CC42*(CC42&lt;0)) + CC51) )</f>
        <v>492253.14715000056</v>
      </c>
      <c r="CD31" s="627">
        <f t="shared" ref="CD31:CM31" si="63">(CD19&lt;&gt;"") * ( -((CD42*(CD42&lt;0)) + CD51) )</f>
        <v>0</v>
      </c>
      <c r="CE31" s="627">
        <f t="shared" si="63"/>
        <v>0</v>
      </c>
      <c r="CF31" s="627">
        <f t="shared" si="63"/>
        <v>0</v>
      </c>
      <c r="CG31" s="627">
        <f>(CG19&lt;&gt;"") * ( -((CG42*(CG42&lt;0)) + CG51) )</f>
        <v>943849.90090222715</v>
      </c>
      <c r="CH31" s="627">
        <f t="shared" si="63"/>
        <v>0</v>
      </c>
      <c r="CI31" s="627">
        <f t="shared" si="63"/>
        <v>0</v>
      </c>
      <c r="CJ31" s="627">
        <f t="shared" si="63"/>
        <v>0</v>
      </c>
      <c r="CK31" s="627">
        <f t="shared" si="63"/>
        <v>0</v>
      </c>
      <c r="CL31" s="627">
        <f t="shared" si="63"/>
        <v>0</v>
      </c>
      <c r="CM31" s="627">
        <f t="shared" si="63"/>
        <v>0</v>
      </c>
      <c r="CN31" s="473" t="s">
        <v>61</v>
      </c>
      <c r="CO31" s="473" t="s">
        <v>61</v>
      </c>
      <c r="CP31" s="473" t="s">
        <v>61</v>
      </c>
      <c r="CQ31" s="473" t="s">
        <v>61</v>
      </c>
      <c r="CR31" s="473" t="s">
        <v>61</v>
      </c>
      <c r="CS31" s="449"/>
      <c r="CT31" s="449"/>
    </row>
    <row r="32" spans="1:103" ht="16.5">
      <c r="A32" s="109" t="s">
        <v>259</v>
      </c>
      <c r="B32" s="109"/>
      <c r="C32" s="109"/>
      <c r="E32" s="222"/>
      <c r="Y32" s="790"/>
      <c r="Z32" s="790"/>
      <c r="AA32" s="802"/>
      <c r="AF32" s="814"/>
      <c r="AG32" s="807"/>
      <c r="AH32" s="61"/>
      <c r="AI32" s="405"/>
      <c r="AJ32" s="85"/>
      <c r="AK32" s="85"/>
      <c r="AL32" s="85"/>
      <c r="AM32" s="69"/>
      <c r="AN32" s="70"/>
      <c r="AO32" s="71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388"/>
      <c r="BA32" s="73"/>
      <c r="BB32" s="73"/>
      <c r="BC32" s="295"/>
      <c r="BD32" s="807" t="s">
        <v>260</v>
      </c>
      <c r="BE32" s="292"/>
      <c r="BF32" s="84"/>
      <c r="BG32" s="74">
        <f>BG23/BG31</f>
        <v>24508466.910769228</v>
      </c>
      <c r="BH32" s="74">
        <f t="shared" ref="BH32:BP32" si="64">BH23/BH31</f>
        <v>24132064.87328244</v>
      </c>
      <c r="BI32" s="74">
        <f t="shared" si="64"/>
        <v>23757608.290909089</v>
      </c>
      <c r="BJ32" s="74">
        <f t="shared" si="64"/>
        <v>23384978.694135334</v>
      </c>
      <c r="BK32" s="74">
        <f t="shared" si="64"/>
        <v>23014059.669241786</v>
      </c>
      <c r="BL32" s="74">
        <f t="shared" si="64"/>
        <v>25923337.270103458</v>
      </c>
      <c r="BM32" s="74">
        <f t="shared" si="64"/>
        <v>25531390.490650341</v>
      </c>
      <c r="BN32" s="74">
        <f t="shared" si="64"/>
        <v>25141168.273709599</v>
      </c>
      <c r="BO32" s="74">
        <f t="shared" si="64"/>
        <v>24752553.762343328</v>
      </c>
      <c r="BP32" s="74">
        <f t="shared" si="64"/>
        <v>24365431.886493862</v>
      </c>
      <c r="BQ32" s="74"/>
      <c r="BR32" s="74"/>
      <c r="BS32" s="74"/>
      <c r="BT32" s="74"/>
      <c r="BU32" s="74" t="str">
        <f t="shared" ref="BU32" si="65">IF(BU8&gt;_xlfn.SINGLE(Analysis_Period),"",OR(BU8=15,_xlfn.SINGLE(Cap_Year)="T12")*(BU23/BU31)+AND(BU8&lt;&gt;15,_xlfn.SINGLE(Cap_Year)="Forward 12")*(BV23/BU31))</f>
        <v/>
      </c>
      <c r="BV32" s="165"/>
      <c r="BY32" s="452" t="s">
        <v>71</v>
      </c>
      <c r="BZ32" s="449"/>
      <c r="CA32" s="577" t="e">
        <f>+CA29+CA30-CA31</f>
        <v>#VALUE!</v>
      </c>
      <c r="CB32" s="473"/>
      <c r="CC32" s="628"/>
      <c r="CD32" s="494"/>
      <c r="CE32" s="494"/>
      <c r="CF32" s="494"/>
      <c r="CG32" s="494"/>
      <c r="CH32" s="494"/>
      <c r="CI32" s="494"/>
      <c r="CJ32" s="494"/>
      <c r="CK32" s="494"/>
      <c r="CL32" s="494"/>
      <c r="CM32" s="629"/>
      <c r="CN32" s="449" t="s">
        <v>1</v>
      </c>
      <c r="CO32" s="449" t="s">
        <v>1</v>
      </c>
      <c r="CP32" s="449" t="s">
        <v>1</v>
      </c>
      <c r="CQ32" s="449" t="s">
        <v>1</v>
      </c>
      <c r="CR32" s="449" t="s">
        <v>1</v>
      </c>
      <c r="CS32" s="449"/>
      <c r="CT32" s="449"/>
    </row>
    <row r="33" spans="1:98" ht="37.5">
      <c r="A33" s="110"/>
      <c r="B33" s="269">
        <v>0.1</v>
      </c>
      <c r="C33" s="225"/>
      <c r="E33" s="222"/>
      <c r="Y33" s="790" t="s">
        <v>261</v>
      </c>
      <c r="Z33" s="790" t="s">
        <v>1</v>
      </c>
      <c r="AA33" s="805">
        <f>PMT(C24/12,C26*12,-AA29)*12</f>
        <v>858420.78406222619</v>
      </c>
      <c r="AB33" s="163" t="s">
        <v>262</v>
      </c>
      <c r="AF33" s="818"/>
      <c r="AG33" s="811" t="s">
        <v>263</v>
      </c>
      <c r="AH33" s="61"/>
      <c r="AI33" s="404" t="s">
        <v>264</v>
      </c>
      <c r="AJ33" s="307">
        <f t="shared" ref="AJ33:AL36" si="66">B61</f>
        <v>0</v>
      </c>
      <c r="AK33" s="307">
        <f t="shared" si="66"/>
        <v>0</v>
      </c>
      <c r="AL33" s="307">
        <f t="shared" si="66"/>
        <v>0</v>
      </c>
      <c r="AM33" s="602">
        <f>+AO33/$C$16</f>
        <v>0</v>
      </c>
      <c r="AN33" s="111">
        <f>H77</f>
        <v>0</v>
      </c>
      <c r="AO33" s="112"/>
      <c r="AP33" s="112">
        <f t="shared" ref="AP33:AY34" si="67">F61</f>
        <v>0</v>
      </c>
      <c r="AQ33" s="112">
        <f t="shared" si="67"/>
        <v>0</v>
      </c>
      <c r="AR33" s="112">
        <f t="shared" si="67"/>
        <v>1250000</v>
      </c>
      <c r="AS33" s="112">
        <f t="shared" si="67"/>
        <v>0</v>
      </c>
      <c r="AT33" s="112">
        <f t="shared" si="67"/>
        <v>0</v>
      </c>
      <c r="AU33" s="112">
        <f t="shared" si="67"/>
        <v>0</v>
      </c>
      <c r="AV33" s="112">
        <f t="shared" si="67"/>
        <v>0</v>
      </c>
      <c r="AW33" s="112">
        <f t="shared" si="67"/>
        <v>0</v>
      </c>
      <c r="AX33" s="112">
        <f t="shared" si="67"/>
        <v>0</v>
      </c>
      <c r="AY33" s="112">
        <f t="shared" si="67"/>
        <v>0</v>
      </c>
      <c r="AZ33" s="379" t="s">
        <v>264</v>
      </c>
      <c r="BA33" s="112"/>
      <c r="BB33" s="112"/>
      <c r="BC33" s="152"/>
      <c r="BD33" s="820" t="s">
        <v>265</v>
      </c>
      <c r="BE33" s="292"/>
      <c r="BF33" s="84"/>
      <c r="BG33" s="84">
        <f>BG32*$C$19</f>
        <v>490169.33821538457</v>
      </c>
      <c r="BH33" s="84">
        <f t="shared" ref="BH33:BP33" si="68">BH32*$C$19</f>
        <v>482641.29746564879</v>
      </c>
      <c r="BI33" s="84">
        <f t="shared" si="68"/>
        <v>475152.16581818182</v>
      </c>
      <c r="BJ33" s="84">
        <f t="shared" si="68"/>
        <v>467699.5738827067</v>
      </c>
      <c r="BK33" s="84">
        <f t="shared" si="68"/>
        <v>460281.19338483573</v>
      </c>
      <c r="BL33" s="84">
        <f t="shared" si="68"/>
        <v>518466.74540206918</v>
      </c>
      <c r="BM33" s="84">
        <f t="shared" si="68"/>
        <v>510627.80981300684</v>
      </c>
      <c r="BN33" s="84">
        <f t="shared" si="68"/>
        <v>502823.36547419196</v>
      </c>
      <c r="BO33" s="84">
        <f t="shared" si="68"/>
        <v>495051.07524686656</v>
      </c>
      <c r="BP33" s="84">
        <f t="shared" si="68"/>
        <v>487308.63772987726</v>
      </c>
      <c r="BQ33" s="84"/>
      <c r="BR33" s="84"/>
      <c r="BS33" s="84"/>
      <c r="BT33" s="84"/>
      <c r="BU33" s="84" t="str">
        <f>IF(BU8&gt;_xlfn.SINGLE(Analysis_Period),"",BU32*'[1]Property Cash Flow'!$H$18)</f>
        <v/>
      </c>
      <c r="BV33" s="165"/>
      <c r="BY33" s="452" t="s">
        <v>72</v>
      </c>
      <c r="BZ33" s="449"/>
      <c r="CA33" s="579" t="e">
        <f>IRR(CC33:CR33)</f>
        <v>#VALUE!</v>
      </c>
      <c r="CB33" s="473"/>
      <c r="CC33" s="577" t="e">
        <f>(CC19&lt;&gt;"") * ((-CC31)+CC29+CC30)</f>
        <v>#VALUE!</v>
      </c>
      <c r="CD33" s="577" t="e">
        <f t="shared" ref="CD33:CM33" si="69">(CD19&lt;&gt;"") * ((-CD31)+CD29+CD30)</f>
        <v>#VALUE!</v>
      </c>
      <c r="CE33" s="577" t="e">
        <f t="shared" si="69"/>
        <v>#VALUE!</v>
      </c>
      <c r="CF33" s="577" t="e">
        <f t="shared" si="69"/>
        <v>#VALUE!</v>
      </c>
      <c r="CG33" s="577" t="e">
        <f t="shared" si="69"/>
        <v>#VALUE!</v>
      </c>
      <c r="CH33" s="577" t="e">
        <f t="shared" si="69"/>
        <v>#VALUE!</v>
      </c>
      <c r="CI33" s="577" t="e">
        <f t="shared" si="69"/>
        <v>#VALUE!</v>
      </c>
      <c r="CJ33" s="577" t="e">
        <f t="shared" si="69"/>
        <v>#VALUE!</v>
      </c>
      <c r="CK33" s="577" t="e">
        <f t="shared" si="69"/>
        <v>#VALUE!</v>
      </c>
      <c r="CL33" s="577" t="e">
        <f t="shared" si="69"/>
        <v>#VALUE!</v>
      </c>
      <c r="CM33" s="577" t="e">
        <f t="shared" si="69"/>
        <v>#VALUE!</v>
      </c>
      <c r="CN33" s="473" t="s">
        <v>61</v>
      </c>
      <c r="CO33" s="473" t="s">
        <v>61</v>
      </c>
      <c r="CP33" s="473" t="s">
        <v>61</v>
      </c>
      <c r="CQ33" s="473" t="s">
        <v>61</v>
      </c>
      <c r="CR33" s="473" t="s">
        <v>61</v>
      </c>
      <c r="CS33" s="449"/>
      <c r="CT33" s="449"/>
    </row>
    <row r="34" spans="1:98" ht="16.5">
      <c r="A34" s="110" t="s">
        <v>266</v>
      </c>
      <c r="B34" s="269">
        <v>0.03</v>
      </c>
      <c r="C34" s="225"/>
      <c r="E34" s="222"/>
      <c r="Y34" s="790" t="s">
        <v>267</v>
      </c>
      <c r="Z34" s="790" t="s">
        <v>1</v>
      </c>
      <c r="AA34" s="805">
        <f>AA29*C24</f>
        <v>557567.51050000009</v>
      </c>
      <c r="AB34" s="163" t="s">
        <v>268</v>
      </c>
      <c r="AF34" s="818"/>
      <c r="AG34" s="811" t="s">
        <v>269</v>
      </c>
      <c r="AH34" s="226"/>
      <c r="AI34" s="404" t="s">
        <v>270</v>
      </c>
      <c r="AJ34" s="307">
        <f t="shared" si="66"/>
        <v>0</v>
      </c>
      <c r="AK34" s="307">
        <f t="shared" si="66"/>
        <v>0</v>
      </c>
      <c r="AL34" s="307">
        <f t="shared" si="66"/>
        <v>0</v>
      </c>
      <c r="AM34" s="602">
        <f t="shared" ref="AM34" si="70">+AO34/$C$16</f>
        <v>0</v>
      </c>
      <c r="AN34" s="111"/>
      <c r="AO34" s="112">
        <f>+AL34</f>
        <v>0</v>
      </c>
      <c r="AP34" s="112">
        <f t="shared" si="67"/>
        <v>0</v>
      </c>
      <c r="AQ34" s="112">
        <f t="shared" si="67"/>
        <v>0</v>
      </c>
      <c r="AR34" s="112">
        <f t="shared" si="67"/>
        <v>250000</v>
      </c>
      <c r="AS34" s="112">
        <f t="shared" si="67"/>
        <v>0</v>
      </c>
      <c r="AT34" s="112">
        <f t="shared" si="67"/>
        <v>0</v>
      </c>
      <c r="AU34" s="112">
        <f t="shared" si="67"/>
        <v>0</v>
      </c>
      <c r="AV34" s="112">
        <f t="shared" si="67"/>
        <v>0</v>
      </c>
      <c r="AW34" s="112">
        <f t="shared" si="67"/>
        <v>0</v>
      </c>
      <c r="AX34" s="112">
        <f t="shared" si="67"/>
        <v>0</v>
      </c>
      <c r="AY34" s="112">
        <f t="shared" si="67"/>
        <v>0</v>
      </c>
      <c r="AZ34" s="379" t="s">
        <v>270</v>
      </c>
      <c r="BA34" s="112"/>
      <c r="BB34" s="112"/>
      <c r="BC34" s="152"/>
      <c r="BD34" s="807" t="s">
        <v>271</v>
      </c>
      <c r="BE34" s="292"/>
      <c r="BF34" s="74"/>
      <c r="BG34" s="74">
        <f>BG32-BG33</f>
        <v>24018297.572553843</v>
      </c>
      <c r="BH34" s="74">
        <f>BH32-BH33</f>
        <v>23649423.575816792</v>
      </c>
      <c r="BI34" s="74">
        <f>BI32-BI33</f>
        <v>23282456.125090908</v>
      </c>
      <c r="BJ34" s="74">
        <f t="shared" ref="BJ34:BP34" si="71">BJ32-BJ33</f>
        <v>22917279.120252628</v>
      </c>
      <c r="BK34" s="74">
        <f t="shared" si="71"/>
        <v>22553778.475856949</v>
      </c>
      <c r="BL34" s="74">
        <f t="shared" si="71"/>
        <v>25404870.52470139</v>
      </c>
      <c r="BM34" s="74">
        <f t="shared" si="71"/>
        <v>25020762.680837333</v>
      </c>
      <c r="BN34" s="74">
        <f t="shared" si="71"/>
        <v>24638344.908235408</v>
      </c>
      <c r="BO34" s="74">
        <f t="shared" si="71"/>
        <v>24257502.687096462</v>
      </c>
      <c r="BP34" s="74">
        <f t="shared" si="71"/>
        <v>23878123.248763986</v>
      </c>
      <c r="BQ34" s="74"/>
      <c r="BR34" s="74"/>
      <c r="BS34" s="74"/>
      <c r="BT34" s="74"/>
      <c r="BU34" s="74" t="str">
        <f t="shared" ref="BU34" si="72">IF(BU33="","",BU32-BU33)</f>
        <v/>
      </c>
      <c r="BV34" s="165"/>
      <c r="BY34" s="452" t="s">
        <v>73</v>
      </c>
      <c r="BZ34" s="449"/>
      <c r="CA34" s="579">
        <v>1.5642666586810077</v>
      </c>
      <c r="CB34" s="473"/>
      <c r="CC34" s="577"/>
      <c r="CD34" s="577"/>
      <c r="CE34" s="577"/>
      <c r="CF34" s="577"/>
      <c r="CG34" s="577"/>
      <c r="CH34" s="577"/>
      <c r="CI34" s="577"/>
      <c r="CJ34" s="577"/>
      <c r="CK34" s="577"/>
      <c r="CL34" s="577"/>
      <c r="CM34" s="577"/>
      <c r="CN34" s="577"/>
      <c r="CO34" s="449"/>
      <c r="CP34" s="449" t="s">
        <v>1</v>
      </c>
      <c r="CQ34" s="449" t="s">
        <v>1</v>
      </c>
      <c r="CR34" s="449" t="s">
        <v>1</v>
      </c>
      <c r="CS34" s="449"/>
      <c r="CT34" s="449"/>
    </row>
    <row r="35" spans="1:98" ht="16.5">
      <c r="A35" s="222"/>
      <c r="B35" s="227"/>
      <c r="D35" s="176"/>
      <c r="E35" s="222"/>
      <c r="Y35" s="253"/>
      <c r="Z35" s="253"/>
      <c r="AA35" s="253"/>
      <c r="AF35" s="818"/>
      <c r="AG35" s="811" t="s">
        <v>272</v>
      </c>
      <c r="AH35" s="203"/>
      <c r="AI35" s="404" t="s">
        <v>273</v>
      </c>
      <c r="AJ35" s="307">
        <f t="shared" si="66"/>
        <v>24131.084275599998</v>
      </c>
      <c r="AK35" s="307">
        <f t="shared" si="66"/>
        <v>24561.7</v>
      </c>
      <c r="AL35" s="307">
        <f t="shared" si="66"/>
        <v>25000</v>
      </c>
      <c r="AM35" s="602">
        <f>+AO35/$C$16</f>
        <v>0.5</v>
      </c>
      <c r="AN35" s="96"/>
      <c r="AO35" s="113">
        <f>+AL35</f>
        <v>25000</v>
      </c>
      <c r="AP35" s="113">
        <f>AO35*(1+F72)</f>
        <v>25500</v>
      </c>
      <c r="AQ35" s="113">
        <f t="shared" ref="AP35:AY35" si="73">AP35*(1+G72)</f>
        <v>26010</v>
      </c>
      <c r="AR35" s="113">
        <f t="shared" si="73"/>
        <v>26530.2</v>
      </c>
      <c r="AS35" s="113">
        <f t="shared" si="73"/>
        <v>27060.804</v>
      </c>
      <c r="AT35" s="113">
        <f t="shared" si="73"/>
        <v>27602.020080000002</v>
      </c>
      <c r="AU35" s="113">
        <f t="shared" si="73"/>
        <v>28154.060481600001</v>
      </c>
      <c r="AV35" s="113">
        <f t="shared" si="73"/>
        <v>28717.141691232002</v>
      </c>
      <c r="AW35" s="113">
        <f t="shared" si="73"/>
        <v>29291.484525056643</v>
      </c>
      <c r="AX35" s="113">
        <f t="shared" si="73"/>
        <v>29877.314215557777</v>
      </c>
      <c r="AY35" s="113">
        <f t="shared" si="73"/>
        <v>30474.860499868933</v>
      </c>
      <c r="AZ35" s="379" t="s">
        <v>273</v>
      </c>
      <c r="BA35" s="71"/>
      <c r="BB35" s="71"/>
      <c r="BC35" s="300"/>
      <c r="BD35" s="807" t="s">
        <v>274</v>
      </c>
      <c r="BE35" s="291"/>
      <c r="BF35" s="114"/>
      <c r="BG35" s="115">
        <f>BG32/C16</f>
        <v>490.16933821538458</v>
      </c>
      <c r="BH35" s="115">
        <f t="shared" ref="BH35:BP35" si="74">BH32/_xlfn.SINGLE(Property_SF)</f>
        <v>482.64129746564879</v>
      </c>
      <c r="BI35" s="115">
        <f t="shared" si="74"/>
        <v>475.1521658181818</v>
      </c>
      <c r="BJ35" s="115">
        <f t="shared" si="74"/>
        <v>467.69957388270666</v>
      </c>
      <c r="BK35" s="115">
        <f t="shared" si="74"/>
        <v>460.28119338483572</v>
      </c>
      <c r="BL35" s="115">
        <f t="shared" si="74"/>
        <v>518.46674540206914</v>
      </c>
      <c r="BM35" s="115">
        <f t="shared" si="74"/>
        <v>510.62780981300682</v>
      </c>
      <c r="BN35" s="115">
        <f t="shared" si="74"/>
        <v>502.82336547419197</v>
      </c>
      <c r="BO35" s="115">
        <f t="shared" si="74"/>
        <v>495.05107524686656</v>
      </c>
      <c r="BP35" s="115">
        <f t="shared" si="74"/>
        <v>487.30863772987726</v>
      </c>
      <c r="BQ35" s="115"/>
      <c r="BR35" s="115"/>
      <c r="BS35" s="115"/>
      <c r="BT35" s="115"/>
      <c r="BU35" s="115" t="str">
        <f t="shared" ref="BU35" si="75">IFERROR(BU32/_xlfn.SINGLE(Property_SF),"")</f>
        <v/>
      </c>
      <c r="BV35" s="165"/>
      <c r="BY35" s="630" t="s">
        <v>1</v>
      </c>
      <c r="BZ35" s="631" t="s">
        <v>1</v>
      </c>
      <c r="CA35" s="631"/>
      <c r="CB35" s="449" t="s">
        <v>1</v>
      </c>
      <c r="CC35" s="449" t="s">
        <v>1</v>
      </c>
      <c r="CD35" s="449" t="s">
        <v>1</v>
      </c>
      <c r="CE35" s="449" t="s">
        <v>1</v>
      </c>
      <c r="CF35" s="449" t="s">
        <v>1</v>
      </c>
      <c r="CG35" s="449" t="s">
        <v>1</v>
      </c>
      <c r="CH35" s="449" t="s">
        <v>1</v>
      </c>
      <c r="CI35" s="449" t="s">
        <v>1</v>
      </c>
      <c r="CJ35" s="449" t="s">
        <v>1</v>
      </c>
      <c r="CK35" s="449" t="s">
        <v>1</v>
      </c>
      <c r="CL35" s="449" t="s">
        <v>1</v>
      </c>
      <c r="CM35" s="449" t="s">
        <v>1</v>
      </c>
      <c r="CN35" s="449" t="s">
        <v>1</v>
      </c>
      <c r="CO35" s="449" t="s">
        <v>1</v>
      </c>
      <c r="CP35" s="449" t="s">
        <v>1</v>
      </c>
      <c r="CQ35" s="449" t="s">
        <v>1</v>
      </c>
      <c r="CR35" s="449" t="s">
        <v>1</v>
      </c>
      <c r="CS35" s="449"/>
      <c r="CT35" s="449"/>
    </row>
    <row r="36" spans="1:98" ht="16.5">
      <c r="A36" s="230" t="s">
        <v>275</v>
      </c>
      <c r="B36" s="230"/>
      <c r="C36" s="230"/>
      <c r="D36" s="231"/>
      <c r="Y36" s="253"/>
      <c r="Z36" s="253"/>
      <c r="AA36" s="253"/>
      <c r="AF36" s="818"/>
      <c r="AG36" s="811" t="s">
        <v>276</v>
      </c>
      <c r="AH36" s="226"/>
      <c r="AI36" s="404" t="s">
        <v>277</v>
      </c>
      <c r="AJ36" s="116">
        <f t="shared" si="66"/>
        <v>0</v>
      </c>
      <c r="AK36" s="116">
        <f t="shared" si="66"/>
        <v>0</v>
      </c>
      <c r="AL36" s="116">
        <f t="shared" si="66"/>
        <v>0</v>
      </c>
      <c r="AM36" s="117">
        <f>+AO36/$C$16</f>
        <v>0</v>
      </c>
      <c r="AN36" s="87"/>
      <c r="AO36" s="112">
        <f>+AL36</f>
        <v>0</v>
      </c>
      <c r="AP36" s="112">
        <f t="shared" ref="AP36:AY36" si="76">F64</f>
        <v>0</v>
      </c>
      <c r="AQ36" s="112">
        <f t="shared" si="76"/>
        <v>250000</v>
      </c>
      <c r="AR36" s="112">
        <f t="shared" si="76"/>
        <v>0</v>
      </c>
      <c r="AS36" s="112">
        <f t="shared" si="76"/>
        <v>0</v>
      </c>
      <c r="AT36" s="112">
        <f t="shared" si="76"/>
        <v>0</v>
      </c>
      <c r="AU36" s="112">
        <f t="shared" si="76"/>
        <v>0</v>
      </c>
      <c r="AV36" s="112">
        <f t="shared" si="76"/>
        <v>0</v>
      </c>
      <c r="AW36" s="112">
        <f t="shared" si="76"/>
        <v>0</v>
      </c>
      <c r="AX36" s="112">
        <f t="shared" si="76"/>
        <v>0</v>
      </c>
      <c r="AY36" s="112">
        <f t="shared" si="76"/>
        <v>0</v>
      </c>
      <c r="AZ36" s="379" t="s">
        <v>277</v>
      </c>
      <c r="BA36" s="88"/>
      <c r="BB36" s="88"/>
      <c r="BC36" s="298"/>
      <c r="BD36" s="807"/>
      <c r="BE36" s="292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9"/>
      <c r="BS36" s="119"/>
      <c r="BT36" s="119"/>
      <c r="BU36" s="119"/>
      <c r="BV36" s="165"/>
      <c r="BX36" s="55" t="s">
        <v>278</v>
      </c>
      <c r="BY36" s="475" t="s">
        <v>74</v>
      </c>
      <c r="BZ36" s="449" t="s">
        <v>1</v>
      </c>
      <c r="CA36" s="449" t="s">
        <v>1</v>
      </c>
      <c r="CB36" s="449" t="s">
        <v>1</v>
      </c>
      <c r="CC36" s="449" t="s">
        <v>46</v>
      </c>
      <c r="CD36" s="449" t="s">
        <v>47</v>
      </c>
      <c r="CE36" s="449" t="s">
        <v>48</v>
      </c>
      <c r="CF36" s="449" t="s">
        <v>49</v>
      </c>
      <c r="CG36" s="449" t="s">
        <v>50</v>
      </c>
      <c r="CH36" s="449" t="s">
        <v>51</v>
      </c>
      <c r="CI36" s="449" t="s">
        <v>52</v>
      </c>
      <c r="CJ36" s="449" t="s">
        <v>53</v>
      </c>
      <c r="CK36" s="449" t="s">
        <v>54</v>
      </c>
      <c r="CL36" s="449" t="s">
        <v>55</v>
      </c>
      <c r="CM36" s="449" t="s">
        <v>56</v>
      </c>
      <c r="CN36" s="449" t="s">
        <v>1</v>
      </c>
      <c r="CO36" s="449" t="s">
        <v>1</v>
      </c>
      <c r="CP36" s="449" t="s">
        <v>1</v>
      </c>
      <c r="CQ36" s="449" t="s">
        <v>1</v>
      </c>
      <c r="CR36" s="449" t="s">
        <v>1</v>
      </c>
      <c r="CS36" s="449"/>
      <c r="CT36" s="449"/>
    </row>
    <row r="37" spans="1:98" ht="16.5">
      <c r="A37" s="225"/>
      <c r="B37" s="120" t="s">
        <v>46</v>
      </c>
      <c r="C37" s="120" t="s">
        <v>129</v>
      </c>
      <c r="D37" s="121" t="s">
        <v>130</v>
      </c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Y37" s="840"/>
      <c r="Z37" s="840"/>
      <c r="AA37" s="840"/>
      <c r="AC37" s="233"/>
      <c r="AF37" s="812">
        <f>_xlfn.RRI(_xlfn.SINGLE(Analysis_Period)-1,AO37,_xlfn.SINGLE(INDEX(AO37:BC37,1,_xlfn.SINGLE(Analysis_Period))))</f>
        <v>2.0000000000000018E-2</v>
      </c>
      <c r="AG37" s="807" t="s">
        <v>233</v>
      </c>
      <c r="AH37" s="61"/>
      <c r="AI37" s="405" t="s">
        <v>279</v>
      </c>
      <c r="AJ37" s="306">
        <f>SUM(AJ33:AJ36)</f>
        <v>24131.084275599998</v>
      </c>
      <c r="AK37" s="306">
        <f>SUM(AK33:AK36)</f>
        <v>24561.7</v>
      </c>
      <c r="AL37" s="306">
        <f>SUM(AL33:AL36)</f>
        <v>25000</v>
      </c>
      <c r="AM37" s="122">
        <f>SUM(AM33:AM36)</f>
        <v>0.5</v>
      </c>
      <c r="AN37" s="70"/>
      <c r="AO37" s="123">
        <f>SUM(AO33:AO36)</f>
        <v>25000</v>
      </c>
      <c r="AP37" s="123">
        <f>SUM(AP33:AP36)</f>
        <v>25500</v>
      </c>
      <c r="AQ37" s="123">
        <f>SUM(AQ33:AQ36)</f>
        <v>276010</v>
      </c>
      <c r="AR37" s="123">
        <f>SUM(AR33:AR36)</f>
        <v>1526530.2</v>
      </c>
      <c r="AS37" s="123">
        <f t="shared" ref="AS37:AY37" si="77">SUM(AS33:AS36)</f>
        <v>27060.804</v>
      </c>
      <c r="AT37" s="123">
        <f>SUM(AT33:AT36)</f>
        <v>27602.020080000002</v>
      </c>
      <c r="AU37" s="123">
        <f t="shared" si="77"/>
        <v>28154.060481600001</v>
      </c>
      <c r="AV37" s="123">
        <f t="shared" si="77"/>
        <v>28717.141691232002</v>
      </c>
      <c r="AW37" s="123">
        <f t="shared" si="77"/>
        <v>29291.484525056643</v>
      </c>
      <c r="AX37" s="123">
        <f t="shared" si="77"/>
        <v>29877.314215557777</v>
      </c>
      <c r="AY37" s="123">
        <f t="shared" si="77"/>
        <v>30474.860499868933</v>
      </c>
      <c r="AZ37" s="388"/>
      <c r="BA37" s="73"/>
      <c r="BB37" s="73"/>
      <c r="BC37" s="295"/>
      <c r="BD37" s="807" t="s">
        <v>280</v>
      </c>
      <c r="BE37" s="292"/>
      <c r="BF37" s="84"/>
      <c r="BG37" s="118">
        <f>-PV($C$24/12,($C$26-BG8)*12,BG26/12)</f>
        <v>15624773.607873462</v>
      </c>
      <c r="BH37" s="118">
        <f t="shared" ref="BH37:BP37" si="78">-PV($C$24/12,($C$26-BH8)*12,BH26/12)</f>
        <v>15308173.14887373</v>
      </c>
      <c r="BI37" s="118">
        <f t="shared" si="78"/>
        <v>14980312.176246081</v>
      </c>
      <c r="BJ37" s="118">
        <f t="shared" si="78"/>
        <v>14640790.187832166</v>
      </c>
      <c r="BK37" s="118">
        <f t="shared" si="78"/>
        <v>14289192.43683221</v>
      </c>
      <c r="BL37" s="118">
        <f t="shared" si="78"/>
        <v>13925089.425166529</v>
      </c>
      <c r="BM37" s="118">
        <f t="shared" si="78"/>
        <v>13548036.378817448</v>
      </c>
      <c r="BN37" s="118">
        <f t="shared" si="78"/>
        <v>13157572.704510739</v>
      </c>
      <c r="BO37" s="118">
        <f t="shared" si="78"/>
        <v>12753221.427072851</v>
      </c>
      <c r="BP37" s="118">
        <f>-PV($C$24/12,($C$26-BP8)*12,BP26/12)</f>
        <v>12334488.606776685</v>
      </c>
      <c r="BQ37" s="118"/>
      <c r="BR37" s="118"/>
      <c r="BS37" s="118"/>
      <c r="BT37" s="118"/>
      <c r="BU37" s="118" t="str">
        <f>IF(BV8="","",(BU8&lt;='[1]Property Cash Flow'!$H$27)*_xlfn.SINGLE(Debt)+('[1]Property Cash Flow'!$H$27&lt;BU8)*-PV('[1]Property Cash Flow'!$H$26/12,('[1]Property Cash Flow'!$H$28+'[1]Property Cash Flow'!$H$27-BU8)*12,'[1]Property Cash Flow'!$H$33/12))</f>
        <v/>
      </c>
      <c r="BV37" s="165"/>
      <c r="BY37" s="449" t="s">
        <v>1</v>
      </c>
      <c r="BZ37" s="449" t="s">
        <v>1</v>
      </c>
      <c r="CA37" s="449" t="s">
        <v>1</v>
      </c>
      <c r="CB37" s="449" t="s">
        <v>75</v>
      </c>
      <c r="CC37" s="570">
        <v>46203</v>
      </c>
      <c r="CD37" s="571">
        <v>46568</v>
      </c>
      <c r="CE37" s="571">
        <v>46934</v>
      </c>
      <c r="CF37" s="571">
        <v>47299</v>
      </c>
      <c r="CG37" s="571">
        <v>11139</v>
      </c>
      <c r="CH37" s="571">
        <v>11504</v>
      </c>
      <c r="CI37" s="571">
        <v>11870</v>
      </c>
      <c r="CJ37" s="571">
        <v>12235</v>
      </c>
      <c r="CK37" s="571">
        <v>12600</v>
      </c>
      <c r="CL37" s="571">
        <v>12965</v>
      </c>
      <c r="CM37" s="571">
        <v>13331</v>
      </c>
      <c r="CN37" s="449" t="s">
        <v>1</v>
      </c>
      <c r="CO37" s="449" t="s">
        <v>1</v>
      </c>
      <c r="CP37" s="449" t="s">
        <v>1</v>
      </c>
      <c r="CQ37" s="449" t="s">
        <v>1</v>
      </c>
      <c r="CR37" s="449" t="s">
        <v>1</v>
      </c>
      <c r="CS37" s="449"/>
      <c r="CT37" s="449"/>
    </row>
    <row r="38" spans="1:98" ht="16.5">
      <c r="A38" s="110" t="s">
        <v>161</v>
      </c>
      <c r="B38" s="124">
        <v>1613000</v>
      </c>
      <c r="C38" s="124">
        <v>1675000</v>
      </c>
      <c r="D38" s="125">
        <v>1750000</v>
      </c>
      <c r="E38" s="234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Y38" s="450" t="s">
        <v>281</v>
      </c>
      <c r="Z38" s="450" t="s">
        <v>1</v>
      </c>
      <c r="AA38" s="451" t="s">
        <v>11</v>
      </c>
      <c r="AF38" s="819"/>
      <c r="AG38" s="807"/>
      <c r="AH38" s="61"/>
      <c r="AI38" s="405"/>
      <c r="AJ38" s="85"/>
      <c r="AK38" s="85"/>
      <c r="AL38" s="85"/>
      <c r="AM38" s="69"/>
      <c r="AN38" s="70"/>
      <c r="AO38" s="71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388"/>
      <c r="BA38" s="73"/>
      <c r="BB38" s="73"/>
      <c r="BC38" s="295"/>
      <c r="BD38" s="807"/>
      <c r="BE38" s="292"/>
      <c r="BF38" s="118"/>
      <c r="BG38" s="118"/>
      <c r="BH38" s="118"/>
      <c r="BI38" s="118"/>
      <c r="BJ38" s="285"/>
      <c r="BK38" s="118"/>
      <c r="BL38" s="118"/>
      <c r="BM38" s="118"/>
      <c r="BN38" s="118"/>
      <c r="BO38" s="118"/>
      <c r="BP38" s="118"/>
      <c r="BQ38" s="118"/>
      <c r="BR38" s="119"/>
      <c r="BS38" s="119"/>
      <c r="BT38" s="119"/>
      <c r="BU38" s="119"/>
      <c r="BV38" s="165"/>
      <c r="BY38" s="572" t="s">
        <v>76</v>
      </c>
      <c r="BZ38" s="449" t="s">
        <v>1</v>
      </c>
      <c r="CA38" s="449" t="s">
        <v>1</v>
      </c>
      <c r="CB38" s="449" t="s">
        <v>1</v>
      </c>
      <c r="CC38" s="573">
        <f t="shared" ref="CC38:CM38" si="79">BF54</f>
        <v>-9477435.9429999981</v>
      </c>
      <c r="CD38" s="573">
        <f t="shared" si="79"/>
        <v>709629.5651377727</v>
      </c>
      <c r="CE38" s="573">
        <f t="shared" si="79"/>
        <v>696729.46513777284</v>
      </c>
      <c r="CF38" s="573">
        <f t="shared" si="79"/>
        <v>433571.36313777289</v>
      </c>
      <c r="CG38" s="573">
        <f t="shared" si="79"/>
        <v>-829849.90090222715</v>
      </c>
      <c r="CH38" s="573">
        <f t="shared" si="79"/>
        <v>656460.40977697272</v>
      </c>
      <c r="CI38" s="573">
        <f t="shared" si="79"/>
        <v>863802.46158975654</v>
      </c>
      <c r="CJ38" s="573">
        <f t="shared" si="79"/>
        <v>849559.70882039622</v>
      </c>
      <c r="CK38" s="573">
        <f t="shared" si="79"/>
        <v>835032.10099564854</v>
      </c>
      <c r="CL38" s="573">
        <f t="shared" si="79"/>
        <v>820213.94101440615</v>
      </c>
      <c r="CM38" s="573">
        <f t="shared" si="79"/>
        <v>12348734.05982084</v>
      </c>
      <c r="CN38" s="574"/>
      <c r="CO38" s="574" t="s">
        <v>61</v>
      </c>
      <c r="CP38" s="574" t="s">
        <v>61</v>
      </c>
      <c r="CQ38" s="574" t="s">
        <v>61</v>
      </c>
      <c r="CR38" s="574" t="s">
        <v>61</v>
      </c>
      <c r="CS38" s="449"/>
      <c r="CT38" s="449"/>
    </row>
    <row r="39" spans="1:98" ht="16.5">
      <c r="A39" s="110" t="s">
        <v>167</v>
      </c>
      <c r="B39" s="124">
        <v>660000</v>
      </c>
      <c r="C39" s="124">
        <v>670000</v>
      </c>
      <c r="D39" s="125">
        <v>685000</v>
      </c>
      <c r="E39" s="234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Y39" s="452" t="s">
        <v>4</v>
      </c>
      <c r="Z39" s="452" t="s">
        <v>1</v>
      </c>
      <c r="AA39" s="453">
        <f>C134</f>
        <v>1.2206999999999999</v>
      </c>
      <c r="AF39" s="812">
        <f>_xlfn.RRI(_xlfn.SINGLE(Analysis_Period)-1,AO39,_xlfn.SINGLE(INDEX(AO39:BC39,1,_xlfn.SINGLE(Analysis_Period))))</f>
        <v>6.5886020532477385E-3</v>
      </c>
      <c r="AG39" s="813" t="s">
        <v>237</v>
      </c>
      <c r="AH39" s="202"/>
      <c r="AI39" s="409" t="s">
        <v>282</v>
      </c>
      <c r="AJ39" s="107" t="e">
        <f>AJ31-AJ37</f>
        <v>#VALUE!</v>
      </c>
      <c r="AK39" s="107">
        <f>AK31-AK37</f>
        <v>1541698.42386</v>
      </c>
      <c r="AL39" s="107">
        <f t="shared" ref="AL39" si="80">AL31-AL37</f>
        <v>1568050.3491999998</v>
      </c>
      <c r="AM39" s="107">
        <f>AM31-AM37</f>
        <v>31.361006983999992</v>
      </c>
      <c r="AN39" s="90"/>
      <c r="AO39" s="83">
        <f>AO31-AO37</f>
        <v>1568050.3491999998</v>
      </c>
      <c r="AP39" s="83">
        <f t="shared" ref="AP39:AY39" si="81">AP31-AP37</f>
        <v>1555150.2492</v>
      </c>
      <c r="AQ39" s="83">
        <f t="shared" si="81"/>
        <v>1291992.1472</v>
      </c>
      <c r="AR39" s="83">
        <f>AR31-AR37</f>
        <v>28570.883159999968</v>
      </c>
      <c r="AS39" s="83">
        <f t="shared" si="81"/>
        <v>1514881.1938391998</v>
      </c>
      <c r="AT39" s="83">
        <f t="shared" si="81"/>
        <v>1722223.2456519837</v>
      </c>
      <c r="AU39" s="83">
        <f t="shared" si="81"/>
        <v>1707980.4928826233</v>
      </c>
      <c r="AV39" s="83">
        <f t="shared" si="81"/>
        <v>1693452.8850578757</v>
      </c>
      <c r="AW39" s="83">
        <f t="shared" si="81"/>
        <v>1678634.7250766333</v>
      </c>
      <c r="AX39" s="83">
        <f t="shared" si="81"/>
        <v>1663520.2018957657</v>
      </c>
      <c r="AY39" s="83">
        <f t="shared" si="81"/>
        <v>1891539.4766632817</v>
      </c>
      <c r="AZ39" s="392"/>
      <c r="BA39" s="91"/>
      <c r="BB39" s="91"/>
      <c r="BC39" s="299"/>
      <c r="BD39" s="813" t="s">
        <v>283</v>
      </c>
      <c r="BE39" s="292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9"/>
      <c r="BS39" s="119"/>
      <c r="BT39" s="119"/>
      <c r="BU39" s="119"/>
      <c r="BV39" s="165"/>
      <c r="BY39" s="575" t="s">
        <v>77</v>
      </c>
      <c r="BZ39" s="449" t="s">
        <v>1</v>
      </c>
      <c r="CA39" s="449" t="s">
        <v>1</v>
      </c>
      <c r="CB39" s="449" t="s">
        <v>1</v>
      </c>
      <c r="CC39" s="576">
        <v>0</v>
      </c>
      <c r="CD39" s="576">
        <f t="shared" ref="CD39:CM39" si="82">$B$128</f>
        <v>114000</v>
      </c>
      <c r="CE39" s="576">
        <f t="shared" si="82"/>
        <v>114000</v>
      </c>
      <c r="CF39" s="576">
        <f t="shared" si="82"/>
        <v>114000</v>
      </c>
      <c r="CG39" s="576">
        <f t="shared" si="82"/>
        <v>114000</v>
      </c>
      <c r="CH39" s="576">
        <f t="shared" si="82"/>
        <v>114000</v>
      </c>
      <c r="CI39" s="576">
        <f t="shared" si="82"/>
        <v>114000</v>
      </c>
      <c r="CJ39" s="576">
        <f t="shared" si="82"/>
        <v>114000</v>
      </c>
      <c r="CK39" s="576">
        <f t="shared" si="82"/>
        <v>114000</v>
      </c>
      <c r="CL39" s="576">
        <f t="shared" si="82"/>
        <v>114000</v>
      </c>
      <c r="CM39" s="576">
        <f t="shared" si="82"/>
        <v>114000</v>
      </c>
      <c r="CN39" s="479" t="s">
        <v>284</v>
      </c>
      <c r="CO39" s="479" t="s">
        <v>285</v>
      </c>
      <c r="CP39" s="479" t="s">
        <v>285</v>
      </c>
      <c r="CQ39" s="479" t="s">
        <v>284</v>
      </c>
      <c r="CR39" s="479" t="s">
        <v>284</v>
      </c>
      <c r="CS39" s="449"/>
      <c r="CT39" s="449"/>
    </row>
    <row r="40" spans="1:98" ht="16.5">
      <c r="A40" s="110" t="s">
        <v>173</v>
      </c>
      <c r="B40" s="126">
        <v>98751</v>
      </c>
      <c r="C40" s="126">
        <v>99152</v>
      </c>
      <c r="D40" s="127">
        <v>100000</v>
      </c>
      <c r="E40" s="237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Y40" s="452" t="s">
        <v>286</v>
      </c>
      <c r="Z40" s="452" t="s">
        <v>1</v>
      </c>
      <c r="AA40" s="454">
        <f>C136</f>
        <v>539446</v>
      </c>
      <c r="AF40" s="814"/>
      <c r="AG40" s="807"/>
      <c r="AH40" s="61"/>
      <c r="AI40" s="405"/>
      <c r="AJ40" s="85"/>
      <c r="AK40" s="85"/>
      <c r="AL40" s="85"/>
      <c r="AM40" s="56"/>
      <c r="AN40" s="57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388"/>
      <c r="BA40" s="73"/>
      <c r="BB40" s="73"/>
      <c r="BC40" s="295"/>
      <c r="BD40" s="820" t="s">
        <v>163</v>
      </c>
      <c r="BE40" s="292"/>
      <c r="BF40" s="74">
        <f>BF14</f>
        <v>25248631.239999998</v>
      </c>
      <c r="BG40" s="74">
        <f>BG14</f>
        <v>0</v>
      </c>
      <c r="BH40" s="74">
        <f>BH14</f>
        <v>0</v>
      </c>
      <c r="BI40" s="74">
        <f>BI14</f>
        <v>0</v>
      </c>
      <c r="BJ40" s="74">
        <f t="shared" ref="BJ40:BP40" si="83">BJ14</f>
        <v>0</v>
      </c>
      <c r="BK40" s="74">
        <f t="shared" si="83"/>
        <v>0</v>
      </c>
      <c r="BL40" s="74">
        <f t="shared" si="83"/>
        <v>0</v>
      </c>
      <c r="BM40" s="74">
        <f t="shared" si="83"/>
        <v>0</v>
      </c>
      <c r="BN40" s="74">
        <f t="shared" si="83"/>
        <v>0</v>
      </c>
      <c r="BO40" s="74">
        <f t="shared" si="83"/>
        <v>0</v>
      </c>
      <c r="BP40" s="74">
        <f t="shared" si="83"/>
        <v>0</v>
      </c>
      <c r="BQ40" s="74" t="str">
        <f t="shared" ref="BQ40:BU40" si="84">IF(BQ8&gt;_xlfn.SINGLE(Analysis_Period),"",BQ14)</f>
        <v/>
      </c>
      <c r="BR40" s="74" t="str">
        <f t="shared" si="84"/>
        <v/>
      </c>
      <c r="BS40" s="74" t="str">
        <f t="shared" si="84"/>
        <v/>
      </c>
      <c r="BT40" s="74" t="str">
        <f t="shared" si="84"/>
        <v/>
      </c>
      <c r="BU40" s="74" t="str">
        <f t="shared" si="84"/>
        <v/>
      </c>
      <c r="BV40" s="165"/>
      <c r="BY40" s="575" t="s">
        <v>79</v>
      </c>
      <c r="BZ40" s="449" t="s">
        <v>1</v>
      </c>
      <c r="CA40" s="449" t="s">
        <v>1</v>
      </c>
      <c r="CB40" s="449" t="s">
        <v>1</v>
      </c>
      <c r="CC40" s="576">
        <f>B129</f>
        <v>367627</v>
      </c>
      <c r="CD40" s="576">
        <v>0</v>
      </c>
      <c r="CE40" s="576">
        <v>0</v>
      </c>
      <c r="CF40" s="576">
        <v>0</v>
      </c>
      <c r="CG40" s="576">
        <v>0</v>
      </c>
      <c r="CH40" s="576">
        <v>0</v>
      </c>
      <c r="CI40" s="576">
        <v>0</v>
      </c>
      <c r="CJ40" s="576">
        <v>0</v>
      </c>
      <c r="CK40" s="576">
        <v>0</v>
      </c>
      <c r="CL40" s="576">
        <v>0</v>
      </c>
      <c r="CM40" s="576">
        <v>0</v>
      </c>
      <c r="CN40" s="479" t="s">
        <v>284</v>
      </c>
      <c r="CO40" s="479" t="s">
        <v>285</v>
      </c>
      <c r="CP40" s="479" t="s">
        <v>285</v>
      </c>
      <c r="CQ40" s="479" t="s">
        <v>284</v>
      </c>
      <c r="CR40" s="479" t="s">
        <v>284</v>
      </c>
      <c r="CS40" s="449"/>
      <c r="CT40" s="449"/>
    </row>
    <row r="41" spans="1:98" ht="16.5">
      <c r="A41" s="264" t="s">
        <v>180</v>
      </c>
      <c r="B41" s="128">
        <f>SUM(B38:B40)</f>
        <v>2371751</v>
      </c>
      <c r="C41" s="128">
        <f>SUM(C38:C40)</f>
        <v>2444152</v>
      </c>
      <c r="D41" s="128">
        <f>SUM(D38:D40)</f>
        <v>2535000</v>
      </c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Y41" s="452" t="s">
        <v>287</v>
      </c>
      <c r="Z41" s="452" t="s">
        <v>1</v>
      </c>
      <c r="AA41" s="454">
        <f>C137</f>
        <v>1812018</v>
      </c>
      <c r="AF41" s="814"/>
      <c r="AG41" s="813" t="s">
        <v>288</v>
      </c>
      <c r="AH41" s="61"/>
      <c r="AI41" s="403"/>
      <c r="AJ41" s="85"/>
      <c r="AK41" s="85"/>
      <c r="AL41" s="85"/>
      <c r="AM41" s="56"/>
      <c r="AN41" s="57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386"/>
      <c r="BA41" s="65"/>
      <c r="BB41" s="65"/>
      <c r="BC41" s="294"/>
      <c r="BD41" s="820" t="s">
        <v>216</v>
      </c>
      <c r="BE41" s="292"/>
      <c r="BF41" s="74">
        <f>BF25</f>
        <v>0</v>
      </c>
      <c r="BG41" s="74">
        <f>BG25</f>
        <v>1568050.3491999998</v>
      </c>
      <c r="BH41" s="74">
        <f>BH25</f>
        <v>1555150.2492</v>
      </c>
      <c r="BI41" s="74">
        <f>BI25</f>
        <v>1291992.1472</v>
      </c>
      <c r="BJ41" s="74">
        <f t="shared" ref="BJ41:BP41" si="85">BJ25</f>
        <v>28570.883159999968</v>
      </c>
      <c r="BK41" s="74">
        <f t="shared" si="85"/>
        <v>1514881.1938391998</v>
      </c>
      <c r="BL41" s="74">
        <f t="shared" si="85"/>
        <v>1722223.2456519837</v>
      </c>
      <c r="BM41" s="74">
        <f t="shared" si="85"/>
        <v>1707980.4928826233</v>
      </c>
      <c r="BN41" s="74">
        <f t="shared" si="85"/>
        <v>1693452.8850578757</v>
      </c>
      <c r="BO41" s="74">
        <f t="shared" si="85"/>
        <v>1678634.7250766333</v>
      </c>
      <c r="BP41" s="74">
        <f t="shared" si="85"/>
        <v>1663520.2018957657</v>
      </c>
      <c r="BQ41" s="74" t="str">
        <f t="shared" ref="BQ41:BU41" si="86">IF(BQ8&gt;_xlfn.SINGLE(Analysis_Period),"",BQ25)</f>
        <v/>
      </c>
      <c r="BR41" s="74" t="str">
        <f t="shared" si="86"/>
        <v/>
      </c>
      <c r="BS41" s="74" t="str">
        <f t="shared" si="86"/>
        <v/>
      </c>
      <c r="BT41" s="74" t="str">
        <f t="shared" si="86"/>
        <v/>
      </c>
      <c r="BU41" s="74" t="str">
        <f t="shared" si="86"/>
        <v/>
      </c>
      <c r="BV41" s="165"/>
      <c r="BY41" s="575"/>
      <c r="BZ41" s="449" t="s">
        <v>1</v>
      </c>
      <c r="CA41" s="449" t="s">
        <v>1</v>
      </c>
      <c r="CB41" s="449" t="s">
        <v>1</v>
      </c>
      <c r="CC41" s="576"/>
      <c r="CD41" s="576"/>
      <c r="CE41" s="576"/>
      <c r="CF41" s="576"/>
      <c r="CG41" s="576"/>
      <c r="CH41" s="576"/>
      <c r="CI41" s="576"/>
      <c r="CJ41" s="576"/>
      <c r="CK41" s="576"/>
      <c r="CL41" s="576"/>
      <c r="CM41" s="576"/>
      <c r="CN41" s="479"/>
      <c r="CO41" s="479"/>
      <c r="CP41" s="479"/>
      <c r="CQ41" s="479"/>
      <c r="CR41" s="479"/>
      <c r="CS41" s="449"/>
      <c r="CT41" s="449"/>
    </row>
    <row r="42" spans="1:98" ht="16.5">
      <c r="A42" s="150"/>
      <c r="B42" s="124"/>
      <c r="C42" s="124"/>
      <c r="D42" s="129"/>
      <c r="Y42" s="452" t="s">
        <v>289</v>
      </c>
      <c r="Z42" s="452" t="s">
        <v>1</v>
      </c>
      <c r="AA42" s="454" t="str">
        <f>C138</f>
        <v>1.56x</v>
      </c>
      <c r="AF42" s="814"/>
      <c r="AG42" s="820" t="s">
        <v>290</v>
      </c>
      <c r="AH42" s="61"/>
      <c r="AI42" s="410" t="s">
        <v>291</v>
      </c>
      <c r="AJ42" s="130">
        <f>AJ10/$C$16</f>
        <v>32.260007999999999</v>
      </c>
      <c r="AK42" s="130">
        <f>AK10/$C$16</f>
        <v>35.000008000000001</v>
      </c>
      <c r="AL42" s="130">
        <f>AL10/$C$16</f>
        <v>35.000008000000001</v>
      </c>
      <c r="AM42" s="131"/>
      <c r="AN42" s="132"/>
      <c r="AO42" s="131">
        <f t="shared" ref="AO42:AY42" si="87">AO10/$C$16</f>
        <v>35.000008000000001</v>
      </c>
      <c r="AP42" s="131">
        <f>AP10/$C$16</f>
        <v>35.000008000000001</v>
      </c>
      <c r="AQ42" s="131">
        <f t="shared" si="87"/>
        <v>35.000008000000001</v>
      </c>
      <c r="AR42" s="131">
        <f t="shared" si="87"/>
        <v>35.000008000000001</v>
      </c>
      <c r="AS42" s="131">
        <f t="shared" si="87"/>
        <v>35.000008000000001</v>
      </c>
      <c r="AT42" s="131">
        <f t="shared" si="87"/>
        <v>38.500008799999996</v>
      </c>
      <c r="AU42" s="131">
        <f>AU10/$C$16</f>
        <v>38.500008799999996</v>
      </c>
      <c r="AV42" s="131">
        <f t="shared" si="87"/>
        <v>38.500008799999996</v>
      </c>
      <c r="AW42" s="131">
        <f t="shared" si="87"/>
        <v>38.500008799999996</v>
      </c>
      <c r="AX42" s="131">
        <f t="shared" si="87"/>
        <v>38.500008799999996</v>
      </c>
      <c r="AY42" s="131">
        <f t="shared" si="87"/>
        <v>42.350009680000007</v>
      </c>
      <c r="AZ42" s="833" t="s">
        <v>290</v>
      </c>
      <c r="BA42" s="131"/>
      <c r="BB42" s="131"/>
      <c r="BC42" s="302"/>
      <c r="BD42" s="820" t="s">
        <v>292</v>
      </c>
      <c r="BE42" s="292"/>
      <c r="BF42" s="84">
        <f t="shared" ref="BF42:BP42" si="88">(BF8&lt;=$C$10)*(BF8=$C$10)*BF34</f>
        <v>0</v>
      </c>
      <c r="BG42" s="84">
        <f>(BG8&lt;=$C$10)*(BG8=$C$10)*BG34</f>
        <v>0</v>
      </c>
      <c r="BH42" s="84">
        <f t="shared" si="88"/>
        <v>0</v>
      </c>
      <c r="BI42" s="84">
        <f t="shared" si="88"/>
        <v>0</v>
      </c>
      <c r="BJ42" s="84">
        <f t="shared" si="88"/>
        <v>0</v>
      </c>
      <c r="BK42" s="84">
        <f t="shared" si="88"/>
        <v>0</v>
      </c>
      <c r="BL42" s="84">
        <f t="shared" si="88"/>
        <v>0</v>
      </c>
      <c r="BM42" s="84">
        <f t="shared" si="88"/>
        <v>0</v>
      </c>
      <c r="BN42" s="84">
        <f t="shared" si="88"/>
        <v>0</v>
      </c>
      <c r="BO42" s="84">
        <f t="shared" si="88"/>
        <v>0</v>
      </c>
      <c r="BP42" s="84">
        <f>(BP8&lt;=$C$10)*(BP8=$C$10)*BP34</f>
        <v>23878123.248763986</v>
      </c>
      <c r="BQ42" s="84" t="str">
        <f t="shared" ref="BQ42:BU42" si="89">IF(BQ8&gt;_xlfn.SINGLE(Analysis_Period),"",(BQ8=_xlfn.SINGLE(Analysis_Period))*BQ34)</f>
        <v/>
      </c>
      <c r="BR42" s="84" t="str">
        <f t="shared" si="89"/>
        <v/>
      </c>
      <c r="BS42" s="84" t="str">
        <f t="shared" si="89"/>
        <v/>
      </c>
      <c r="BT42" s="84" t="str">
        <f t="shared" si="89"/>
        <v/>
      </c>
      <c r="BU42" s="84" t="str">
        <f t="shared" si="89"/>
        <v/>
      </c>
      <c r="BV42" s="165"/>
      <c r="BY42" s="572" t="s">
        <v>80</v>
      </c>
      <c r="BZ42" s="449" t="s">
        <v>1</v>
      </c>
      <c r="CA42" s="449" t="s">
        <v>1</v>
      </c>
      <c r="CB42" s="577"/>
      <c r="CC42" s="578">
        <f t="shared" ref="CC42:CM42" si="90">CC38-CC39-CC40</f>
        <v>-9845062.9429999981</v>
      </c>
      <c r="CD42" s="578">
        <f t="shared" si="90"/>
        <v>595629.5651377727</v>
      </c>
      <c r="CE42" s="578">
        <f t="shared" si="90"/>
        <v>582729.46513777284</v>
      </c>
      <c r="CF42" s="578">
        <f t="shared" si="90"/>
        <v>319571.36313777289</v>
      </c>
      <c r="CG42" s="578">
        <f t="shared" si="90"/>
        <v>-943849.90090222715</v>
      </c>
      <c r="CH42" s="578">
        <f t="shared" si="90"/>
        <v>542460.40977697272</v>
      </c>
      <c r="CI42" s="578">
        <f t="shared" si="90"/>
        <v>749802.46158975654</v>
      </c>
      <c r="CJ42" s="578">
        <f t="shared" si="90"/>
        <v>735559.70882039622</v>
      </c>
      <c r="CK42" s="578">
        <f t="shared" si="90"/>
        <v>721032.10099564854</v>
      </c>
      <c r="CL42" s="578">
        <f t="shared" si="90"/>
        <v>706213.94101440615</v>
      </c>
      <c r="CM42" s="578">
        <f t="shared" si="90"/>
        <v>12234734.05982084</v>
      </c>
      <c r="CN42" s="473"/>
      <c r="CO42" s="473" t="s">
        <v>61</v>
      </c>
      <c r="CP42" s="473" t="s">
        <v>61</v>
      </c>
      <c r="CQ42" s="473" t="s">
        <v>61</v>
      </c>
      <c r="CR42" s="473" t="s">
        <v>61</v>
      </c>
      <c r="CS42" s="449"/>
      <c r="CT42" s="449"/>
    </row>
    <row r="43" spans="1:98" ht="16.5">
      <c r="A43" s="110" t="s">
        <v>190</v>
      </c>
      <c r="B43" s="124">
        <v>-24131.084275599998</v>
      </c>
      <c r="C43" s="124">
        <v>-24561.7</v>
      </c>
      <c r="D43" s="125">
        <v>0</v>
      </c>
      <c r="Y43" s="452" t="s">
        <v>27</v>
      </c>
      <c r="Z43" s="452" t="s">
        <v>1</v>
      </c>
      <c r="AA43" s="455">
        <f>C125</f>
        <v>0.12</v>
      </c>
      <c r="AF43" s="814"/>
      <c r="AG43" s="820" t="s">
        <v>293</v>
      </c>
      <c r="AH43" s="61"/>
      <c r="AI43" s="410" t="s">
        <v>294</v>
      </c>
      <c r="AJ43" s="130">
        <f>AJ29/$C$16</f>
        <v>13.235381430469339</v>
      </c>
      <c r="AK43" s="130">
        <f>AK29/$C$16</f>
        <v>13.5283067228</v>
      </c>
      <c r="AL43" s="130">
        <f>AL29/$C$16</f>
        <v>13.769000216</v>
      </c>
      <c r="AM43" s="56"/>
      <c r="AN43" s="57"/>
      <c r="AO43" s="131">
        <f t="shared" ref="AO43:AY43" si="91">AO29/$C$16</f>
        <v>13.769000216</v>
      </c>
      <c r="AP43" s="131">
        <f t="shared" si="91"/>
        <v>14.017002216</v>
      </c>
      <c r="AQ43" s="131">
        <f t="shared" si="91"/>
        <v>14.269964256</v>
      </c>
      <c r="AR43" s="131">
        <f t="shared" si="91"/>
        <v>14.527985536799999</v>
      </c>
      <c r="AS43" s="131">
        <f t="shared" si="91"/>
        <v>14.791167243216</v>
      </c>
      <c r="AT43" s="131">
        <f t="shared" si="91"/>
        <v>15.196502605360322</v>
      </c>
      <c r="AU43" s="131">
        <f t="shared" si="91"/>
        <v>15.470316852715527</v>
      </c>
      <c r="AV43" s="131">
        <f t="shared" si="91"/>
        <v>15.749607385017839</v>
      </c>
      <c r="AW43" s="131">
        <f t="shared" si="91"/>
        <v>16.034483727966197</v>
      </c>
      <c r="AX43" s="131">
        <f t="shared" si="91"/>
        <v>16.325057597773519</v>
      </c>
      <c r="AY43" s="131">
        <f t="shared" si="91"/>
        <v>16.77202196873699</v>
      </c>
      <c r="AZ43" s="393" t="s">
        <v>293</v>
      </c>
      <c r="BA43" s="131"/>
      <c r="BB43" s="131"/>
      <c r="BC43" s="302"/>
      <c r="BD43" s="807" t="s">
        <v>295</v>
      </c>
      <c r="BE43" s="292"/>
      <c r="BF43" s="74">
        <f>-BF40+BF41+BF42</f>
        <v>-25248631.239999998</v>
      </c>
      <c r="BG43" s="74">
        <f>-BG40+BG41+BG42</f>
        <v>1568050.3491999998</v>
      </c>
      <c r="BH43" s="74">
        <f t="shared" ref="BF43:BP43" si="92">-BH40+BH41+BH42</f>
        <v>1555150.2492</v>
      </c>
      <c r="BI43" s="74">
        <f t="shared" si="92"/>
        <v>1291992.1472</v>
      </c>
      <c r="BJ43" s="74">
        <f t="shared" si="92"/>
        <v>28570.883159999968</v>
      </c>
      <c r="BK43" s="74">
        <f t="shared" si="92"/>
        <v>1514881.1938391998</v>
      </c>
      <c r="BL43" s="74">
        <f t="shared" si="92"/>
        <v>1722223.2456519837</v>
      </c>
      <c r="BM43" s="74">
        <f t="shared" si="92"/>
        <v>1707980.4928826233</v>
      </c>
      <c r="BN43" s="74">
        <f t="shared" si="92"/>
        <v>1693452.8850578757</v>
      </c>
      <c r="BO43" s="74">
        <f t="shared" si="92"/>
        <v>1678634.7250766333</v>
      </c>
      <c r="BP43" s="74">
        <f t="shared" si="92"/>
        <v>25541643.450659752</v>
      </c>
      <c r="BQ43" s="74" t="str">
        <f>IF(BQ8&gt;_xlfn.SINGLE(Analysis_Period),"",-BQ40+BQ41+BQ42)</f>
        <v/>
      </c>
      <c r="BR43" s="74" t="str">
        <f t="shared" ref="BR43" si="93">IF(BR8&gt;_xlfn.SINGLE(Analysis_Period),"",-BR40+BR41+BR42)</f>
        <v/>
      </c>
      <c r="BS43" s="74" t="str">
        <f t="shared" ref="BS43" si="94">IF(BS8&gt;_xlfn.SINGLE(Analysis_Period),"",-BS40+BS41+BS42)</f>
        <v/>
      </c>
      <c r="BT43" s="74" t="str">
        <f t="shared" ref="BT43" si="95">IF(BT8&gt;_xlfn.SINGLE(Analysis_Period),"",-BT40+BT41+BT42)</f>
        <v/>
      </c>
      <c r="BU43" s="74" t="str">
        <f t="shared" ref="BU43" si="96">IF(BU8&gt;_xlfn.SINGLE(Analysis_Period),"",-BU40+BU41+BU42)</f>
        <v/>
      </c>
      <c r="BV43" s="165"/>
      <c r="BY43" s="452" t="s">
        <v>81</v>
      </c>
      <c r="BZ43" s="449" t="s">
        <v>1</v>
      </c>
      <c r="CA43" s="449" t="s">
        <v>1</v>
      </c>
      <c r="CB43" s="449" t="s">
        <v>1</v>
      </c>
      <c r="CC43" s="482">
        <f>IRR(CC42:CR42)</f>
        <v>5.8511057898712915E-2</v>
      </c>
      <c r="CD43" s="449"/>
      <c r="CE43" s="449"/>
      <c r="CF43" s="449"/>
      <c r="CG43" s="449"/>
      <c r="CH43" s="449"/>
      <c r="CI43" s="449"/>
      <c r="CJ43" s="449"/>
      <c r="CK43" s="449"/>
      <c r="CL43" s="449"/>
      <c r="CM43" s="449"/>
      <c r="CN43" s="449"/>
      <c r="CO43" s="449" t="s">
        <v>1</v>
      </c>
      <c r="CP43" s="449" t="s">
        <v>1</v>
      </c>
      <c r="CQ43" s="449" t="s">
        <v>1</v>
      </c>
      <c r="CR43" s="449" t="s">
        <v>1</v>
      </c>
      <c r="CS43" s="449"/>
      <c r="CT43" s="449"/>
    </row>
    <row r="44" spans="1:98" ht="16.5">
      <c r="A44" s="447" t="s">
        <v>296</v>
      </c>
      <c r="B44" s="448">
        <v>-237175</v>
      </c>
      <c r="C44" s="448">
        <v>-244415</v>
      </c>
      <c r="D44" s="448">
        <v>-253500</v>
      </c>
      <c r="Y44" s="450" t="s">
        <v>281</v>
      </c>
      <c r="Z44" s="452"/>
      <c r="AA44" s="451" t="s">
        <v>297</v>
      </c>
      <c r="AF44" s="814"/>
      <c r="AG44" s="820" t="s">
        <v>298</v>
      </c>
      <c r="AH44" s="61"/>
      <c r="AI44" s="411"/>
      <c r="AJ44" s="133">
        <f>AJ11/AJ29</f>
        <v>0.99732675399985926</v>
      </c>
      <c r="AK44" s="133">
        <f>AK11/AK29</f>
        <v>0.99051568496863263</v>
      </c>
      <c r="AL44" s="133">
        <f>AL11/AL29</f>
        <v>0.99498872721929221</v>
      </c>
      <c r="AM44" s="56"/>
      <c r="AN44" s="57"/>
      <c r="AO44" s="134">
        <f>AO11/AO29</f>
        <v>0.99498872721929221</v>
      </c>
      <c r="AP44" s="134">
        <f>AP11/AP29</f>
        <v>0.97738444989056561</v>
      </c>
      <c r="AQ44" s="134">
        <f t="shared" ref="AP44:AY44" si="97">AQ11/AQ29</f>
        <v>0.96005846645618964</v>
      </c>
      <c r="AR44" s="134">
        <f t="shared" si="97"/>
        <v>0.94300754673091625</v>
      </c>
      <c r="AS44" s="134">
        <f t="shared" si="97"/>
        <v>0.92622845612698579</v>
      </c>
      <c r="AT44" s="134">
        <f t="shared" si="97"/>
        <v>0.99167554478517328</v>
      </c>
      <c r="AU44" s="134">
        <f t="shared" si="97"/>
        <v>0.97412355179750199</v>
      </c>
      <c r="AV44" s="134">
        <f t="shared" si="97"/>
        <v>0.95684924910164249</v>
      </c>
      <c r="AW44" s="134">
        <f t="shared" si="97"/>
        <v>0.93984940554811802</v>
      </c>
      <c r="AX44" s="134">
        <f t="shared" si="97"/>
        <v>0.92312078592943603</v>
      </c>
      <c r="AY44" s="134">
        <f t="shared" si="97"/>
        <v>0.98837218499352641</v>
      </c>
      <c r="AZ44" s="394" t="s">
        <v>298</v>
      </c>
      <c r="BA44" s="134"/>
      <c r="BB44" s="134"/>
      <c r="BC44" s="303"/>
      <c r="BD44" s="807"/>
      <c r="BE44" s="292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165"/>
      <c r="BY44" s="452" t="s">
        <v>27</v>
      </c>
      <c r="BZ44" s="449" t="s">
        <v>1</v>
      </c>
      <c r="CA44" s="449" t="s">
        <v>1</v>
      </c>
      <c r="CB44" s="449" t="s">
        <v>1</v>
      </c>
      <c r="CC44" s="579">
        <f>SUMIF(CC42:CM42,"&gt;0")/-SUMIF(CC42:CM42,"&lt;0")</f>
        <v>1.5930922164364001</v>
      </c>
      <c r="CD44" s="579"/>
      <c r="CE44" s="449"/>
      <c r="CF44" s="449"/>
      <c r="CG44" s="579"/>
      <c r="CH44" s="449"/>
      <c r="CI44" s="579"/>
      <c r="CJ44" s="449"/>
      <c r="CK44" s="449"/>
      <c r="CL44" s="449"/>
      <c r="CM44" s="449"/>
      <c r="CN44" s="449"/>
      <c r="CO44" s="449" t="s">
        <v>1</v>
      </c>
      <c r="CP44" s="449" t="s">
        <v>1</v>
      </c>
      <c r="CQ44" s="449" t="s">
        <v>1</v>
      </c>
      <c r="CR44" s="449" t="s">
        <v>1</v>
      </c>
      <c r="CS44" s="449"/>
      <c r="CT44" s="449"/>
    </row>
    <row r="45" spans="1:98" ht="16.5">
      <c r="Y45" s="452" t="s">
        <v>4</v>
      </c>
      <c r="Z45" s="452"/>
      <c r="AA45" s="453">
        <f>E134</f>
        <v>6.0100000000000001E-2</v>
      </c>
      <c r="AF45" s="814"/>
      <c r="AG45" s="820" t="s">
        <v>299</v>
      </c>
      <c r="AH45" s="61"/>
      <c r="AI45" s="411"/>
      <c r="AJ45" s="133">
        <f>AJ29/AJ18</f>
        <v>0.31356847319964992</v>
      </c>
      <c r="AK45" s="133">
        <f>AK29/AK18</f>
        <v>0.30161088762258986</v>
      </c>
      <c r="AL45" s="133">
        <f t="shared" ref="AL45" si="98">AL29/AL18</f>
        <v>0.3017531896422756</v>
      </c>
      <c r="AM45" s="56"/>
      <c r="AN45" s="57"/>
      <c r="AO45" s="134">
        <f>AO29/AO18</f>
        <v>0.3017531896422756</v>
      </c>
      <c r="AP45" s="134">
        <f>AP29/AP18</f>
        <v>0.30718825343512113</v>
      </c>
      <c r="AQ45" s="134">
        <f t="shared" ref="AQ45:AY45" si="99">AQ29/AQ18</f>
        <v>0.31273201850382354</v>
      </c>
      <c r="AR45" s="134">
        <f t="shared" si="99"/>
        <v>0.3183866588739</v>
      </c>
      <c r="AS45" s="134">
        <f t="shared" si="99"/>
        <v>0.32415439205137803</v>
      </c>
      <c r="AT45" s="134">
        <f t="shared" si="99"/>
        <v>0.30276134535673238</v>
      </c>
      <c r="AU45" s="134">
        <f t="shared" si="99"/>
        <v>0.30821657226386701</v>
      </c>
      <c r="AV45" s="134">
        <f t="shared" si="99"/>
        <v>0.31378090370914435</v>
      </c>
      <c r="AW45" s="134">
        <f t="shared" si="99"/>
        <v>0.31945652178332729</v>
      </c>
      <c r="AX45" s="134">
        <f t="shared" si="99"/>
        <v>0.32524565221899382</v>
      </c>
      <c r="AY45" s="134">
        <f t="shared" si="99"/>
        <v>0.30377324114852144</v>
      </c>
      <c r="AZ45" s="394" t="s">
        <v>299</v>
      </c>
      <c r="BA45" s="134"/>
      <c r="BB45" s="134"/>
      <c r="BC45" s="303"/>
      <c r="BD45" s="807" t="s">
        <v>300</v>
      </c>
      <c r="BE45" s="292"/>
      <c r="BF45" s="108"/>
      <c r="BG45" s="108">
        <f>BG25/SUM($BF$14:BG14)</f>
        <v>6.2104370502105676E-2</v>
      </c>
      <c r="BH45" s="108">
        <f>BH25/SUM($BF$14:BH14)</f>
        <v>6.1593447756338654E-2</v>
      </c>
      <c r="BI45" s="108">
        <f>BI25/SUM($BF$14:BI14)</f>
        <v>5.1170779711542103E-2</v>
      </c>
      <c r="BJ45" s="108">
        <f>BJ25/SUM($BF$14:BJ14)</f>
        <v>1.1315814662751585E-3</v>
      </c>
      <c r="BK45" s="108">
        <f>BK25/SUM($BF$14:BK14)</f>
        <v>5.9998547225770325E-2</v>
      </c>
      <c r="BL45" s="108">
        <f>BL25/SUM($BF$14:BL14)</f>
        <v>6.8210558793522294E-2</v>
      </c>
      <c r="BM45" s="108">
        <f>BM25/SUM($BF$14:BM14)</f>
        <v>6.7646458798002684E-2</v>
      </c>
      <c r="BN45" s="108">
        <f>BN25/SUM($BF$14:BN14)</f>
        <v>6.7071076802572682E-2</v>
      </c>
      <c r="BO45" s="108">
        <f>BO25/SUM($BF$14:BO14)</f>
        <v>6.6484187167234074E-2</v>
      </c>
      <c r="BP45" s="108">
        <f>BP25/SUM($BF$14:BP14)</f>
        <v>6.5885559739188693E-2</v>
      </c>
      <c r="BQ45" s="108" t="str">
        <f>IF(BR8="","",BQ25/SUM($AW$13:BQ14))</f>
        <v/>
      </c>
      <c r="BR45" s="108" t="str">
        <f>IF(BS8="","",BR25/SUM($AW$13:BR14))</f>
        <v/>
      </c>
      <c r="BS45" s="108" t="str">
        <f>IF(BT8="","",BS25/SUM($AW$13:BS14))</f>
        <v/>
      </c>
      <c r="BT45" s="108" t="str">
        <f>IF(BU8="","",BT25/SUM($AW$13:BT14))</f>
        <v/>
      </c>
      <c r="BU45" s="108" t="str">
        <f>IF(BV8="","",BU25/SUM($AW$13:BU14))</f>
        <v/>
      </c>
      <c r="BV45" s="165"/>
      <c r="BY45" s="452" t="s">
        <v>1</v>
      </c>
      <c r="BZ45" s="449" t="s">
        <v>1</v>
      </c>
      <c r="CA45" s="449" t="s">
        <v>1</v>
      </c>
      <c r="CB45" s="449" t="s">
        <v>1</v>
      </c>
      <c r="CC45" s="580"/>
      <c r="CD45" s="449"/>
      <c r="CE45" s="449"/>
      <c r="CF45" s="449"/>
      <c r="CG45" s="449"/>
      <c r="CH45" s="449"/>
      <c r="CI45" s="449"/>
      <c r="CJ45" s="449"/>
      <c r="CK45" s="449"/>
      <c r="CL45" s="449"/>
      <c r="CM45" s="580"/>
      <c r="CN45" s="449" t="s">
        <v>1</v>
      </c>
      <c r="CO45" s="449" t="s">
        <v>1</v>
      </c>
      <c r="CP45" s="449" t="s">
        <v>1</v>
      </c>
      <c r="CQ45" s="449" t="s">
        <v>1</v>
      </c>
      <c r="CR45" s="449" t="s">
        <v>1</v>
      </c>
      <c r="CS45" s="449"/>
      <c r="CT45" s="449"/>
    </row>
    <row r="46" spans="1:98" ht="16.5">
      <c r="A46" s="263"/>
      <c r="B46" s="270"/>
      <c r="C46" s="270"/>
      <c r="D46" s="270"/>
      <c r="E46" s="55" t="s">
        <v>301</v>
      </c>
      <c r="Y46" s="452" t="s">
        <v>286</v>
      </c>
      <c r="Z46" s="452"/>
      <c r="AA46" s="454">
        <f>E135</f>
        <v>16032900</v>
      </c>
      <c r="AF46" s="814"/>
      <c r="AG46" s="820" t="s">
        <v>302</v>
      </c>
      <c r="AH46" s="61"/>
      <c r="AI46" s="412"/>
      <c r="AJ46" s="135" t="e">
        <f>AJ37/AJ31</f>
        <v>#VALUE!</v>
      </c>
      <c r="AK46" s="135">
        <f t="shared" ref="AK46:AL46" si="100">AK37/AK31</f>
        <v>1.5681750193236386E-2</v>
      </c>
      <c r="AL46" s="135">
        <f t="shared" si="100"/>
        <v>1.5693163755027915E-2</v>
      </c>
      <c r="AM46" s="56"/>
      <c r="AN46" s="57"/>
      <c r="AO46" s="136">
        <f>AO37/AO31</f>
        <v>1.5693163755027915E-2</v>
      </c>
      <c r="AP46" s="136">
        <f>AP37/AP31</f>
        <v>1.6132601132291018E-2</v>
      </c>
      <c r="AQ46" s="136">
        <f t="shared" ref="AQ46:AY46" si="101">AQ37/AQ31</f>
        <v>0.17602654466569087</v>
      </c>
      <c r="AR46" s="136">
        <f t="shared" si="101"/>
        <v>0.98162763599781999</v>
      </c>
      <c r="AS46" s="136">
        <f t="shared" si="101"/>
        <v>1.754981966761503E-2</v>
      </c>
      <c r="AT46" s="136">
        <f t="shared" si="101"/>
        <v>1.5774157923393328E-2</v>
      </c>
      <c r="AU46" s="136">
        <f t="shared" si="101"/>
        <v>1.6216519869985888E-2</v>
      </c>
      <c r="AV46" s="136">
        <f t="shared" si="101"/>
        <v>1.6674974738377341E-2</v>
      </c>
      <c r="AW46" s="136">
        <f t="shared" si="101"/>
        <v>1.7150322045756176E-2</v>
      </c>
      <c r="AX46" s="136">
        <f t="shared" si="101"/>
        <v>1.7643414456026432E-2</v>
      </c>
      <c r="AY46" s="136">
        <f t="shared" si="101"/>
        <v>1.5855688436148263E-2</v>
      </c>
      <c r="AZ46" s="395" t="s">
        <v>302</v>
      </c>
      <c r="BA46" s="136"/>
      <c r="BB46" s="136"/>
      <c r="BC46" s="304"/>
      <c r="BD46" s="820" t="s">
        <v>205</v>
      </c>
      <c r="BE46" s="292"/>
      <c r="BF46" s="108"/>
      <c r="BG46" s="108">
        <f>AVERAGE(BG45)</f>
        <v>6.2104370502105676E-2</v>
      </c>
      <c r="BH46" s="108">
        <f>AVERAGE(BG45:BH45)</f>
        <v>6.1848909129222168E-2</v>
      </c>
      <c r="BI46" s="108">
        <f>AVERAGE(BG45:BI45)</f>
        <v>5.8289532656662146E-2</v>
      </c>
      <c r="BJ46" s="108">
        <f>AVERAGE(BG45:BJ45)</f>
        <v>4.4000044859065397E-2</v>
      </c>
      <c r="BK46" s="108">
        <f>AVERAGE(BG45:BK45)</f>
        <v>4.7199745332406381E-2</v>
      </c>
      <c r="BL46" s="108">
        <f>AVERAGE(BG45:BL45)</f>
        <v>5.0701547575925703E-2</v>
      </c>
      <c r="BM46" s="108">
        <f>AVERAGE(BG45:BM45)</f>
        <v>5.3122249179079553E-2</v>
      </c>
      <c r="BN46" s="108">
        <f>AVERAGE(BG45:BN45)</f>
        <v>5.4865852632016196E-2</v>
      </c>
      <c r="BO46" s="108">
        <f>AVERAGE(BG45:BO45)</f>
        <v>5.6156778691484846E-2</v>
      </c>
      <c r="BP46" s="108">
        <f>AVERAGE(BG45:BP45)</f>
        <v>5.7129656796255236E-2</v>
      </c>
      <c r="BQ46" s="108" t="str">
        <f>IF(BR8="","",IF(BQ45="","",AVERAGE($AX$44:BQ45)))</f>
        <v/>
      </c>
      <c r="BR46" s="108" t="str">
        <f>IF(BS8="","",IF(BR45="","",AVERAGE($AX$44:BR45)))</f>
        <v/>
      </c>
      <c r="BS46" s="108" t="str">
        <f>IF(BT8="","",IF(BS45="","",AVERAGE($AX$44:BS45)))</f>
        <v/>
      </c>
      <c r="BT46" s="108" t="str">
        <f>IF(BU8="","",IF(BT45="","",AVERAGE($AX$44:BT45)))</f>
        <v/>
      </c>
      <c r="BU46" s="108" t="str">
        <f>IF(BV8="","",IF(BU45="","",AVERAGE($AX$44:BU45)))</f>
        <v/>
      </c>
      <c r="BV46" s="165"/>
      <c r="BY46" s="475" t="s">
        <v>303</v>
      </c>
      <c r="BZ46" s="449"/>
      <c r="CA46" s="449"/>
      <c r="CB46" s="449"/>
      <c r="CC46" s="449"/>
      <c r="CD46" s="449"/>
      <c r="CE46" s="449"/>
      <c r="CF46" s="449"/>
      <c r="CG46" s="449"/>
      <c r="CH46" s="449"/>
      <c r="CI46" s="449"/>
      <c r="CJ46" s="449"/>
      <c r="CK46" s="449"/>
      <c r="CL46" s="449"/>
      <c r="CM46" s="449"/>
      <c r="CN46" s="449"/>
      <c r="CO46" s="449"/>
      <c r="CP46" s="449"/>
      <c r="CQ46" s="449"/>
      <c r="CR46" s="449"/>
      <c r="CS46" s="449"/>
      <c r="CT46" s="449"/>
    </row>
    <row r="47" spans="1:98" ht="16.5">
      <c r="A47" s="110" t="s">
        <v>214</v>
      </c>
      <c r="B47" s="125">
        <v>14478.65056536</v>
      </c>
      <c r="C47" s="125">
        <v>14737.02</v>
      </c>
      <c r="D47" s="125">
        <v>15000</v>
      </c>
      <c r="Y47" s="452" t="s">
        <v>287</v>
      </c>
      <c r="Z47" s="452"/>
      <c r="AA47" s="454">
        <f>E136</f>
        <v>10249467</v>
      </c>
      <c r="AF47" s="814"/>
      <c r="AG47" s="820" t="s">
        <v>304</v>
      </c>
      <c r="AH47" s="61"/>
      <c r="AI47" s="412"/>
      <c r="AJ47" s="135">
        <f>AJ28/$BG$32</f>
        <v>9.8462164055973175E-3</v>
      </c>
      <c r="AK47" s="135">
        <f>AK28/$BG$32</f>
        <v>1.0021920719654303E-2</v>
      </c>
      <c r="AL47" s="135">
        <f>AL28/$BG$32</f>
        <v>1.0200760451896961E-2</v>
      </c>
      <c r="AM47" s="56"/>
      <c r="AN47" s="57"/>
      <c r="AO47" s="136">
        <f t="shared" ref="AO47:AX47" si="102">AO28/BG32</f>
        <v>1.0200760451896961E-2</v>
      </c>
      <c r="AP47" s="136">
        <f t="shared" si="102"/>
        <v>1.0567065078725452E-2</v>
      </c>
      <c r="AQ47" s="136">
        <f t="shared" si="102"/>
        <v>1.0948290703973344E-2</v>
      </c>
      <c r="AR47" s="136">
        <f t="shared" si="102"/>
        <v>1.1345201956781591E-2</v>
      </c>
      <c r="AS47" s="136">
        <f t="shared" si="102"/>
        <v>1.1758614344885617E-2</v>
      </c>
      <c r="AT47" s="136">
        <f t="shared" si="102"/>
        <v>1.0647769549422462E-2</v>
      </c>
      <c r="AU47" s="136">
        <f t="shared" si="102"/>
        <v>1.1027454056260636E-2</v>
      </c>
      <c r="AV47" s="136">
        <f t="shared" si="102"/>
        <v>1.1422586142942396E-2</v>
      </c>
      <c r="AW47" s="136">
        <f t="shared" si="102"/>
        <v>1.1833958886015994E-2</v>
      </c>
      <c r="AX47" s="136">
        <f t="shared" si="102"/>
        <v>1.2262418290399309E-2</v>
      </c>
      <c r="AY47" s="136">
        <f>IFERROR(AY28/BQ32,AX47)</f>
        <v>1.2262418290399309E-2</v>
      </c>
      <c r="AZ47" s="395" t="s">
        <v>304</v>
      </c>
      <c r="BA47" s="136"/>
      <c r="BB47" s="136"/>
      <c r="BC47" s="304"/>
      <c r="BD47" s="807" t="s">
        <v>193</v>
      </c>
      <c r="BE47" s="291"/>
      <c r="BF47" s="108">
        <f>IRR(BF43:BU43)</f>
        <v>5.2008091258499478E-2</v>
      </c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65"/>
      <c r="BY47" s="488" t="s">
        <v>305</v>
      </c>
      <c r="BZ47" s="632">
        <f>C124</f>
        <v>0.08</v>
      </c>
      <c r="CA47" s="449"/>
      <c r="CB47" s="449"/>
      <c r="CC47" s="621" t="str">
        <f t="shared" ref="CC47:CM47" si="103">CC36</f>
        <v>Year 0</v>
      </c>
      <c r="CD47" s="621" t="str">
        <f t="shared" si="103"/>
        <v>Year 1</v>
      </c>
      <c r="CE47" s="621" t="str">
        <f t="shared" si="103"/>
        <v>Year 2</v>
      </c>
      <c r="CF47" s="621" t="str">
        <f t="shared" si="103"/>
        <v>Year 3</v>
      </c>
      <c r="CG47" s="621" t="str">
        <f t="shared" si="103"/>
        <v>Year 4</v>
      </c>
      <c r="CH47" s="621" t="str">
        <f t="shared" si="103"/>
        <v>Year 5</v>
      </c>
      <c r="CI47" s="621" t="str">
        <f t="shared" si="103"/>
        <v>Year 6</v>
      </c>
      <c r="CJ47" s="621" t="str">
        <f t="shared" si="103"/>
        <v>Year 7</v>
      </c>
      <c r="CK47" s="621" t="str">
        <f t="shared" si="103"/>
        <v>Year 8</v>
      </c>
      <c r="CL47" s="621" t="str">
        <f t="shared" si="103"/>
        <v>Year 9</v>
      </c>
      <c r="CM47" s="621" t="str">
        <f t="shared" si="103"/>
        <v>Year 10</v>
      </c>
      <c r="CN47" s="449" t="s">
        <v>1</v>
      </c>
      <c r="CO47" s="633" t="str">
        <f>CO$20</f>
        <v> </v>
      </c>
      <c r="CP47" s="633" t="str">
        <f>CP$20</f>
        <v> </v>
      </c>
      <c r="CQ47" s="633" t="str">
        <f>CQ$20</f>
        <v> </v>
      </c>
      <c r="CR47" s="633" t="str">
        <f>CR$20</f>
        <v> </v>
      </c>
      <c r="CS47" s="449"/>
      <c r="CT47" s="449"/>
    </row>
    <row r="48" spans="1:98" ht="16.5">
      <c r="A48" s="110" t="s">
        <v>218</v>
      </c>
      <c r="B48" s="125">
        <v>62740.81911656</v>
      </c>
      <c r="C48" s="125">
        <v>63860.42</v>
      </c>
      <c r="D48" s="125">
        <v>65000</v>
      </c>
      <c r="Y48" s="452" t="s">
        <v>289</v>
      </c>
      <c r="Z48" s="452"/>
      <c r="AA48" s="454">
        <f>E137</f>
        <v>5783433</v>
      </c>
      <c r="AF48" s="814"/>
      <c r="AG48" s="807"/>
      <c r="AH48" s="61"/>
      <c r="AI48" s="405"/>
      <c r="AJ48" s="137"/>
      <c r="AK48" s="137"/>
      <c r="AL48" s="137"/>
      <c r="AM48" s="138"/>
      <c r="AN48" s="56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388"/>
      <c r="BA48" s="73"/>
      <c r="BB48" s="73"/>
      <c r="BC48" s="295"/>
      <c r="BD48" s="807" t="s">
        <v>199</v>
      </c>
      <c r="BE48" s="292"/>
      <c r="BF48" s="139">
        <f>SUMIF(BF43:BU43,"&gt;0")/-SUMIF(BF43:BU43,"&lt;0")</f>
        <v>1.5170160813013667</v>
      </c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65"/>
      <c r="BY48" s="452" t="s">
        <v>306</v>
      </c>
      <c r="BZ48" s="449"/>
      <c r="CA48" s="449"/>
      <c r="CB48" s="449"/>
      <c r="CC48" s="586"/>
      <c r="CD48" s="586">
        <f>CC53</f>
        <v>0</v>
      </c>
      <c r="CE48" s="586">
        <f t="shared" ref="CE48:CN48" si="104">CD53</f>
        <v>0</v>
      </c>
      <c r="CF48" s="586">
        <f t="shared" si="104"/>
        <v>0</v>
      </c>
      <c r="CG48" s="586">
        <f t="shared" si="104"/>
        <v>0</v>
      </c>
      <c r="CH48" s="586">
        <f t="shared" si="104"/>
        <v>0</v>
      </c>
      <c r="CI48" s="586">
        <f t="shared" si="104"/>
        <v>0</v>
      </c>
      <c r="CJ48" s="586">
        <f t="shared" si="104"/>
        <v>0</v>
      </c>
      <c r="CK48" s="586">
        <f t="shared" si="104"/>
        <v>0</v>
      </c>
      <c r="CL48" s="586">
        <f t="shared" si="104"/>
        <v>0</v>
      </c>
      <c r="CM48" s="586">
        <f t="shared" si="104"/>
        <v>0</v>
      </c>
      <c r="CN48" s="586">
        <f t="shared" si="104"/>
        <v>0</v>
      </c>
      <c r="CO48" s="449"/>
      <c r="CP48" s="449"/>
      <c r="CQ48" s="449"/>
      <c r="CR48" s="449"/>
      <c r="CS48" s="449"/>
      <c r="CT48" s="449"/>
    </row>
    <row r="49" spans="1:98" ht="16.5">
      <c r="A49" s="110" t="s">
        <v>223</v>
      </c>
      <c r="B49" s="125">
        <v>72393.252826800002</v>
      </c>
      <c r="C49" s="125">
        <v>73685.100000000006</v>
      </c>
      <c r="D49" s="125">
        <v>75000</v>
      </c>
      <c r="Y49" s="452" t="s">
        <v>27</v>
      </c>
      <c r="Z49" s="452"/>
      <c r="AA49" s="455" t="str">
        <f>E138</f>
        <v>1.56x</v>
      </c>
      <c r="AF49" s="58"/>
      <c r="AG49" s="265"/>
      <c r="AH49" s="61"/>
      <c r="AI49" s="403"/>
      <c r="AJ49" s="85"/>
      <c r="AK49" s="85"/>
      <c r="AL49" s="85"/>
      <c r="AM49" s="140"/>
      <c r="AN49" s="141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386"/>
      <c r="BA49" s="65"/>
      <c r="BB49" s="65"/>
      <c r="BC49" s="294"/>
      <c r="BD49" s="807"/>
      <c r="BE49" s="292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9"/>
      <c r="BS49" s="119"/>
      <c r="BT49" s="119"/>
      <c r="BU49" s="119"/>
      <c r="BV49" s="165"/>
      <c r="BY49" s="452" t="s">
        <v>307</v>
      </c>
      <c r="BZ49" s="449"/>
      <c r="CA49" s="449"/>
      <c r="CB49" s="449"/>
      <c r="CC49" s="449" t="e">
        <f>ROUND(SUM(CD51:CN51),0)=ROUND(SUM(CD49:CN49),0)</f>
        <v>#VALUE!</v>
      </c>
      <c r="CD49" s="449" t="e">
        <f>CD50 - CD55</f>
        <v>#VALUE!</v>
      </c>
      <c r="CE49" s="449">
        <f>CE50 - CE55</f>
        <v>0</v>
      </c>
      <c r="CF49" s="449">
        <f t="shared" ref="CF49" si="105">CF50 - CF55</f>
        <v>0</v>
      </c>
      <c r="CG49" s="449">
        <f t="shared" ref="CG49" si="106">CG50 - CG55</f>
        <v>0</v>
      </c>
      <c r="CH49" s="449">
        <f t="shared" ref="CH49" si="107">CH50 - CH55</f>
        <v>0</v>
      </c>
      <c r="CI49" s="449">
        <f t="shared" ref="CI49" si="108">CI50 - CI55</f>
        <v>0</v>
      </c>
      <c r="CJ49" s="449">
        <f t="shared" ref="CJ49" si="109">CJ50 - CJ55</f>
        <v>0</v>
      </c>
      <c r="CK49" s="449">
        <f t="shared" ref="CK49" si="110">CK50 - CK55</f>
        <v>0</v>
      </c>
      <c r="CL49" s="449">
        <f t="shared" ref="CL49" si="111">CL50 - CL55</f>
        <v>0</v>
      </c>
      <c r="CM49" s="449">
        <f t="shared" ref="CM49" si="112">CM50 - CM55</f>
        <v>0</v>
      </c>
      <c r="CN49" s="449">
        <f t="shared" ref="CN49" si="113">CN50 - CN55</f>
        <v>0</v>
      </c>
      <c r="CO49" s="449"/>
      <c r="CP49" s="449"/>
      <c r="CQ49" s="449"/>
      <c r="CR49" s="449"/>
      <c r="CS49" s="449"/>
      <c r="CT49" s="449"/>
    </row>
    <row r="50" spans="1:98" ht="16.5">
      <c r="A50" s="110" t="s">
        <v>225</v>
      </c>
      <c r="B50" s="125">
        <v>91698.120247280007</v>
      </c>
      <c r="C50" s="125">
        <v>93334.46</v>
      </c>
      <c r="D50" s="125">
        <v>95000</v>
      </c>
      <c r="Y50" s="253"/>
      <c r="Z50" s="253"/>
      <c r="AA50" s="253"/>
      <c r="AF50" s="58"/>
      <c r="AG50" s="143"/>
      <c r="AH50" s="61"/>
      <c r="AI50" s="413"/>
      <c r="AJ50" s="603"/>
      <c r="AK50" s="603"/>
      <c r="AL50" s="85"/>
      <c r="AM50" s="140"/>
      <c r="AN50" s="141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396"/>
      <c r="BA50" s="145"/>
      <c r="BB50" s="145"/>
      <c r="BC50" s="305"/>
      <c r="BD50" s="813" t="s">
        <v>308</v>
      </c>
      <c r="BE50" s="292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9"/>
      <c r="BS50" s="119"/>
      <c r="BT50" s="119"/>
      <c r="BU50" s="119"/>
      <c r="BV50" s="165"/>
      <c r="BY50" s="452" t="s">
        <v>309</v>
      </c>
      <c r="BZ50" s="449"/>
      <c r="CA50" s="449"/>
      <c r="CB50" s="449"/>
      <c r="CC50" s="449"/>
      <c r="CD50" s="587" t="e">
        <f>($BZ$47="Equity Multiple")*(CC51*$B$112 - CC51) + ($BZ$47&lt;&gt;"Equity Multiple")*(F113*$B$112)</f>
        <v>#VALUE!</v>
      </c>
      <c r="CE50" s="449"/>
      <c r="CF50" s="449"/>
      <c r="CG50" s="449"/>
      <c r="CH50" s="449"/>
      <c r="CI50" s="449"/>
      <c r="CJ50" s="449"/>
      <c r="CK50" s="449"/>
      <c r="CL50" s="449"/>
      <c r="CM50" s="449"/>
      <c r="CN50" s="449"/>
      <c r="CO50" s="449"/>
      <c r="CP50" s="449"/>
      <c r="CQ50" s="449"/>
      <c r="CR50" s="449"/>
      <c r="CS50" s="449"/>
      <c r="CT50" s="449"/>
    </row>
    <row r="51" spans="1:98" ht="16.5">
      <c r="A51" s="110" t="s">
        <v>231</v>
      </c>
      <c r="B51" s="125">
        <v>82045.686537040005</v>
      </c>
      <c r="C51" s="125">
        <v>83509.78</v>
      </c>
      <c r="D51" s="125">
        <v>85000</v>
      </c>
      <c r="Y51" s="828" t="s">
        <v>310</v>
      </c>
      <c r="Z51" s="266"/>
      <c r="AA51" s="266"/>
      <c r="AB51" s="198"/>
      <c r="AF51" s="58"/>
      <c r="AG51" s="143"/>
      <c r="AH51" s="61"/>
      <c r="AI51" s="413"/>
      <c r="AJ51" s="85"/>
      <c r="AK51" s="85"/>
      <c r="AL51" s="85"/>
      <c r="AM51" s="140"/>
      <c r="AN51" s="141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396"/>
      <c r="BA51" s="145"/>
      <c r="BB51" s="145"/>
      <c r="BC51" s="305"/>
      <c r="BD51" s="820" t="s">
        <v>163</v>
      </c>
      <c r="BE51" s="292"/>
      <c r="BF51" s="74">
        <f>BF14-BF18</f>
        <v>9477435.9429999981</v>
      </c>
      <c r="BG51" s="74">
        <f t="shared" ref="BG51:BP51" si="114">BG14-BG18</f>
        <v>0</v>
      </c>
      <c r="BH51" s="74">
        <f t="shared" si="114"/>
        <v>0</v>
      </c>
      <c r="BI51" s="74">
        <f t="shared" si="114"/>
        <v>0</v>
      </c>
      <c r="BJ51" s="74">
        <f t="shared" si="114"/>
        <v>0</v>
      </c>
      <c r="BK51" s="74">
        <f t="shared" si="114"/>
        <v>0</v>
      </c>
      <c r="BL51" s="74">
        <f t="shared" si="114"/>
        <v>0</v>
      </c>
      <c r="BM51" s="74">
        <f t="shared" si="114"/>
        <v>0</v>
      </c>
      <c r="BN51" s="74">
        <f t="shared" si="114"/>
        <v>0</v>
      </c>
      <c r="BO51" s="74">
        <f t="shared" si="114"/>
        <v>0</v>
      </c>
      <c r="BP51" s="74">
        <f t="shared" si="114"/>
        <v>0</v>
      </c>
      <c r="BQ51" s="74"/>
      <c r="BR51" s="74" t="str">
        <f t="shared" ref="BR51:BU51" si="115">IF(BR8&gt;_xlfn.SINGLE(Analysis_Period),"",BR14-BR18)</f>
        <v/>
      </c>
      <c r="BS51" s="74" t="str">
        <f t="shared" si="115"/>
        <v/>
      </c>
      <c r="BT51" s="74" t="str">
        <f t="shared" si="115"/>
        <v/>
      </c>
      <c r="BU51" s="74" t="str">
        <f t="shared" si="115"/>
        <v/>
      </c>
      <c r="BV51" s="165"/>
      <c r="BY51" s="452" t="s">
        <v>311</v>
      </c>
      <c r="BZ51" s="449"/>
      <c r="CA51" s="449"/>
      <c r="CB51" s="449"/>
      <c r="CC51" s="587">
        <f>(CC47&lt;&gt;"") * -MIN(0, CC42 * $B$118)</f>
        <v>9352809.7958499976</v>
      </c>
      <c r="CD51" s="449"/>
      <c r="CE51" s="449"/>
      <c r="CF51" s="449"/>
      <c r="CG51" s="449"/>
      <c r="CH51" s="449"/>
      <c r="CI51" s="449"/>
      <c r="CJ51" s="449"/>
      <c r="CK51" s="449"/>
      <c r="CL51" s="449"/>
      <c r="CM51" s="449"/>
      <c r="CN51" s="449"/>
      <c r="CO51" s="449"/>
      <c r="CP51" s="449"/>
      <c r="CQ51" s="449"/>
      <c r="CR51" s="449"/>
      <c r="CS51" s="449"/>
      <c r="CT51" s="449"/>
    </row>
    <row r="52" spans="1:98" ht="16.5">
      <c r="A52" s="110" t="s">
        <v>236</v>
      </c>
      <c r="B52" s="146">
        <v>63313.344471732002</v>
      </c>
      <c r="C52" s="146">
        <v>65255.25299999999</v>
      </c>
      <c r="D52" s="124">
        <v>68445</v>
      </c>
      <c r="Y52" s="790" t="s">
        <v>312</v>
      </c>
      <c r="Z52" s="260"/>
      <c r="AA52" s="147" t="str">
        <f>"/"&amp;C9</f>
        <v>/SF</v>
      </c>
      <c r="AB52" s="198"/>
      <c r="AF52" s="58"/>
      <c r="AG52" s="143"/>
      <c r="AH52" s="61"/>
      <c r="AI52" s="413"/>
      <c r="AJ52" s="85"/>
      <c r="AK52" s="85"/>
      <c r="AL52" s="85"/>
      <c r="AM52" s="140"/>
      <c r="AN52" s="141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396"/>
      <c r="BA52" s="145"/>
      <c r="BB52" s="145"/>
      <c r="BC52" s="305"/>
      <c r="BD52" s="820" t="s">
        <v>216</v>
      </c>
      <c r="BE52" s="292"/>
      <c r="BF52" s="74">
        <f>BF28</f>
        <v>0</v>
      </c>
      <c r="BG52" s="74">
        <f>BG28</f>
        <v>709629.5651377727</v>
      </c>
      <c r="BH52" s="74">
        <f t="shared" ref="BH52:BU52" si="116">BH28</f>
        <v>696729.46513777284</v>
      </c>
      <c r="BI52" s="74">
        <f t="shared" si="116"/>
        <v>433571.36313777289</v>
      </c>
      <c r="BJ52" s="74">
        <f>BJ28</f>
        <v>-829849.90090222715</v>
      </c>
      <c r="BK52" s="74">
        <f t="shared" si="116"/>
        <v>656460.40977697272</v>
      </c>
      <c r="BL52" s="74">
        <f t="shared" si="116"/>
        <v>863802.46158975654</v>
      </c>
      <c r="BM52" s="74">
        <f t="shared" si="116"/>
        <v>849559.70882039622</v>
      </c>
      <c r="BN52" s="74">
        <f t="shared" si="116"/>
        <v>835032.10099564854</v>
      </c>
      <c r="BO52" s="74">
        <f t="shared" si="116"/>
        <v>820213.94101440615</v>
      </c>
      <c r="BP52" s="74">
        <f t="shared" si="116"/>
        <v>805099.41783353861</v>
      </c>
      <c r="BQ52" s="74"/>
      <c r="BR52" s="74" t="str">
        <f t="shared" si="116"/>
        <v/>
      </c>
      <c r="BS52" s="74">
        <f t="shared" si="116"/>
        <v>0</v>
      </c>
      <c r="BT52" s="74" t="str">
        <f t="shared" si="116"/>
        <v/>
      </c>
      <c r="BU52" s="74" t="str">
        <f t="shared" si="116"/>
        <v/>
      </c>
      <c r="BV52" s="165"/>
      <c r="BY52" s="452" t="s">
        <v>313</v>
      </c>
      <c r="BZ52" s="449"/>
      <c r="CA52" s="449"/>
      <c r="CB52" s="449"/>
      <c r="CC52" s="449"/>
      <c r="CD52" s="449"/>
      <c r="CE52" s="449"/>
      <c r="CF52" s="449"/>
      <c r="CG52" s="449"/>
      <c r="CH52" s="449"/>
      <c r="CI52" s="449"/>
      <c r="CJ52" s="449"/>
      <c r="CK52" s="449"/>
      <c r="CL52" s="449"/>
      <c r="CM52" s="449"/>
      <c r="CN52" s="449"/>
      <c r="CO52" s="449"/>
      <c r="CP52" s="449"/>
      <c r="CQ52" s="449"/>
      <c r="CR52" s="449"/>
      <c r="CS52" s="449"/>
      <c r="CT52" s="449"/>
    </row>
    <row r="53" spans="1:98" ht="16.5">
      <c r="A53" s="110" t="s">
        <v>239</v>
      </c>
      <c r="B53" s="125">
        <v>33783.517985840001</v>
      </c>
      <c r="C53" s="125">
        <v>34386.379999999997</v>
      </c>
      <c r="D53" s="125">
        <v>35000</v>
      </c>
      <c r="Y53" s="811" t="s">
        <v>161</v>
      </c>
      <c r="Z53" s="260"/>
      <c r="AA53" s="69">
        <f>D38/$C$16</f>
        <v>35</v>
      </c>
      <c r="AB53" s="198"/>
      <c r="AF53" s="58"/>
      <c r="AG53" s="143"/>
      <c r="AH53" s="61"/>
      <c r="AI53" s="413"/>
      <c r="AJ53" s="85"/>
      <c r="AK53" s="85"/>
      <c r="AL53" s="85"/>
      <c r="AM53" s="140"/>
      <c r="AN53" s="141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396"/>
      <c r="BA53" s="145"/>
      <c r="BB53" s="145"/>
      <c r="BC53" s="305"/>
      <c r="BD53" s="820" t="s">
        <v>292</v>
      </c>
      <c r="BE53" s="292"/>
      <c r="BF53" s="148">
        <f t="shared" ref="BF53:BP53" si="117">((BF8=$C$10)*(BF34-BF37))*(BF8&lt;=$C$10)</f>
        <v>0</v>
      </c>
      <c r="BG53" s="148">
        <f>((BG8=$C$10)*(BG34-BG37))*(BG8&lt;=$C$10)</f>
        <v>0</v>
      </c>
      <c r="BH53" s="148">
        <f t="shared" si="117"/>
        <v>0</v>
      </c>
      <c r="BI53" s="148">
        <f t="shared" si="117"/>
        <v>0</v>
      </c>
      <c r="BJ53" s="148">
        <f t="shared" si="117"/>
        <v>0</v>
      </c>
      <c r="BK53" s="148">
        <f t="shared" si="117"/>
        <v>0</v>
      </c>
      <c r="BL53" s="148">
        <f t="shared" si="117"/>
        <v>0</v>
      </c>
      <c r="BM53" s="148">
        <f>((BM8=$C$10)*(BM34-BM37))*(BM8&lt;=$C$10)</f>
        <v>0</v>
      </c>
      <c r="BN53" s="148">
        <f t="shared" si="117"/>
        <v>0</v>
      </c>
      <c r="BO53" s="148">
        <f t="shared" si="117"/>
        <v>0</v>
      </c>
      <c r="BP53" s="148">
        <f>((BP8=$C$10)*(BP34-BP37))*(BP8&lt;=$C$10)</f>
        <v>11543634.641987301</v>
      </c>
      <c r="BQ53" s="84"/>
      <c r="BR53" s="84" t="str">
        <f t="shared" ref="BR53:BU53" si="118">IF(BR8&gt;_xlfn.SINGLE(Analysis_Period),"",(BR8=_xlfn.SINGLE(Analysis_Period))*(BR34-BR37))</f>
        <v/>
      </c>
      <c r="BS53" s="84" t="str">
        <f t="shared" si="118"/>
        <v/>
      </c>
      <c r="BT53" s="84" t="str">
        <f t="shared" si="118"/>
        <v/>
      </c>
      <c r="BU53" s="84" t="str">
        <f t="shared" si="118"/>
        <v/>
      </c>
      <c r="BV53" s="165"/>
      <c r="BY53" s="452" t="s">
        <v>314</v>
      </c>
      <c r="BZ53" s="449"/>
      <c r="CA53" s="449"/>
      <c r="CB53" s="449"/>
      <c r="CC53" s="449"/>
      <c r="CD53" s="449"/>
      <c r="CE53" s="449"/>
      <c r="CF53" s="449"/>
      <c r="CG53" s="449"/>
      <c r="CH53" s="449"/>
      <c r="CI53" s="449"/>
      <c r="CJ53" s="449"/>
      <c r="CK53" s="449"/>
      <c r="CL53" s="449"/>
      <c r="CM53" s="449"/>
      <c r="CN53" s="449"/>
      <c r="CO53" s="449"/>
      <c r="CP53" s="449"/>
      <c r="CQ53" s="449"/>
      <c r="CR53" s="449"/>
      <c r="CS53" s="449"/>
      <c r="CT53" s="449"/>
    </row>
    <row r="54" spans="1:98" ht="16.5">
      <c r="A54" s="110" t="s">
        <v>244</v>
      </c>
      <c r="B54" s="149">
        <v>241315.668972855</v>
      </c>
      <c r="C54" s="149">
        <v>245621.91234000001</v>
      </c>
      <c r="D54" s="149">
        <v>250005</v>
      </c>
      <c r="Y54" s="811" t="s">
        <v>167</v>
      </c>
      <c r="Z54" s="260"/>
      <c r="AA54" s="69">
        <f>D39/$C$16</f>
        <v>13.7</v>
      </c>
      <c r="AB54" s="198"/>
      <c r="AF54" s="58"/>
      <c r="AG54" s="243"/>
      <c r="AH54" s="61"/>
      <c r="AI54" s="413"/>
      <c r="AJ54" s="85"/>
      <c r="AK54" s="85"/>
      <c r="AL54" s="85"/>
      <c r="AM54" s="140"/>
      <c r="AN54" s="141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396"/>
      <c r="BA54" s="145"/>
      <c r="BB54" s="145"/>
      <c r="BC54" s="305"/>
      <c r="BD54" s="807" t="s">
        <v>295</v>
      </c>
      <c r="BE54" s="292"/>
      <c r="BF54" s="74">
        <f>-BF51-BF52-BF53</f>
        <v>-9477435.9429999981</v>
      </c>
      <c r="BG54" s="74">
        <f t="shared" ref="BG54:BP54" si="119">SUM(BG51:BG53)</f>
        <v>709629.5651377727</v>
      </c>
      <c r="BH54" s="74">
        <f t="shared" si="119"/>
        <v>696729.46513777284</v>
      </c>
      <c r="BI54" s="74">
        <f t="shared" si="119"/>
        <v>433571.36313777289</v>
      </c>
      <c r="BJ54" s="74">
        <f t="shared" si="119"/>
        <v>-829849.90090222715</v>
      </c>
      <c r="BK54" s="74">
        <f t="shared" si="119"/>
        <v>656460.40977697272</v>
      </c>
      <c r="BL54" s="74">
        <f t="shared" si="119"/>
        <v>863802.46158975654</v>
      </c>
      <c r="BM54" s="74">
        <f t="shared" si="119"/>
        <v>849559.70882039622</v>
      </c>
      <c r="BN54" s="74">
        <f t="shared" si="119"/>
        <v>835032.10099564854</v>
      </c>
      <c r="BO54" s="74">
        <f t="shared" si="119"/>
        <v>820213.94101440615</v>
      </c>
      <c r="BP54" s="74">
        <f t="shared" si="119"/>
        <v>12348734.05982084</v>
      </c>
      <c r="BQ54" s="74"/>
      <c r="BR54" s="74" t="str">
        <f t="shared" ref="BR54" si="120">IF(BR8&gt;_xlfn.SINGLE(Analysis_Period),"",-BR51+BR52+BR53)</f>
        <v/>
      </c>
      <c r="BS54" s="74" t="str">
        <f t="shared" ref="BS54" si="121">IF(BS8&gt;_xlfn.SINGLE(Analysis_Period),"",-BS51+BS52+BS53)</f>
        <v/>
      </c>
      <c r="BT54" s="74" t="str">
        <f t="shared" ref="BT54" si="122">IF(BT8&gt;_xlfn.SINGLE(Analysis_Period),"",-BT51+BT52+BT53)</f>
        <v/>
      </c>
      <c r="BU54" s="74" t="str">
        <f t="shared" ref="BU54" si="123">IF(BU8&gt;_xlfn.SINGLE(Analysis_Period),"",-BU51+BU52+BU53)</f>
        <v/>
      </c>
      <c r="BV54" s="165"/>
      <c r="BY54" s="588" t="str">
        <f>IF(CA13="Equity Multiple", "LP EMx Check","LP IRR Check")</f>
        <v>LP IRR Check</v>
      </c>
      <c r="BZ54" s="449"/>
      <c r="CA54" s="449"/>
      <c r="CB54" s="449"/>
      <c r="CC54" s="449"/>
      <c r="CD54" s="449"/>
      <c r="CE54" s="449"/>
      <c r="CF54" s="449"/>
      <c r="CG54" s="449"/>
      <c r="CH54" s="449"/>
      <c r="CI54" s="449"/>
      <c r="CJ54" s="449"/>
      <c r="CK54" s="449"/>
      <c r="CL54" s="449"/>
      <c r="CM54" s="449"/>
      <c r="CN54" s="449"/>
      <c r="CO54" s="449"/>
      <c r="CP54" s="449"/>
      <c r="CQ54" s="449"/>
      <c r="CR54" s="449"/>
      <c r="CS54" s="449"/>
      <c r="CT54" s="449"/>
    </row>
    <row r="55" spans="1:98" ht="16.5">
      <c r="A55" s="150" t="s">
        <v>224</v>
      </c>
      <c r="B55" s="124"/>
      <c r="C55" s="124"/>
      <c r="D55" s="125"/>
      <c r="Y55" s="811" t="s">
        <v>173</v>
      </c>
      <c r="Z55" s="260"/>
      <c r="AA55" s="69">
        <f>D40/$C$16</f>
        <v>2</v>
      </c>
      <c r="AB55" s="198"/>
      <c r="AF55" s="165"/>
      <c r="AG55" s="165"/>
      <c r="AH55" s="165"/>
      <c r="AI55" s="409"/>
      <c r="AJ55" s="244"/>
      <c r="AK55" s="244"/>
      <c r="AL55" s="165"/>
      <c r="AM55" s="165"/>
      <c r="AN55" s="244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397"/>
      <c r="BA55" s="245"/>
      <c r="BB55" s="245"/>
      <c r="BC55" s="165"/>
      <c r="BD55" s="807"/>
      <c r="BE55" s="292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165"/>
      <c r="BY55" s="452" t="s">
        <v>315</v>
      </c>
      <c r="BZ55" s="449"/>
      <c r="CA55" s="449"/>
      <c r="CB55" s="449"/>
      <c r="CC55" s="449"/>
      <c r="CD55" s="449"/>
      <c r="CE55" s="449"/>
      <c r="CF55" s="449"/>
      <c r="CG55" s="449"/>
      <c r="CH55" s="449"/>
      <c r="CI55" s="449"/>
      <c r="CJ55" s="449"/>
      <c r="CK55" s="449"/>
      <c r="CL55" s="449"/>
      <c r="CM55" s="449"/>
      <c r="CN55" s="449"/>
      <c r="CO55" s="449"/>
      <c r="CP55" s="449"/>
      <c r="CQ55" s="449"/>
      <c r="CR55" s="449"/>
      <c r="CS55" s="449"/>
      <c r="CT55" s="449"/>
    </row>
    <row r="56" spans="1:98" ht="16.5">
      <c r="A56" s="165"/>
      <c r="B56" s="227"/>
      <c r="C56" s="227"/>
      <c r="D56" s="246"/>
      <c r="Y56" s="813" t="s">
        <v>180</v>
      </c>
      <c r="Z56" s="260"/>
      <c r="AA56" s="153">
        <f>D41/$C$16</f>
        <v>50.7</v>
      </c>
      <c r="AB56" s="198"/>
      <c r="AF56" s="165"/>
      <c r="AG56" s="165"/>
      <c r="AH56" s="165"/>
      <c r="AI56" s="414"/>
      <c r="AJ56" s="247"/>
      <c r="AK56" s="247"/>
      <c r="AL56" s="165"/>
      <c r="AM56" s="165"/>
      <c r="AN56" s="247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398"/>
      <c r="BA56" s="247"/>
      <c r="BB56" s="247"/>
      <c r="BC56" s="165"/>
      <c r="BD56" s="807" t="s">
        <v>316</v>
      </c>
      <c r="BE56" s="292"/>
      <c r="BF56" s="108"/>
      <c r="BG56" s="108">
        <f>(BG8 &lt;= C10) * (BG28 / (SUM($BF$14:BG14) - SUM($BF$18:BG18)))</f>
        <v>7.4875690999726852E-2</v>
      </c>
      <c r="BH56" s="108">
        <f t="shared" ref="BH56:BP56" si="124">(BH28-BH27)/($BF$14-$BF$18)</f>
        <v>7.3514552810285655E-2</v>
      </c>
      <c r="BI56" s="108">
        <f t="shared" si="124"/>
        <v>4.5747749258912923E-2</v>
      </c>
      <c r="BJ56" s="108">
        <f t="shared" si="124"/>
        <v>-8.7560591904095264E-2</v>
      </c>
      <c r="BK56" s="108">
        <f t="shared" si="124"/>
        <v>6.9265612949020477E-2</v>
      </c>
      <c r="BL56" s="108">
        <f t="shared" si="124"/>
        <v>9.1143054596719078E-2</v>
      </c>
      <c r="BM56" s="108">
        <f t="shared" si="124"/>
        <v>8.9640248051254631E-2</v>
      </c>
      <c r="BN56" s="108">
        <f t="shared" si="124"/>
        <v>8.8107385374880887E-2</v>
      </c>
      <c r="BO56" s="108">
        <f t="shared" si="124"/>
        <v>8.6543865444979703E-2</v>
      </c>
      <c r="BP56" s="108">
        <f t="shared" si="124"/>
        <v>8.4949075116480449E-2</v>
      </c>
      <c r="BQ56" s="108"/>
      <c r="BR56" s="108" t="str">
        <f>IF(BR8&gt;_xlfn.SINGLE(Analysis_Period),"",BR28/(SUM($AW$13:BR14)-SUM($AW$17:BR18)))</f>
        <v/>
      </c>
      <c r="BS56" s="108" t="str">
        <f>IF(BS8&gt;_xlfn.SINGLE(Analysis_Period),"",BS28/(SUM($AW$13:BS14)-SUM($AW$17:BS18)))</f>
        <v/>
      </c>
      <c r="BT56" s="108" t="str">
        <f>IF(BT8&gt;_xlfn.SINGLE(Analysis_Period),"",BT28/(SUM($AW$13:BT14)-SUM($AW$17:BT18)))</f>
        <v/>
      </c>
      <c r="BU56" s="108" t="str">
        <f>IF(BU8&gt;_xlfn.SINGLE(Analysis_Period),"",BU28/(SUM($AW$13:BU14)-SUM($AW$17:BU18)))</f>
        <v/>
      </c>
      <c r="BV56" s="165"/>
      <c r="BY56" s="452"/>
      <c r="BZ56" s="449"/>
      <c r="CA56" s="449"/>
      <c r="CB56" s="449"/>
      <c r="CC56" s="449"/>
      <c r="CD56" s="449"/>
      <c r="CE56" s="449"/>
      <c r="CF56" s="449"/>
      <c r="CG56" s="449"/>
      <c r="CH56" s="449"/>
      <c r="CI56" s="449"/>
      <c r="CJ56" s="449"/>
      <c r="CK56" s="449"/>
      <c r="CL56" s="449"/>
      <c r="CM56" s="449"/>
      <c r="CN56" s="449"/>
      <c r="CO56" s="449"/>
      <c r="CP56" s="449"/>
      <c r="CQ56" s="449"/>
      <c r="CR56" s="449"/>
      <c r="CS56" s="449"/>
      <c r="CT56" s="449"/>
    </row>
    <row r="57" spans="1:98" ht="16.5">
      <c r="A57" s="165"/>
      <c r="B57" s="227"/>
      <c r="C57" s="227"/>
      <c r="Y57" s="807"/>
      <c r="Z57" s="260"/>
      <c r="AA57" s="69"/>
      <c r="AB57" s="198"/>
      <c r="AF57" s="165"/>
      <c r="AG57" s="165"/>
      <c r="AH57" s="165"/>
      <c r="AI57" s="400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381"/>
      <c r="BA57" s="165"/>
      <c r="BB57" s="165"/>
      <c r="BC57" s="165"/>
      <c r="BD57" s="820" t="s">
        <v>221</v>
      </c>
      <c r="BE57" s="292"/>
      <c r="BF57" s="108"/>
      <c r="BG57" s="108">
        <f>AVERAGE(BG56)</f>
        <v>7.4875690999726852E-2</v>
      </c>
      <c r="BH57" s="108">
        <f>AVERAGE(BG56:BH56)</f>
        <v>7.4195121905006253E-2</v>
      </c>
      <c r="BI57" s="108">
        <f>AVERAGE(BG56:BI56)</f>
        <v>6.4712664356308472E-2</v>
      </c>
      <c r="BJ57" s="108">
        <f>AVERAGE(BG56:BJ56)</f>
        <v>2.6644350291207541E-2</v>
      </c>
      <c r="BK57" s="108">
        <f>AVERAGE(BG56:BK56)</f>
        <v>3.516860282277013E-2</v>
      </c>
      <c r="BL57" s="108">
        <f>AVERAGE(BG56:BL56)</f>
        <v>4.4497678118428287E-2</v>
      </c>
      <c r="BM57" s="108">
        <f>AVERAGE(BG56:BM56)</f>
        <v>5.0946616680260626E-2</v>
      </c>
      <c r="BN57" s="108">
        <f>AVERAGE(BG56:BN56)</f>
        <v>5.5591712767088158E-2</v>
      </c>
      <c r="BO57" s="108">
        <f>AVERAGE(BG56:BO56)</f>
        <v>5.9030840842409442E-2</v>
      </c>
      <c r="BP57" s="108">
        <f>AVERAGE(BG56:BP56)</f>
        <v>6.1622664269816538E-2</v>
      </c>
      <c r="BQ57" s="108" t="str">
        <f>IF(BQ8&gt;_xlfn.SINGLE(Analysis_Period),"",AVERAGE($AW$55:BQ56))</f>
        <v/>
      </c>
      <c r="BR57" s="108" t="str">
        <f>IF(BR8&gt;_xlfn.SINGLE(Analysis_Period),"",AVERAGE($AW$55:BR56))</f>
        <v/>
      </c>
      <c r="BS57" s="108" t="str">
        <f>IF(BS8&gt;_xlfn.SINGLE(Analysis_Period),"",AVERAGE($AW$55:BS56))</f>
        <v/>
      </c>
      <c r="BT57" s="108" t="str">
        <f>IF(BT8&gt;_xlfn.SINGLE(Analysis_Period),"",AVERAGE($AW$55:BT56))</f>
        <v/>
      </c>
      <c r="BU57" s="108" t="str">
        <f>IF(BU8&gt;_xlfn.SINGLE(Analysis_Period),"",AVERAGE($AW$55:BU56))</f>
        <v/>
      </c>
      <c r="BV57" s="165"/>
      <c r="BY57" s="452" t="s">
        <v>317</v>
      </c>
      <c r="BZ57" s="449"/>
      <c r="CA57" s="449"/>
      <c r="CB57" s="449"/>
      <c r="CC57" s="449"/>
      <c r="CD57" s="449"/>
      <c r="CE57" s="449"/>
      <c r="CF57" s="449"/>
      <c r="CG57" s="449"/>
      <c r="CH57" s="449"/>
      <c r="CI57" s="449"/>
      <c r="CJ57" s="449"/>
      <c r="CK57" s="449"/>
      <c r="CL57" s="449"/>
      <c r="CM57" s="449"/>
      <c r="CN57" s="449"/>
      <c r="CO57" s="449"/>
      <c r="CP57" s="449"/>
      <c r="CQ57" s="449"/>
      <c r="CR57" s="449"/>
      <c r="CS57" s="449"/>
      <c r="CT57" s="449"/>
    </row>
    <row r="58" spans="1:98" ht="16.5">
      <c r="A58" s="231"/>
      <c r="B58" s="231" t="s">
        <v>46</v>
      </c>
      <c r="C58" s="231" t="s">
        <v>129</v>
      </c>
      <c r="D58" s="248" t="s">
        <v>130</v>
      </c>
      <c r="E58" s="598" t="s">
        <v>47</v>
      </c>
      <c r="F58" s="249">
        <v>2</v>
      </c>
      <c r="G58" s="249">
        <v>3</v>
      </c>
      <c r="H58" s="249">
        <v>4</v>
      </c>
      <c r="I58" s="249">
        <v>5</v>
      </c>
      <c r="J58" s="249">
        <v>6</v>
      </c>
      <c r="K58" s="249">
        <v>7</v>
      </c>
      <c r="L58" s="249">
        <v>8</v>
      </c>
      <c r="M58" s="249">
        <v>9</v>
      </c>
      <c r="N58" s="249">
        <v>10</v>
      </c>
      <c r="O58" s="249">
        <v>11</v>
      </c>
      <c r="P58" s="249">
        <v>12</v>
      </c>
      <c r="Q58" s="249">
        <v>13</v>
      </c>
      <c r="R58" s="249">
        <v>14</v>
      </c>
      <c r="S58" s="249">
        <v>15</v>
      </c>
      <c r="Y58" s="811" t="s">
        <v>190</v>
      </c>
      <c r="Z58" s="260"/>
      <c r="AA58" s="69">
        <f>D43/$C$16</f>
        <v>0</v>
      </c>
      <c r="AB58" s="198"/>
      <c r="AF58" s="165"/>
      <c r="AG58" s="165"/>
      <c r="AH58" s="165"/>
      <c r="AI58" s="400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381"/>
      <c r="BA58" s="165"/>
      <c r="BB58" s="165"/>
      <c r="BC58" s="165"/>
      <c r="BD58" s="807" t="s">
        <v>81</v>
      </c>
      <c r="BE58" s="291"/>
      <c r="BF58" s="108">
        <f>IRR(BF54:BU54)</f>
        <v>7.4026594176218374E-2</v>
      </c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65"/>
      <c r="BY58" s="452" t="s">
        <v>318</v>
      </c>
      <c r="BZ58" s="449"/>
      <c r="CA58" s="449"/>
      <c r="CB58" s="449"/>
      <c r="CC58" s="449"/>
      <c r="CD58" s="449"/>
      <c r="CE58" s="449"/>
      <c r="CF58" s="449"/>
      <c r="CG58" s="449"/>
      <c r="CH58" s="449"/>
      <c r="CI58" s="449"/>
      <c r="CJ58" s="449"/>
      <c r="CK58" s="449"/>
      <c r="CL58" s="449"/>
      <c r="CM58" s="449"/>
      <c r="CN58" s="449"/>
      <c r="CO58" s="449"/>
      <c r="CP58" s="449"/>
      <c r="CQ58" s="449"/>
      <c r="CR58" s="449"/>
      <c r="CS58" s="449"/>
      <c r="CT58" s="449"/>
    </row>
    <row r="59" spans="1:98" ht="16.5">
      <c r="A59" s="67" t="s">
        <v>190</v>
      </c>
      <c r="B59" s="225">
        <v>-24131.084275599998</v>
      </c>
      <c r="C59" s="225">
        <v>-24561.7</v>
      </c>
      <c r="D59" s="638"/>
      <c r="E59" s="639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Y59" s="811"/>
      <c r="Z59" s="260"/>
      <c r="AA59" s="69"/>
      <c r="AB59" s="198"/>
      <c r="AF59" s="165"/>
      <c r="AG59" s="165"/>
      <c r="AH59" s="165"/>
      <c r="AI59" s="400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381"/>
      <c r="BA59" s="165"/>
      <c r="BB59" s="165"/>
      <c r="BC59" s="165"/>
      <c r="BD59" s="807"/>
      <c r="BE59" s="291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65"/>
      <c r="BY59" s="452"/>
      <c r="BZ59" s="449"/>
      <c r="CA59" s="449"/>
      <c r="CB59" s="449"/>
      <c r="CC59" s="449"/>
      <c r="CD59" s="449"/>
      <c r="CE59" s="449"/>
      <c r="CF59" s="449"/>
      <c r="CG59" s="449"/>
      <c r="CH59" s="449"/>
      <c r="CI59" s="449"/>
      <c r="CJ59" s="449"/>
      <c r="CK59" s="449"/>
      <c r="CL59" s="449"/>
      <c r="CM59" s="449"/>
      <c r="CN59" s="449"/>
      <c r="CO59" s="449"/>
      <c r="CP59" s="449"/>
      <c r="CQ59" s="449"/>
      <c r="CR59" s="449"/>
      <c r="CS59" s="449"/>
      <c r="CT59" s="449"/>
    </row>
    <row r="60" spans="1:98" ht="16.5">
      <c r="A60" s="110" t="s">
        <v>200</v>
      </c>
      <c r="B60" s="126">
        <v>0</v>
      </c>
      <c r="C60" s="126">
        <v>0</v>
      </c>
      <c r="D60" s="127">
        <v>0</v>
      </c>
      <c r="E60" s="127">
        <v>0</v>
      </c>
      <c r="F60" s="127">
        <v>0</v>
      </c>
      <c r="G60" s="127">
        <v>0</v>
      </c>
      <c r="H60" s="127">
        <v>0</v>
      </c>
      <c r="I60" s="127">
        <v>0</v>
      </c>
      <c r="J60" s="127">
        <v>0</v>
      </c>
      <c r="K60" s="127">
        <v>0</v>
      </c>
      <c r="L60" s="127">
        <v>0</v>
      </c>
      <c r="M60" s="127">
        <v>0</v>
      </c>
      <c r="N60" s="127">
        <v>0</v>
      </c>
      <c r="O60" s="127">
        <v>0</v>
      </c>
      <c r="P60" s="127">
        <v>0</v>
      </c>
      <c r="Q60" s="127">
        <v>0</v>
      </c>
      <c r="R60" s="127">
        <v>0</v>
      </c>
      <c r="S60" s="127">
        <v>0</v>
      </c>
      <c r="Y60" s="811"/>
      <c r="Z60" s="260"/>
      <c r="AA60" s="69"/>
      <c r="AB60" s="198"/>
      <c r="AF60" s="165"/>
      <c r="AG60" s="165"/>
      <c r="AH60" s="165"/>
      <c r="AI60" s="400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381"/>
      <c r="BA60" s="165"/>
      <c r="BB60" s="165"/>
      <c r="BC60" s="165"/>
      <c r="BD60" s="807"/>
      <c r="BE60" s="291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65"/>
      <c r="BY60" s="452"/>
      <c r="BZ60" s="449"/>
      <c r="CA60" s="449"/>
      <c r="CB60" s="449"/>
      <c r="CC60" s="449"/>
      <c r="CD60" s="449"/>
      <c r="CE60" s="449"/>
      <c r="CF60" s="449"/>
      <c r="CG60" s="449"/>
      <c r="CH60" s="449"/>
      <c r="CI60" s="449"/>
      <c r="CJ60" s="449"/>
      <c r="CK60" s="449"/>
      <c r="CL60" s="449"/>
      <c r="CM60" s="449"/>
      <c r="CN60" s="449"/>
      <c r="CO60" s="449"/>
      <c r="CP60" s="449"/>
      <c r="CQ60" s="449"/>
      <c r="CR60" s="449"/>
      <c r="CS60" s="449"/>
      <c r="CT60" s="449"/>
    </row>
    <row r="61" spans="1:98" ht="16.5">
      <c r="A61" s="110" t="s">
        <v>263</v>
      </c>
      <c r="B61" s="124">
        <v>0</v>
      </c>
      <c r="C61" s="124">
        <v>0</v>
      </c>
      <c r="D61" s="124">
        <v>0</v>
      </c>
      <c r="E61" s="271"/>
      <c r="F61" s="124">
        <v>0</v>
      </c>
      <c r="G61" s="124">
        <v>0</v>
      </c>
      <c r="H61" s="124">
        <v>1250000</v>
      </c>
      <c r="I61" s="124">
        <v>0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270"/>
      <c r="Q61" s="270"/>
      <c r="R61" s="154"/>
      <c r="S61" s="154"/>
      <c r="Y61" s="811" t="s">
        <v>194</v>
      </c>
      <c r="Z61" s="260"/>
      <c r="AA61" s="69">
        <f>D44/$C$16</f>
        <v>-5.07</v>
      </c>
      <c r="AB61" s="198"/>
      <c r="AF61" s="165"/>
      <c r="AH61" s="165"/>
      <c r="AI61" s="400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381"/>
      <c r="BA61" s="165"/>
      <c r="BB61" s="165"/>
      <c r="BC61" s="165"/>
      <c r="BD61" s="807" t="s">
        <v>217</v>
      </c>
      <c r="BE61" s="292"/>
      <c r="BF61" s="139">
        <f>SUMIF(BF54:BU54,"&gt;0")/-SUMIF(BF54:BU54,"&lt;0")</f>
        <v>1.7670736361897403</v>
      </c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65"/>
      <c r="BY61" s="452" t="s">
        <v>319</v>
      </c>
      <c r="BZ61" s="449"/>
      <c r="CA61" s="449"/>
      <c r="CB61" s="449"/>
      <c r="CC61" s="449"/>
      <c r="CD61" s="449"/>
      <c r="CE61" s="449"/>
      <c r="CF61" s="449"/>
      <c r="CG61" s="449"/>
      <c r="CH61" s="449"/>
      <c r="CI61" s="449"/>
      <c r="CJ61" s="449"/>
      <c r="CK61" s="449"/>
      <c r="CL61" s="449"/>
      <c r="CM61" s="449"/>
      <c r="CN61" s="449"/>
      <c r="CO61" s="449"/>
      <c r="CP61" s="449"/>
      <c r="CQ61" s="449"/>
      <c r="CR61" s="449"/>
      <c r="CS61" s="449"/>
      <c r="CT61" s="449"/>
    </row>
    <row r="62" spans="1:98" ht="16.5">
      <c r="A62" s="110" t="s">
        <v>269</v>
      </c>
      <c r="B62" s="124">
        <v>0</v>
      </c>
      <c r="C62" s="124">
        <v>0</v>
      </c>
      <c r="D62" s="124">
        <v>0</v>
      </c>
      <c r="E62" s="272"/>
      <c r="F62" s="124">
        <v>0</v>
      </c>
      <c r="G62" s="124">
        <v>0</v>
      </c>
      <c r="H62" s="124">
        <v>250000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270"/>
      <c r="Q62" s="270"/>
      <c r="R62" s="270"/>
      <c r="S62" s="270"/>
      <c r="Y62" s="811" t="s">
        <v>320</v>
      </c>
      <c r="Z62" s="260"/>
      <c r="AA62" s="69">
        <f>D60/$C$16</f>
        <v>0</v>
      </c>
      <c r="AB62" s="198"/>
      <c r="AC62" s="233"/>
      <c r="AF62" s="165"/>
      <c r="AG62" s="165"/>
      <c r="AH62" s="165"/>
      <c r="AI62" s="400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381"/>
      <c r="BA62" s="165"/>
      <c r="BB62" s="165"/>
      <c r="BC62" s="165"/>
      <c r="BD62" s="807"/>
      <c r="BE62" s="292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9"/>
      <c r="BS62" s="119"/>
      <c r="BT62" s="119"/>
      <c r="BU62" s="119"/>
      <c r="BV62" s="165"/>
      <c r="BY62" s="452" t="s">
        <v>321</v>
      </c>
      <c r="BZ62" s="449"/>
      <c r="CA62" s="449"/>
      <c r="CB62" s="449"/>
      <c r="CC62" s="449"/>
      <c r="CD62" s="449"/>
      <c r="CE62" s="449"/>
      <c r="CF62" s="449"/>
      <c r="CG62" s="449"/>
      <c r="CH62" s="449"/>
      <c r="CI62" s="449"/>
      <c r="CJ62" s="449"/>
      <c r="CK62" s="449"/>
      <c r="CL62" s="449"/>
      <c r="CM62" s="449"/>
      <c r="CN62" s="449"/>
      <c r="CO62" s="449"/>
      <c r="CP62" s="449"/>
      <c r="CQ62" s="449"/>
      <c r="CR62" s="449"/>
      <c r="CS62" s="449"/>
      <c r="CT62" s="449"/>
    </row>
    <row r="63" spans="1:98" ht="16.5">
      <c r="A63" s="110" t="s">
        <v>272</v>
      </c>
      <c r="B63" s="124">
        <v>24131.084275599998</v>
      </c>
      <c r="C63" s="124">
        <v>24561.7</v>
      </c>
      <c r="D63" s="124">
        <v>25000</v>
      </c>
      <c r="E63" s="273"/>
      <c r="F63" s="126">
        <v>0</v>
      </c>
      <c r="G63" s="126">
        <v>0</v>
      </c>
      <c r="H63" s="126"/>
      <c r="I63" s="126"/>
      <c r="J63" s="126"/>
      <c r="K63" s="126"/>
      <c r="L63" s="126"/>
      <c r="M63" s="126"/>
      <c r="N63" s="126"/>
      <c r="O63" s="126"/>
      <c r="P63" s="270"/>
      <c r="Q63" s="270"/>
      <c r="R63" s="270"/>
      <c r="S63" s="270"/>
      <c r="Y63" s="817" t="s">
        <v>207</v>
      </c>
      <c r="Z63" s="260"/>
      <c r="AA63" s="153">
        <f>AA56+(SUM(AA58:AA62))</f>
        <v>45.63</v>
      </c>
      <c r="AB63" s="198"/>
      <c r="AF63" s="165"/>
      <c r="AG63" s="165"/>
      <c r="AH63" s="165"/>
      <c r="AI63" s="400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381"/>
      <c r="BA63" s="165"/>
      <c r="BB63" s="165"/>
      <c r="BC63" s="165"/>
      <c r="BD63" s="807" t="s">
        <v>322</v>
      </c>
      <c r="BE63" s="292"/>
      <c r="BF63" s="139"/>
      <c r="BG63" s="139">
        <f>BG23/BG26</f>
        <v>1.8557919132169094</v>
      </c>
      <c r="BH63" s="139">
        <f t="shared" ref="BG63:BP63" si="125">BH23/BH26</f>
        <v>1.8413466665147966</v>
      </c>
      <c r="BI63" s="139">
        <f t="shared" si="125"/>
        <v>1.8266125148786416</v>
      </c>
      <c r="BJ63" s="139">
        <f t="shared" si="125"/>
        <v>1.8115836802097633</v>
      </c>
      <c r="BK63" s="139">
        <f t="shared" si="125"/>
        <v>1.7962542688475074</v>
      </c>
      <c r="BL63" s="139">
        <f t="shared" si="125"/>
        <v>2.0384236940902616</v>
      </c>
      <c r="BM63" s="139">
        <f t="shared" si="125"/>
        <v>2.0224749745089707</v>
      </c>
      <c r="BN63" s="139">
        <f t="shared" si="125"/>
        <v>2.0062072805360538</v>
      </c>
      <c r="BO63" s="139">
        <f t="shared" si="125"/>
        <v>1.9896142326836788</v>
      </c>
      <c r="BP63" s="139">
        <f t="shared" si="125"/>
        <v>1.972689323874256</v>
      </c>
      <c r="BQ63" s="139" t="str">
        <f t="shared" ref="BQ63:BU63" si="126">IFERROR(BQ23/BQ26,"")</f>
        <v/>
      </c>
      <c r="BR63" s="139" t="str">
        <f t="shared" si="126"/>
        <v/>
      </c>
      <c r="BS63" s="139" t="str">
        <f t="shared" si="126"/>
        <v/>
      </c>
      <c r="BT63" s="139" t="str">
        <f t="shared" si="126"/>
        <v/>
      </c>
      <c r="BU63" s="139" t="str">
        <f t="shared" si="126"/>
        <v/>
      </c>
      <c r="BV63" s="165"/>
      <c r="BY63" s="452" t="s">
        <v>323</v>
      </c>
      <c r="BZ63" s="449"/>
      <c r="CA63" s="449"/>
      <c r="CB63" s="449"/>
      <c r="CC63" s="449"/>
      <c r="CD63" s="449"/>
      <c r="CE63" s="449"/>
      <c r="CF63" s="449"/>
      <c r="CG63" s="449"/>
      <c r="CH63" s="449"/>
      <c r="CI63" s="449"/>
      <c r="CJ63" s="449"/>
      <c r="CK63" s="449"/>
      <c r="CL63" s="449"/>
      <c r="CM63" s="449"/>
      <c r="CN63" s="449"/>
      <c r="CO63" s="449"/>
      <c r="CP63" s="449"/>
      <c r="CQ63" s="449"/>
      <c r="CR63" s="449"/>
      <c r="CS63" s="449"/>
      <c r="CT63" s="449"/>
    </row>
    <row r="64" spans="1:98" ht="16.5">
      <c r="A64" s="110" t="s">
        <v>276</v>
      </c>
      <c r="B64" s="126">
        <v>0</v>
      </c>
      <c r="C64" s="126">
        <v>0</v>
      </c>
      <c r="D64" s="126">
        <v>0</v>
      </c>
      <c r="E64" s="270"/>
      <c r="F64" s="126">
        <v>0</v>
      </c>
      <c r="G64" s="126">
        <v>250000</v>
      </c>
      <c r="H64" s="126">
        <v>0</v>
      </c>
      <c r="I64" s="126">
        <v>0</v>
      </c>
      <c r="J64" s="126">
        <v>0</v>
      </c>
      <c r="K64" s="126">
        <v>0</v>
      </c>
      <c r="L64" s="126">
        <v>0</v>
      </c>
      <c r="M64" s="126">
        <v>0</v>
      </c>
      <c r="N64" s="126">
        <v>0</v>
      </c>
      <c r="O64" s="126">
        <v>0</v>
      </c>
      <c r="P64" s="270"/>
      <c r="Q64" s="270"/>
      <c r="R64" s="270"/>
      <c r="S64" s="270"/>
      <c r="Y64" s="807"/>
      <c r="Z64" s="260"/>
      <c r="AA64" s="69"/>
      <c r="AB64" s="198"/>
      <c r="AF64" s="165"/>
      <c r="AG64" s="165"/>
      <c r="AH64" s="165"/>
      <c r="AI64" s="400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381"/>
      <c r="BA64" s="165"/>
      <c r="BB64" s="165"/>
      <c r="BC64" s="165"/>
      <c r="BD64" s="807" t="s">
        <v>324</v>
      </c>
      <c r="BE64" s="292"/>
      <c r="BF64" s="108"/>
      <c r="BG64" s="108">
        <f>(BG23/BG37)</f>
        <v>0.10195669960921851</v>
      </c>
      <c r="BH64" s="108">
        <f t="shared" ref="BH64:BP64" si="127">(BH23/BH37)</f>
        <v>0.10325531556430646</v>
      </c>
      <c r="BI64" s="108">
        <f t="shared" si="127"/>
        <v>0.10467085924192843</v>
      </c>
      <c r="BJ64" s="108">
        <f t="shared" si="127"/>
        <v>0.1062170185631395</v>
      </c>
      <c r="BK64" s="108">
        <f t="shared" si="127"/>
        <v>0.10790966701971542</v>
      </c>
      <c r="BL64" s="108">
        <f t="shared" si="127"/>
        <v>0.12565989433213695</v>
      </c>
      <c r="BM64" s="108">
        <f t="shared" si="127"/>
        <v>0.1281465818971888</v>
      </c>
      <c r="BN64" s="108">
        <f t="shared" si="127"/>
        <v>0.13088812544875436</v>
      </c>
      <c r="BO64" s="108">
        <f t="shared" si="127"/>
        <v>0.13392116018436426</v>
      </c>
      <c r="BP64" s="108">
        <f t="shared" si="127"/>
        <v>0.13728964127308488</v>
      </c>
      <c r="BQ64" s="108" t="str">
        <f t="shared" ref="BQ64:BU64" si="128">IFERROR(BQ23/BQ37,"")</f>
        <v/>
      </c>
      <c r="BR64" s="108" t="str">
        <f t="shared" si="128"/>
        <v/>
      </c>
      <c r="BS64" s="108" t="str">
        <f t="shared" si="128"/>
        <v/>
      </c>
      <c r="BT64" s="108" t="str">
        <f t="shared" si="128"/>
        <v/>
      </c>
      <c r="BU64" s="108" t="str">
        <f t="shared" si="128"/>
        <v/>
      </c>
      <c r="BV64" s="165"/>
      <c r="BY64" s="588" t="str">
        <f>IF(CA13="Equity Multiple", "GP EMx Check","GP IRR Check")</f>
        <v>GP IRR Check</v>
      </c>
      <c r="BZ64" s="449"/>
      <c r="CA64" s="449"/>
      <c r="CB64" s="449"/>
      <c r="CC64" s="449"/>
      <c r="CD64" s="449"/>
      <c r="CE64" s="449"/>
      <c r="CF64" s="449"/>
      <c r="CG64" s="449"/>
      <c r="CH64" s="449"/>
      <c r="CI64" s="449"/>
      <c r="CJ64" s="449"/>
      <c r="CK64" s="449"/>
      <c r="CL64" s="449"/>
      <c r="CM64" s="449"/>
      <c r="CN64" s="449"/>
      <c r="CO64" s="449"/>
      <c r="CP64" s="449"/>
      <c r="CQ64" s="449"/>
      <c r="CR64" s="449"/>
      <c r="CS64" s="449"/>
      <c r="CT64" s="449"/>
    </row>
    <row r="65" spans="1:98" ht="16.5">
      <c r="A65" s="150"/>
      <c r="B65" s="155"/>
      <c r="C65" s="155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Y65" s="811" t="s">
        <v>214</v>
      </c>
      <c r="Z65" s="260"/>
      <c r="AA65" s="69">
        <f>D47/$C$16</f>
        <v>0.3</v>
      </c>
      <c r="AB65" s="198"/>
      <c r="AF65" s="165"/>
      <c r="AG65" s="165"/>
      <c r="AH65" s="165"/>
      <c r="AI65" s="400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381"/>
      <c r="BA65" s="165"/>
      <c r="BB65" s="165"/>
      <c r="BC65" s="165"/>
      <c r="BD65" s="807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165"/>
      <c r="BY65" s="452"/>
      <c r="BZ65" s="449"/>
      <c r="CA65" s="449"/>
      <c r="CB65" s="449"/>
      <c r="CC65" s="449"/>
      <c r="CD65" s="449"/>
      <c r="CE65" s="449"/>
      <c r="CF65" s="449"/>
      <c r="CG65" s="449"/>
      <c r="CH65" s="449"/>
      <c r="CI65" s="449"/>
      <c r="CJ65" s="449"/>
      <c r="CK65" s="449"/>
      <c r="CL65" s="449"/>
      <c r="CM65" s="449"/>
      <c r="CN65" s="449"/>
      <c r="CO65" s="449"/>
      <c r="CP65" s="449"/>
      <c r="CQ65" s="449"/>
      <c r="CR65" s="449"/>
      <c r="CS65" s="449"/>
      <c r="CT65" s="449"/>
    </row>
    <row r="66" spans="1:98" ht="16.5">
      <c r="A66" s="263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Y66" s="811" t="s">
        <v>218</v>
      </c>
      <c r="Z66" s="260"/>
      <c r="AA66" s="69">
        <f>D48/$C$16</f>
        <v>1.3</v>
      </c>
      <c r="AB66" s="198"/>
      <c r="AF66" s="165"/>
      <c r="AG66" s="165"/>
      <c r="AH66" s="165"/>
      <c r="AI66" s="400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381"/>
      <c r="BA66" s="165"/>
      <c r="BB66" s="165"/>
      <c r="BC66" s="165"/>
      <c r="BD66" s="824" t="s">
        <v>325</v>
      </c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65"/>
      <c r="BY66" s="452" t="str">
        <f>"Total Distributions ("&amp;BY46&amp;")"</f>
        <v>Total Distributions (Tier 1 - Preferred Return + Return of Capital)</v>
      </c>
      <c r="BZ66" s="449"/>
      <c r="CA66" s="449"/>
      <c r="CB66" s="449"/>
      <c r="CC66" s="449"/>
      <c r="CD66" s="449"/>
      <c r="CE66" s="449"/>
      <c r="CF66" s="449"/>
      <c r="CG66" s="449"/>
      <c r="CH66" s="449"/>
      <c r="CI66" s="449"/>
      <c r="CJ66" s="449"/>
      <c r="CK66" s="449"/>
      <c r="CL66" s="449"/>
      <c r="CM66" s="449"/>
      <c r="CN66" s="449"/>
      <c r="CO66" s="449"/>
      <c r="CP66" s="449"/>
      <c r="CQ66" s="449"/>
      <c r="CR66" s="449"/>
      <c r="CS66" s="449"/>
      <c r="CT66" s="449"/>
    </row>
    <row r="67" spans="1:98" ht="16.5">
      <c r="A67" s="264" t="s">
        <v>326</v>
      </c>
      <c r="B67" s="94"/>
      <c r="C67" s="94"/>
      <c r="D67" s="274"/>
      <c r="E67" s="270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232"/>
      <c r="U67" s="232"/>
      <c r="Y67" s="811" t="s">
        <v>223</v>
      </c>
      <c r="Z67" s="260"/>
      <c r="AA67" s="69">
        <f>D49/$C$16</f>
        <v>1.5</v>
      </c>
      <c r="AB67" s="198"/>
      <c r="AF67" s="165"/>
      <c r="AG67" s="165"/>
      <c r="AH67" s="165"/>
      <c r="AI67" s="400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381"/>
      <c r="BA67" s="165"/>
      <c r="BB67" s="165"/>
      <c r="BC67" s="165"/>
      <c r="BD67" s="825" t="s">
        <v>327</v>
      </c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165"/>
      <c r="BY67" s="452" t="s">
        <v>328</v>
      </c>
      <c r="BZ67" s="449"/>
      <c r="CA67" s="449"/>
      <c r="CB67" s="449"/>
      <c r="CC67" s="449"/>
      <c r="CD67" s="449"/>
      <c r="CE67" s="449"/>
      <c r="CF67" s="449"/>
      <c r="CG67" s="449"/>
      <c r="CH67" s="449"/>
      <c r="CI67" s="449"/>
      <c r="CJ67" s="449"/>
      <c r="CK67" s="449"/>
      <c r="CL67" s="449"/>
      <c r="CM67" s="449"/>
      <c r="CN67" s="449"/>
      <c r="CO67" s="449"/>
      <c r="CP67" s="449"/>
      <c r="CQ67" s="449"/>
      <c r="CR67" s="449"/>
      <c r="CS67" s="449"/>
      <c r="CT67" s="449"/>
    </row>
    <row r="68" spans="1:98" ht="16.5">
      <c r="A68" s="110" t="s">
        <v>329</v>
      </c>
      <c r="B68" s="275"/>
      <c r="C68" s="270"/>
      <c r="D68" s="270"/>
      <c r="E68" s="270"/>
      <c r="F68" s="46">
        <v>0.1</v>
      </c>
      <c r="G68" s="46">
        <v>0.1</v>
      </c>
      <c r="H68" s="46">
        <v>0.1</v>
      </c>
      <c r="I68" s="46">
        <v>0.1</v>
      </c>
      <c r="J68" s="46">
        <v>0.1</v>
      </c>
      <c r="K68" s="46">
        <v>0.1</v>
      </c>
      <c r="L68" s="46">
        <v>0.1</v>
      </c>
      <c r="M68" s="46">
        <v>0.1</v>
      </c>
      <c r="N68" s="46">
        <v>0.1</v>
      </c>
      <c r="O68" s="46">
        <v>0.1</v>
      </c>
      <c r="P68" s="46">
        <v>0.1</v>
      </c>
      <c r="Q68" s="46">
        <v>0.1</v>
      </c>
      <c r="R68" s="46">
        <v>0.1</v>
      </c>
      <c r="S68" s="46">
        <v>0.1</v>
      </c>
      <c r="T68" s="250"/>
      <c r="U68" s="250"/>
      <c r="Y68" s="811" t="s">
        <v>225</v>
      </c>
      <c r="Z68" s="260"/>
      <c r="AA68" s="69">
        <f>D50/$C$16</f>
        <v>1.9</v>
      </c>
      <c r="AB68" s="198"/>
      <c r="AF68" s="165"/>
      <c r="AG68" s="165"/>
      <c r="AH68" s="165"/>
      <c r="AI68" s="400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381"/>
      <c r="BA68" s="165"/>
      <c r="BB68" s="165"/>
      <c r="BC68" s="165"/>
      <c r="BD68" s="826" t="s">
        <v>330</v>
      </c>
      <c r="BE68" s="59"/>
      <c r="BF68" s="157">
        <f t="shared" ref="BF68:BU68" si="129">IF(BF$42="","",BF$7)</f>
        <v>0</v>
      </c>
      <c r="BG68" s="157">
        <f t="shared" ref="BG68:BP68" si="130">BG8</f>
        <v>1</v>
      </c>
      <c r="BH68" s="157">
        <f t="shared" si="130"/>
        <v>2</v>
      </c>
      <c r="BI68" s="157">
        <f t="shared" si="130"/>
        <v>3</v>
      </c>
      <c r="BJ68" s="157">
        <f t="shared" si="130"/>
        <v>4</v>
      </c>
      <c r="BK68" s="157">
        <f t="shared" si="130"/>
        <v>5</v>
      </c>
      <c r="BL68" s="157">
        <f t="shared" si="130"/>
        <v>6</v>
      </c>
      <c r="BM68" s="157">
        <f t="shared" si="130"/>
        <v>7</v>
      </c>
      <c r="BN68" s="157">
        <f t="shared" si="130"/>
        <v>8</v>
      </c>
      <c r="BO68" s="157">
        <f t="shared" si="130"/>
        <v>9</v>
      </c>
      <c r="BP68" s="157">
        <f t="shared" si="130"/>
        <v>10</v>
      </c>
      <c r="BQ68" s="65" t="str">
        <f t="shared" si="129"/>
        <v/>
      </c>
      <c r="BR68" s="65" t="str">
        <f t="shared" si="129"/>
        <v/>
      </c>
      <c r="BS68" s="65" t="str">
        <f t="shared" si="129"/>
        <v/>
      </c>
      <c r="BT68" s="65" t="str">
        <f t="shared" si="129"/>
        <v/>
      </c>
      <c r="BU68" s="65" t="str">
        <f t="shared" si="129"/>
        <v/>
      </c>
      <c r="BV68" s="165"/>
      <c r="BY68" s="449"/>
      <c r="BZ68" s="449"/>
      <c r="CA68" s="449"/>
      <c r="CB68" s="449"/>
      <c r="CC68" s="449"/>
      <c r="CD68" s="449"/>
      <c r="CE68" s="449"/>
      <c r="CF68" s="449"/>
      <c r="CG68" s="449"/>
      <c r="CH68" s="449"/>
      <c r="CI68" s="449"/>
      <c r="CJ68" s="449"/>
      <c r="CK68" s="449"/>
      <c r="CL68" s="449"/>
      <c r="CM68" s="449"/>
      <c r="CN68" s="449"/>
      <c r="CO68" s="449"/>
      <c r="CP68" s="449"/>
      <c r="CQ68" s="449"/>
      <c r="CR68" s="449"/>
      <c r="CS68" s="449"/>
      <c r="CT68" s="449"/>
    </row>
    <row r="69" spans="1:98" ht="16.5">
      <c r="A69" s="110" t="s">
        <v>331</v>
      </c>
      <c r="B69" s="275"/>
      <c r="C69" s="270"/>
      <c r="D69" s="270"/>
      <c r="E69" s="270"/>
      <c r="F69" s="46">
        <v>0</v>
      </c>
      <c r="G69" s="46">
        <v>0</v>
      </c>
      <c r="H69" s="46">
        <v>0</v>
      </c>
      <c r="I69" s="46">
        <v>0</v>
      </c>
      <c r="J69" s="46">
        <v>0.1</v>
      </c>
      <c r="K69" s="46">
        <v>0</v>
      </c>
      <c r="L69" s="46">
        <v>0</v>
      </c>
      <c r="M69" s="46">
        <v>0</v>
      </c>
      <c r="N69" s="46">
        <v>0</v>
      </c>
      <c r="O69" s="46">
        <v>0.1</v>
      </c>
      <c r="P69" s="46">
        <v>0</v>
      </c>
      <c r="Q69" s="46">
        <v>0</v>
      </c>
      <c r="R69" s="46">
        <v>0</v>
      </c>
      <c r="S69" s="46">
        <v>0</v>
      </c>
      <c r="T69" s="250"/>
      <c r="U69" s="250"/>
      <c r="Y69" s="811" t="s">
        <v>231</v>
      </c>
      <c r="Z69" s="260"/>
      <c r="AA69" s="69">
        <f>D51/$C$16</f>
        <v>1.7</v>
      </c>
      <c r="AB69" s="198"/>
      <c r="AF69" s="165"/>
      <c r="AG69" s="165"/>
      <c r="AH69" s="165"/>
      <c r="AI69" s="400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381"/>
      <c r="BA69" s="165"/>
      <c r="BB69" s="165"/>
      <c r="BC69" s="165"/>
      <c r="BD69" s="807" t="s">
        <v>4</v>
      </c>
      <c r="BE69" s="59"/>
      <c r="BF69" s="59"/>
      <c r="BG69" s="136" t="str">
        <f t="shared" ref="BG69:BU69" si="131">IF(BG68="","",IFERROR(IRR(BG70:BG85),""))</f>
        <v/>
      </c>
      <c r="BH69" s="136" t="str">
        <f t="shared" si="131"/>
        <v/>
      </c>
      <c r="BI69" s="136" t="str">
        <f t="shared" si="131"/>
        <v/>
      </c>
      <c r="BJ69" s="136" t="str">
        <f t="shared" si="131"/>
        <v/>
      </c>
      <c r="BK69" s="136" t="str">
        <f t="shared" si="131"/>
        <v/>
      </c>
      <c r="BL69" s="136" t="str">
        <f t="shared" si="131"/>
        <v/>
      </c>
      <c r="BM69" s="136" t="str">
        <f t="shared" si="131"/>
        <v/>
      </c>
      <c r="BN69" s="136" t="str">
        <f t="shared" si="131"/>
        <v/>
      </c>
      <c r="BO69" s="136" t="str">
        <f t="shared" si="131"/>
        <v/>
      </c>
      <c r="BP69" s="136" t="str">
        <f t="shared" si="131"/>
        <v/>
      </c>
      <c r="BQ69" s="136" t="str">
        <f t="shared" si="131"/>
        <v/>
      </c>
      <c r="BR69" s="136" t="str">
        <f t="shared" si="131"/>
        <v/>
      </c>
      <c r="BS69" s="136" t="str">
        <f t="shared" si="131"/>
        <v/>
      </c>
      <c r="BT69" s="136" t="str">
        <f t="shared" si="131"/>
        <v/>
      </c>
      <c r="BU69" s="136" t="str">
        <f t="shared" si="131"/>
        <v/>
      </c>
      <c r="BV69" s="165"/>
      <c r="BY69" s="466" t="s">
        <v>332</v>
      </c>
      <c r="BZ69" s="449"/>
      <c r="CA69" s="449"/>
      <c r="CB69" s="449"/>
      <c r="CC69" s="621" t="str">
        <f t="shared" ref="CC69:CR69" si="132">CC47</f>
        <v>Year 0</v>
      </c>
      <c r="CD69" s="621" t="str">
        <f t="shared" si="132"/>
        <v>Year 1</v>
      </c>
      <c r="CE69" s="621" t="str">
        <f t="shared" si="132"/>
        <v>Year 2</v>
      </c>
      <c r="CF69" s="621" t="str">
        <f t="shared" si="132"/>
        <v>Year 3</v>
      </c>
      <c r="CG69" s="621" t="str">
        <f t="shared" si="132"/>
        <v>Year 4</v>
      </c>
      <c r="CH69" s="621" t="str">
        <f t="shared" si="132"/>
        <v>Year 5</v>
      </c>
      <c r="CI69" s="621" t="str">
        <f t="shared" si="132"/>
        <v>Year 6</v>
      </c>
      <c r="CJ69" s="621" t="str">
        <f t="shared" si="132"/>
        <v>Year 7</v>
      </c>
      <c r="CK69" s="621" t="str">
        <f t="shared" si="132"/>
        <v>Year 8</v>
      </c>
      <c r="CL69" s="621" t="str">
        <f t="shared" si="132"/>
        <v>Year 9</v>
      </c>
      <c r="CM69" s="621" t="str">
        <f t="shared" si="132"/>
        <v>Year 10</v>
      </c>
      <c r="CN69" s="621" t="str">
        <f t="shared" si="132"/>
        <v> </v>
      </c>
      <c r="CO69" s="621" t="str">
        <f t="shared" si="132"/>
        <v> </v>
      </c>
      <c r="CP69" s="621" t="str">
        <f t="shared" si="132"/>
        <v> </v>
      </c>
      <c r="CQ69" s="621" t="str">
        <f t="shared" si="132"/>
        <v> </v>
      </c>
      <c r="CR69" s="621" t="str">
        <f t="shared" si="132"/>
        <v> </v>
      </c>
      <c r="CS69" s="449"/>
      <c r="CT69" s="449"/>
    </row>
    <row r="70" spans="1:98" ht="16.5">
      <c r="A70" s="110" t="s">
        <v>333</v>
      </c>
      <c r="B70" s="275"/>
      <c r="C70" s="270"/>
      <c r="D70" s="270"/>
      <c r="E70" s="270"/>
      <c r="F70" s="46">
        <v>0.02</v>
      </c>
      <c r="G70" s="46">
        <v>0.02</v>
      </c>
      <c r="H70" s="46">
        <v>0.02</v>
      </c>
      <c r="I70" s="46">
        <v>0.02</v>
      </c>
      <c r="J70" s="46">
        <v>0.02</v>
      </c>
      <c r="K70" s="46">
        <v>0.02</v>
      </c>
      <c r="L70" s="46">
        <v>0.02</v>
      </c>
      <c r="M70" s="46">
        <v>0.02</v>
      </c>
      <c r="N70" s="46">
        <v>0.02</v>
      </c>
      <c r="O70" s="46">
        <v>0.02</v>
      </c>
      <c r="P70" s="46">
        <v>0.02</v>
      </c>
      <c r="Q70" s="46">
        <v>0.02</v>
      </c>
      <c r="R70" s="46">
        <v>0.02</v>
      </c>
      <c r="S70" s="46">
        <v>0.02</v>
      </c>
      <c r="T70" s="250"/>
      <c r="U70" s="250"/>
      <c r="Y70" s="811" t="s">
        <v>236</v>
      </c>
      <c r="Z70" s="260"/>
      <c r="AA70" s="69">
        <f>D52/$C$16</f>
        <v>1.3689</v>
      </c>
      <c r="AB70" s="198"/>
      <c r="AF70" s="165"/>
      <c r="AG70" s="165"/>
      <c r="AH70" s="165"/>
      <c r="AI70" s="400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381"/>
      <c r="BA70" s="165"/>
      <c r="BB70" s="165"/>
      <c r="BC70" s="165"/>
      <c r="BD70" s="827">
        <f>BF68</f>
        <v>0</v>
      </c>
      <c r="BE70" s="56"/>
      <c r="BF70" s="73">
        <f t="shared" ref="BF70:BF80" si="133">$BF$43</f>
        <v>-25248631.239999998</v>
      </c>
      <c r="BG70" s="71"/>
      <c r="BH70" s="71" t="str">
        <f t="shared" ref="BH70:BU70" si="134">IF(OR(BH$67="",$AT70=""),"",(BH$67&lt;=$AT70)*(-BH$13+BH$24)+(BH$67=$AT70)*BH$33)</f>
        <v/>
      </c>
      <c r="BI70" s="71" t="str">
        <f t="shared" si="134"/>
        <v/>
      </c>
      <c r="BJ70" s="71" t="str">
        <f t="shared" si="134"/>
        <v/>
      </c>
      <c r="BK70" s="71" t="str">
        <f t="shared" si="134"/>
        <v/>
      </c>
      <c r="BL70" s="71" t="str">
        <f t="shared" si="134"/>
        <v/>
      </c>
      <c r="BM70" s="71" t="str">
        <f t="shared" si="134"/>
        <v/>
      </c>
      <c r="BN70" s="71" t="str">
        <f t="shared" si="134"/>
        <v/>
      </c>
      <c r="BO70" s="71" t="str">
        <f t="shared" si="134"/>
        <v/>
      </c>
      <c r="BP70" s="71" t="str">
        <f t="shared" si="134"/>
        <v/>
      </c>
      <c r="BQ70" s="71" t="str">
        <f t="shared" si="134"/>
        <v/>
      </c>
      <c r="BR70" s="71" t="str">
        <f t="shared" si="134"/>
        <v/>
      </c>
      <c r="BS70" s="71" t="str">
        <f t="shared" si="134"/>
        <v/>
      </c>
      <c r="BT70" s="71" t="str">
        <f t="shared" si="134"/>
        <v/>
      </c>
      <c r="BU70" s="71" t="str">
        <f t="shared" si="134"/>
        <v/>
      </c>
      <c r="BV70" s="165"/>
      <c r="BY70" s="634" t="s">
        <v>305</v>
      </c>
      <c r="BZ70" s="635" t="str">
        <f>BZ18</f>
        <v> </v>
      </c>
      <c r="CA70" s="449"/>
      <c r="CB70" s="449"/>
      <c r="CC70" s="449"/>
      <c r="CD70" s="449"/>
      <c r="CE70" s="449"/>
      <c r="CF70" s="449"/>
      <c r="CG70" s="449"/>
      <c r="CH70" s="449"/>
      <c r="CI70" s="449"/>
      <c r="CJ70" s="449"/>
      <c r="CK70" s="449"/>
      <c r="CL70" s="449"/>
      <c r="CM70" s="449"/>
      <c r="CN70" s="449"/>
      <c r="CO70" s="449"/>
      <c r="CP70" s="449"/>
      <c r="CQ70" s="449"/>
      <c r="CR70" s="449"/>
      <c r="CS70" s="449"/>
      <c r="CT70" s="449"/>
    </row>
    <row r="71" spans="1:98" ht="16.5">
      <c r="A71" s="110" t="s">
        <v>334</v>
      </c>
      <c r="B71" s="275"/>
      <c r="C71" s="270"/>
      <c r="D71" s="270"/>
      <c r="E71" s="270"/>
      <c r="F71" s="46">
        <v>0.03</v>
      </c>
      <c r="G71" s="46">
        <v>0.03</v>
      </c>
      <c r="H71" s="46">
        <v>0.03</v>
      </c>
      <c r="I71" s="46">
        <v>0.03</v>
      </c>
      <c r="J71" s="46">
        <v>0.03</v>
      </c>
      <c r="K71" s="46">
        <v>0.03</v>
      </c>
      <c r="L71" s="46">
        <v>0.03</v>
      </c>
      <c r="M71" s="46">
        <v>0.03</v>
      </c>
      <c r="N71" s="46">
        <v>0.03</v>
      </c>
      <c r="O71" s="46">
        <v>0.03</v>
      </c>
      <c r="P71" s="46">
        <v>0.03</v>
      </c>
      <c r="Q71" s="46">
        <v>0.03</v>
      </c>
      <c r="R71" s="46">
        <v>0.03</v>
      </c>
      <c r="S71" s="46">
        <v>0.03</v>
      </c>
      <c r="T71" s="250"/>
      <c r="U71" s="250"/>
      <c r="Y71" s="811" t="s">
        <v>239</v>
      </c>
      <c r="Z71" s="260"/>
      <c r="AA71" s="69">
        <f>D53/$C$16</f>
        <v>0.7</v>
      </c>
      <c r="AB71" s="198"/>
      <c r="AF71" s="165"/>
      <c r="AG71" s="165"/>
      <c r="AH71" s="165"/>
      <c r="AI71" s="400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381"/>
      <c r="BA71" s="165"/>
      <c r="BB71" s="165"/>
      <c r="BC71" s="165"/>
      <c r="BD71" s="827">
        <f>BG68</f>
        <v>1</v>
      </c>
      <c r="BE71" s="136">
        <f>IF(BD71="","",IRR(BF71:BU71))</f>
        <v>1.3375643160363548E-2</v>
      </c>
      <c r="BF71" s="73">
        <f t="shared" si="133"/>
        <v>-25248631.239999998</v>
      </c>
      <c r="BG71" s="73">
        <f>(BG68&lt;&gt;"") * (BD71&lt;&gt;"") * ((BG68&lt;=BD71)*(-BG14+BG25) + (BG68=BD71)*BG34)</f>
        <v>25586347.921753842</v>
      </c>
      <c r="BH71" s="73"/>
      <c r="BI71" s="73"/>
      <c r="BJ71" s="73"/>
      <c r="BK71" s="73"/>
      <c r="BL71" s="73"/>
      <c r="BM71" s="73"/>
      <c r="BN71" s="73"/>
      <c r="BO71" s="73"/>
      <c r="BP71" s="73"/>
      <c r="BQ71" s="73" t="str">
        <f t="shared" ref="BQ71:BU84" si="135">IF(OR(BQ$67="",$AT71=""),"",(BQ$67&lt;=$AT71)*(-BQ$13+BQ$24)+(BQ$67=$AT71)*BQ$33)</f>
        <v/>
      </c>
      <c r="BR71" s="73" t="str">
        <f t="shared" si="135"/>
        <v/>
      </c>
      <c r="BS71" s="73" t="str">
        <f t="shared" si="135"/>
        <v/>
      </c>
      <c r="BT71" s="73" t="str">
        <f t="shared" si="135"/>
        <v/>
      </c>
      <c r="BU71" s="73" t="str">
        <f t="shared" si="135"/>
        <v/>
      </c>
      <c r="BV71" s="165"/>
      <c r="BY71" s="452" t="s">
        <v>306</v>
      </c>
      <c r="BZ71" s="449"/>
      <c r="CA71" s="449"/>
      <c r="CB71" s="449"/>
      <c r="CC71" s="449"/>
      <c r="CD71" s="449"/>
      <c r="CE71" s="449"/>
      <c r="CF71" s="449"/>
      <c r="CG71" s="449"/>
      <c r="CH71" s="449"/>
      <c r="CI71" s="449"/>
      <c r="CJ71" s="449"/>
      <c r="CK71" s="449"/>
      <c r="CL71" s="449"/>
      <c r="CM71" s="449"/>
      <c r="CN71" s="449"/>
      <c r="CO71" s="449"/>
      <c r="CP71" s="449"/>
      <c r="CQ71" s="449"/>
      <c r="CR71" s="449"/>
      <c r="CS71" s="449"/>
      <c r="CT71" s="449"/>
    </row>
    <row r="72" spans="1:98" ht="16.5">
      <c r="A72" s="110" t="s">
        <v>335</v>
      </c>
      <c r="B72" s="275"/>
      <c r="C72" s="270"/>
      <c r="D72" s="270"/>
      <c r="E72" s="270"/>
      <c r="F72" s="46">
        <v>0.02</v>
      </c>
      <c r="G72" s="46">
        <v>0.02</v>
      </c>
      <c r="H72" s="46">
        <v>0.02</v>
      </c>
      <c r="I72" s="46">
        <v>0.02</v>
      </c>
      <c r="J72" s="46">
        <v>0.02</v>
      </c>
      <c r="K72" s="46">
        <v>0.02</v>
      </c>
      <c r="L72" s="46">
        <v>0.02</v>
      </c>
      <c r="M72" s="46">
        <v>0.02</v>
      </c>
      <c r="N72" s="46">
        <v>0.02</v>
      </c>
      <c r="O72" s="46">
        <v>0.02</v>
      </c>
      <c r="P72" s="46">
        <v>0.02</v>
      </c>
      <c r="Q72" s="46">
        <v>0.02</v>
      </c>
      <c r="R72" s="46">
        <v>0.02</v>
      </c>
      <c r="S72" s="46">
        <v>0.02</v>
      </c>
      <c r="T72" s="250"/>
      <c r="U72" s="250"/>
      <c r="Y72" s="811" t="s">
        <v>244</v>
      </c>
      <c r="Z72" s="260"/>
      <c r="AA72" s="69">
        <f>D54/$C$16</f>
        <v>5.0000999999999998</v>
      </c>
      <c r="AB72" s="198"/>
      <c r="AF72" s="165"/>
      <c r="AG72" s="165"/>
      <c r="AH72" s="165"/>
      <c r="AI72" s="400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381"/>
      <c r="BA72" s="165"/>
      <c r="BB72" s="165"/>
      <c r="BC72" s="165"/>
      <c r="BD72" s="827">
        <f>BH68</f>
        <v>2</v>
      </c>
      <c r="BE72" s="136">
        <f t="shared" ref="BE72:BE85" si="136">IF(BD72="","",IRR(BF72:BU72))</f>
        <v>3.0661756784014615E-2</v>
      </c>
      <c r="BF72" s="73">
        <f t="shared" si="133"/>
        <v>-25248631.239999998</v>
      </c>
      <c r="BG72" s="73">
        <f t="shared" ref="BG72:BH80" si="137">(BG$68&lt;&gt;"") * ($BD72&lt;&gt;"") * ((BG$68&lt;=$BD72)*(-BG$14+BG$25) + (BG$68=$BD72)*BG$34)</f>
        <v>1568050.3491999998</v>
      </c>
      <c r="BH72" s="73">
        <f t="shared" si="137"/>
        <v>25204573.825016793</v>
      </c>
      <c r="BI72" s="73">
        <f>(BI$68&lt;&gt;"") * ($BD$72&lt;&gt;"") * ((BI$68&lt;=$BD$72)*(-BI$14+BI$25) + (BI$68=$BD$72)*BI$34)</f>
        <v>0</v>
      </c>
      <c r="BJ72" s="73" t="str">
        <f t="shared" ref="BJ72:BP73" si="138">IF(OR(BJ$67="",$AT72=""),"",(BJ$67&lt;=$AT72)*(-BJ$13+BJ$24)+(BJ$67=$AT72)*BJ$33)</f>
        <v/>
      </c>
      <c r="BK72" s="73" t="str">
        <f t="shared" si="138"/>
        <v/>
      </c>
      <c r="BL72" s="73" t="str">
        <f t="shared" si="138"/>
        <v/>
      </c>
      <c r="BM72" s="73" t="str">
        <f t="shared" si="138"/>
        <v/>
      </c>
      <c r="BN72" s="73" t="str">
        <f t="shared" si="138"/>
        <v/>
      </c>
      <c r="BO72" s="73" t="str">
        <f t="shared" si="138"/>
        <v/>
      </c>
      <c r="BP72" s="73" t="str">
        <f t="shared" si="138"/>
        <v/>
      </c>
      <c r="BQ72" s="73" t="str">
        <f t="shared" si="135"/>
        <v/>
      </c>
      <c r="BR72" s="73" t="str">
        <f t="shared" si="135"/>
        <v/>
      </c>
      <c r="BS72" s="73" t="str">
        <f t="shared" si="135"/>
        <v/>
      </c>
      <c r="BT72" s="73" t="str">
        <f t="shared" si="135"/>
        <v/>
      </c>
      <c r="BU72" s="73" t="str">
        <f t="shared" si="135"/>
        <v/>
      </c>
      <c r="BV72" s="165"/>
      <c r="BY72" s="452" t="s">
        <v>336</v>
      </c>
      <c r="BZ72" s="449"/>
      <c r="CA72" s="449"/>
      <c r="CB72" s="449"/>
      <c r="CC72" s="449"/>
      <c r="CD72" s="449"/>
      <c r="CE72" s="449"/>
      <c r="CF72" s="449"/>
      <c r="CG72" s="449"/>
      <c r="CH72" s="449"/>
      <c r="CI72" s="449"/>
      <c r="CJ72" s="449"/>
      <c r="CK72" s="449"/>
      <c r="CL72" s="449"/>
      <c r="CM72" s="449"/>
      <c r="CN72" s="449"/>
      <c r="CO72" s="449"/>
      <c r="CP72" s="449"/>
      <c r="CQ72" s="449"/>
      <c r="CR72" s="449"/>
      <c r="CS72" s="449"/>
      <c r="CT72" s="449"/>
    </row>
    <row r="73" spans="1:98" ht="16.5">
      <c r="A73" s="110" t="s">
        <v>337</v>
      </c>
      <c r="B73" s="275"/>
      <c r="C73" s="270"/>
      <c r="D73" s="270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250"/>
      <c r="U73" s="250"/>
      <c r="Y73" s="807" t="s">
        <v>224</v>
      </c>
      <c r="Z73" s="260"/>
      <c r="AA73" s="69">
        <f>SUM(AA65:AA72)</f>
        <v>13.768999999999998</v>
      </c>
      <c r="AB73" s="198"/>
      <c r="AF73" s="165"/>
      <c r="AG73" s="165"/>
      <c r="AH73" s="165"/>
      <c r="AI73" s="400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381"/>
      <c r="BA73" s="165"/>
      <c r="BB73" s="165"/>
      <c r="BC73" s="165"/>
      <c r="BD73" s="827">
        <f>BI68</f>
        <v>3</v>
      </c>
      <c r="BE73" s="136">
        <f t="shared" si="136"/>
        <v>3.3296196377198939E-2</v>
      </c>
      <c r="BF73" s="73">
        <f t="shared" si="133"/>
        <v>-25248631.239999998</v>
      </c>
      <c r="BG73" s="73">
        <f t="shared" si="137"/>
        <v>1568050.3491999998</v>
      </c>
      <c r="BH73" s="73">
        <f t="shared" si="137"/>
        <v>1555150.2492</v>
      </c>
      <c r="BI73" s="73">
        <f t="shared" ref="BI73:BI80" si="139">(BI$68&lt;&gt;"") * ($BD73&lt;&gt;"") * ((BI$68&lt;=$BD73)*(-BI$14+BI$25) + (BI$68=$BD73)*BI$34)</f>
        <v>24574448.272290908</v>
      </c>
      <c r="BJ73" s="73" t="str">
        <f t="shared" si="138"/>
        <v/>
      </c>
      <c r="BK73" s="73" t="str">
        <f t="shared" si="138"/>
        <v/>
      </c>
      <c r="BL73" s="73" t="str">
        <f t="shared" si="138"/>
        <v/>
      </c>
      <c r="BM73" s="73" t="str">
        <f t="shared" si="138"/>
        <v/>
      </c>
      <c r="BN73" s="73" t="str">
        <f t="shared" si="138"/>
        <v/>
      </c>
      <c r="BO73" s="73" t="str">
        <f t="shared" si="138"/>
        <v/>
      </c>
      <c r="BP73" s="73" t="str">
        <f t="shared" si="138"/>
        <v/>
      </c>
      <c r="BQ73" s="73" t="str">
        <f t="shared" si="135"/>
        <v/>
      </c>
      <c r="BR73" s="73" t="str">
        <f t="shared" si="135"/>
        <v/>
      </c>
      <c r="BS73" s="73" t="str">
        <f t="shared" si="135"/>
        <v/>
      </c>
      <c r="BT73" s="73" t="str">
        <f t="shared" si="135"/>
        <v/>
      </c>
      <c r="BU73" s="73" t="str">
        <f t="shared" si="135"/>
        <v/>
      </c>
      <c r="BV73" s="165"/>
      <c r="BY73" s="452" t="s">
        <v>311</v>
      </c>
      <c r="BZ73" s="449"/>
      <c r="CA73" s="449"/>
      <c r="CB73" s="449"/>
      <c r="CC73" s="449"/>
      <c r="CD73" s="449"/>
      <c r="CE73" s="449"/>
      <c r="CF73" s="449"/>
      <c r="CG73" s="449"/>
      <c r="CH73" s="449"/>
      <c r="CI73" s="449"/>
      <c r="CJ73" s="449"/>
      <c r="CK73" s="449"/>
      <c r="CL73" s="449"/>
      <c r="CM73" s="449"/>
      <c r="CN73" s="449"/>
      <c r="CO73" s="449"/>
      <c r="CP73" s="449"/>
      <c r="CQ73" s="449"/>
      <c r="CR73" s="449"/>
      <c r="CS73" s="449"/>
      <c r="CT73" s="449"/>
    </row>
    <row r="74" spans="1:98" ht="16.5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32"/>
      <c r="U74" s="232"/>
      <c r="Y74" s="807"/>
      <c r="Z74" s="260"/>
      <c r="AA74" s="69"/>
      <c r="AB74" s="198"/>
      <c r="AF74" s="165"/>
      <c r="AG74" s="165"/>
      <c r="AH74" s="165"/>
      <c r="AI74" s="400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381"/>
      <c r="BA74" s="165"/>
      <c r="BB74" s="165"/>
      <c r="BC74" s="165"/>
      <c r="BD74" s="827">
        <f>BJ68</f>
        <v>4</v>
      </c>
      <c r="BE74" s="136">
        <f t="shared" si="136"/>
        <v>2.219823082274397E-2</v>
      </c>
      <c r="BF74" s="73">
        <f t="shared" si="133"/>
        <v>-25248631.239999998</v>
      </c>
      <c r="BG74" s="73">
        <f t="shared" si="137"/>
        <v>1568050.3491999998</v>
      </c>
      <c r="BH74" s="73">
        <f t="shared" si="137"/>
        <v>1555150.2492</v>
      </c>
      <c r="BI74" s="73">
        <f t="shared" si="139"/>
        <v>1291992.1472</v>
      </c>
      <c r="BJ74" s="73">
        <f t="shared" ref="BJ74:BP80" si="140">(BJ$68&lt;&gt;"") * ($BD74&lt;&gt;"") * ((BJ$68&lt;=$BD74)*(-BJ$14+BJ$25) + (BJ$68=$BD74)*BJ$34)</f>
        <v>22945850.003412627</v>
      </c>
      <c r="BK74" s="73">
        <f t="shared" si="140"/>
        <v>0</v>
      </c>
      <c r="BL74" s="73">
        <f t="shared" si="140"/>
        <v>0</v>
      </c>
      <c r="BM74" s="73">
        <f t="shared" si="140"/>
        <v>0</v>
      </c>
      <c r="BN74" s="73">
        <f t="shared" si="140"/>
        <v>0</v>
      </c>
      <c r="BO74" s="73">
        <f t="shared" si="140"/>
        <v>0</v>
      </c>
      <c r="BP74" s="73">
        <f t="shared" si="140"/>
        <v>0</v>
      </c>
      <c r="BQ74" s="73" t="str">
        <f t="shared" si="135"/>
        <v/>
      </c>
      <c r="BR74" s="73" t="str">
        <f t="shared" si="135"/>
        <v/>
      </c>
      <c r="BS74" s="73" t="str">
        <f t="shared" si="135"/>
        <v/>
      </c>
      <c r="BT74" s="73" t="str">
        <f t="shared" si="135"/>
        <v/>
      </c>
      <c r="BU74" s="73" t="str">
        <f t="shared" si="135"/>
        <v/>
      </c>
      <c r="BV74" s="165"/>
      <c r="BY74" s="452" t="s">
        <v>338</v>
      </c>
      <c r="BZ74" s="449"/>
      <c r="CA74" s="449"/>
      <c r="CB74" s="449"/>
      <c r="CC74" s="449"/>
      <c r="CD74" s="449"/>
      <c r="CE74" s="449"/>
      <c r="CF74" s="449"/>
      <c r="CG74" s="449"/>
      <c r="CH74" s="449"/>
      <c r="CI74" s="449"/>
      <c r="CJ74" s="449"/>
      <c r="CK74" s="449"/>
      <c r="CL74" s="449"/>
      <c r="CM74" s="449"/>
      <c r="CN74" s="449"/>
      <c r="CO74" s="449"/>
      <c r="CP74" s="449"/>
      <c r="CQ74" s="449"/>
      <c r="CR74" s="449"/>
      <c r="CS74" s="449"/>
      <c r="CT74" s="449"/>
    </row>
    <row r="75" spans="1:98" ht="16.5">
      <c r="Y75" s="813" t="s">
        <v>227</v>
      </c>
      <c r="Z75" s="260"/>
      <c r="AA75" s="158">
        <f>AA63-AA73</f>
        <v>31.861000000000004</v>
      </c>
      <c r="AB75" s="198"/>
      <c r="AF75" s="165"/>
      <c r="AG75" s="165"/>
      <c r="AH75" s="165"/>
      <c r="AI75" s="400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381"/>
      <c r="BA75" s="165"/>
      <c r="BB75" s="165"/>
      <c r="BC75" s="165"/>
      <c r="BD75" s="827">
        <f>BK68</f>
        <v>5</v>
      </c>
      <c r="BE75" s="136">
        <f t="shared" si="136"/>
        <v>2.7343605709010177E-2</v>
      </c>
      <c r="BF75" s="73">
        <f t="shared" si="133"/>
        <v>-25248631.239999998</v>
      </c>
      <c r="BG75" s="73">
        <f t="shared" si="137"/>
        <v>1568050.3491999998</v>
      </c>
      <c r="BH75" s="73">
        <f t="shared" si="137"/>
        <v>1555150.2492</v>
      </c>
      <c r="BI75" s="73">
        <f t="shared" si="139"/>
        <v>1291992.1472</v>
      </c>
      <c r="BJ75" s="73">
        <f t="shared" si="140"/>
        <v>28570.883159999968</v>
      </c>
      <c r="BK75" s="73">
        <f t="shared" si="140"/>
        <v>24068659.669696148</v>
      </c>
      <c r="BL75" s="73">
        <f t="shared" si="140"/>
        <v>0</v>
      </c>
      <c r="BM75" s="73">
        <f t="shared" si="140"/>
        <v>0</v>
      </c>
      <c r="BN75" s="73">
        <f t="shared" si="140"/>
        <v>0</v>
      </c>
      <c r="BO75" s="73">
        <f t="shared" si="140"/>
        <v>0</v>
      </c>
      <c r="BP75" s="73">
        <f t="shared" si="140"/>
        <v>0</v>
      </c>
      <c r="BQ75" s="73" t="str">
        <f t="shared" si="135"/>
        <v/>
      </c>
      <c r="BR75" s="73" t="str">
        <f t="shared" si="135"/>
        <v/>
      </c>
      <c r="BS75" s="73" t="str">
        <f t="shared" si="135"/>
        <v/>
      </c>
      <c r="BT75" s="73" t="str">
        <f t="shared" si="135"/>
        <v/>
      </c>
      <c r="BU75" s="73" t="str">
        <f t="shared" si="135"/>
        <v/>
      </c>
      <c r="BV75" s="165"/>
      <c r="BY75" s="452" t="str">
        <f>"Distributions to LP "&amp;BY69</f>
        <v>Distributions to LP Tier 2</v>
      </c>
      <c r="BZ75" s="449"/>
      <c r="CA75" s="449"/>
      <c r="CB75" s="449"/>
      <c r="CC75" s="449"/>
      <c r="CD75" s="449"/>
      <c r="CE75" s="449"/>
      <c r="CF75" s="449"/>
      <c r="CG75" s="449"/>
      <c r="CH75" s="449"/>
      <c r="CI75" s="449"/>
      <c r="CJ75" s="449"/>
      <c r="CK75" s="449"/>
      <c r="CL75" s="449"/>
      <c r="CM75" s="449"/>
      <c r="CN75" s="449"/>
      <c r="CO75" s="449"/>
      <c r="CP75" s="449"/>
      <c r="CQ75" s="449"/>
      <c r="CR75" s="449"/>
      <c r="CS75" s="449"/>
      <c r="CT75" s="449"/>
    </row>
    <row r="76" spans="1:98" ht="16.5"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Y76" s="807"/>
      <c r="Z76" s="260"/>
      <c r="AA76" s="69"/>
      <c r="AB76" s="198"/>
      <c r="AF76" s="165"/>
      <c r="AG76" s="165"/>
      <c r="AH76" s="165"/>
      <c r="AI76" s="400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381"/>
      <c r="BA76" s="165"/>
      <c r="BB76" s="165"/>
      <c r="BC76" s="165"/>
      <c r="BD76" s="827">
        <f>BL68</f>
        <v>6</v>
      </c>
      <c r="BE76" s="136">
        <f t="shared" si="136"/>
        <v>5.1754024434221169E-2</v>
      </c>
      <c r="BF76" s="73">
        <f t="shared" si="133"/>
        <v>-25248631.239999998</v>
      </c>
      <c r="BG76" s="73">
        <f t="shared" si="137"/>
        <v>1568050.3491999998</v>
      </c>
      <c r="BH76" s="73">
        <f t="shared" si="137"/>
        <v>1555150.2492</v>
      </c>
      <c r="BI76" s="73">
        <f t="shared" si="139"/>
        <v>1291992.1472</v>
      </c>
      <c r="BJ76" s="73">
        <f t="shared" si="140"/>
        <v>28570.883159999968</v>
      </c>
      <c r="BK76" s="73">
        <f t="shared" si="140"/>
        <v>1514881.1938391998</v>
      </c>
      <c r="BL76" s="73">
        <f t="shared" si="140"/>
        <v>27127093.770353373</v>
      </c>
      <c r="BM76" s="73">
        <f t="shared" si="140"/>
        <v>0</v>
      </c>
      <c r="BN76" s="73">
        <f t="shared" si="140"/>
        <v>0</v>
      </c>
      <c r="BO76" s="73">
        <f t="shared" si="140"/>
        <v>0</v>
      </c>
      <c r="BP76" s="73">
        <f t="shared" si="140"/>
        <v>0</v>
      </c>
      <c r="BQ76" s="73" t="str">
        <f t="shared" si="135"/>
        <v/>
      </c>
      <c r="BR76" s="73" t="str">
        <f t="shared" si="135"/>
        <v/>
      </c>
      <c r="BS76" s="73" t="str">
        <f t="shared" si="135"/>
        <v/>
      </c>
      <c r="BT76" s="73" t="str">
        <f t="shared" si="135"/>
        <v/>
      </c>
      <c r="BU76" s="73" t="str">
        <f t="shared" si="135"/>
        <v/>
      </c>
      <c r="BV76" s="165"/>
      <c r="BY76" s="452" t="s">
        <v>314</v>
      </c>
      <c r="BZ76" s="449"/>
      <c r="CA76" s="449"/>
      <c r="CB76" s="449"/>
      <c r="CC76" s="449"/>
      <c r="CD76" s="449"/>
      <c r="CE76" s="449"/>
      <c r="CF76" s="449"/>
      <c r="CG76" s="449"/>
      <c r="CH76" s="449"/>
      <c r="CI76" s="449"/>
      <c r="CJ76" s="449"/>
      <c r="CK76" s="449"/>
      <c r="CL76" s="449"/>
      <c r="CM76" s="449"/>
      <c r="CN76" s="449"/>
      <c r="CO76" s="449"/>
      <c r="CP76" s="449"/>
      <c r="CQ76" s="449"/>
      <c r="CR76" s="449"/>
      <c r="CS76" s="449"/>
      <c r="CT76" s="449"/>
    </row>
    <row r="77" spans="1:98" ht="16.5"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232"/>
      <c r="U77" s="232"/>
      <c r="Y77" s="811" t="s">
        <v>263</v>
      </c>
      <c r="Z77" s="260"/>
      <c r="AA77" s="159">
        <f>D61/$C$16</f>
        <v>0</v>
      </c>
      <c r="AB77" s="198"/>
      <c r="AF77" s="165"/>
      <c r="AG77" s="165"/>
      <c r="AH77" s="165"/>
      <c r="AI77" s="400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381"/>
      <c r="BA77" s="165"/>
      <c r="BB77" s="165"/>
      <c r="BC77" s="165"/>
      <c r="BD77" s="827">
        <f>BM68</f>
        <v>7</v>
      </c>
      <c r="BE77" s="136">
        <f t="shared" si="136"/>
        <v>5.1797913263384121E-2</v>
      </c>
      <c r="BF77" s="73">
        <f t="shared" si="133"/>
        <v>-25248631.239999998</v>
      </c>
      <c r="BG77" s="73">
        <f t="shared" si="137"/>
        <v>1568050.3491999998</v>
      </c>
      <c r="BH77" s="73">
        <f t="shared" si="137"/>
        <v>1555150.2492</v>
      </c>
      <c r="BI77" s="73">
        <f t="shared" si="139"/>
        <v>1291992.1472</v>
      </c>
      <c r="BJ77" s="73">
        <f t="shared" si="140"/>
        <v>28570.883159999968</v>
      </c>
      <c r="BK77" s="73">
        <f t="shared" si="140"/>
        <v>1514881.1938391998</v>
      </c>
      <c r="BL77" s="73">
        <f t="shared" si="140"/>
        <v>1722223.2456519837</v>
      </c>
      <c r="BM77" s="73">
        <f t="shared" si="140"/>
        <v>26728743.173719957</v>
      </c>
      <c r="BN77" s="73">
        <f t="shared" si="140"/>
        <v>0</v>
      </c>
      <c r="BO77" s="73">
        <f t="shared" si="140"/>
        <v>0</v>
      </c>
      <c r="BP77" s="73">
        <f t="shared" si="140"/>
        <v>0</v>
      </c>
      <c r="BQ77" s="73" t="str">
        <f t="shared" si="135"/>
        <v/>
      </c>
      <c r="BR77" s="73" t="str">
        <f t="shared" si="135"/>
        <v/>
      </c>
      <c r="BS77" s="73" t="str">
        <f t="shared" si="135"/>
        <v/>
      </c>
      <c r="BT77" s="73" t="str">
        <f t="shared" si="135"/>
        <v/>
      </c>
      <c r="BU77" s="73" t="str">
        <f t="shared" si="135"/>
        <v/>
      </c>
      <c r="BV77" s="165"/>
      <c r="BY77" s="636" t="str">
        <f>BZ70</f>
        <v> </v>
      </c>
      <c r="BZ77" s="449"/>
      <c r="CA77" s="449"/>
      <c r="CB77" s="449"/>
      <c r="CC77" s="449"/>
      <c r="CD77" s="449"/>
      <c r="CE77" s="449"/>
      <c r="CF77" s="449"/>
      <c r="CG77" s="449"/>
      <c r="CH77" s="449"/>
      <c r="CI77" s="449"/>
      <c r="CJ77" s="449"/>
      <c r="CK77" s="449"/>
      <c r="CL77" s="449"/>
      <c r="CM77" s="449"/>
      <c r="CN77" s="449"/>
      <c r="CO77" s="449"/>
      <c r="CP77" s="449"/>
      <c r="CQ77" s="449"/>
      <c r="CR77" s="449"/>
      <c r="CS77" s="449"/>
      <c r="CT77" s="449"/>
    </row>
    <row r="78" spans="1:98" ht="16.5"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Y78" s="811" t="s">
        <v>269</v>
      </c>
      <c r="Z78" s="260"/>
      <c r="AA78" s="159">
        <f>D62/$C$16</f>
        <v>0</v>
      </c>
      <c r="AB78" s="198"/>
      <c r="AF78" s="165"/>
      <c r="AG78" s="165"/>
      <c r="AH78" s="165"/>
      <c r="AI78" s="400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381"/>
      <c r="BA78" s="165"/>
      <c r="BB78" s="165"/>
      <c r="BC78" s="165"/>
      <c r="BD78" s="827">
        <f>BN68</f>
        <v>8</v>
      </c>
      <c r="BE78" s="136">
        <f t="shared" si="136"/>
        <v>5.1859836346842325E-2</v>
      </c>
      <c r="BF78" s="73">
        <f t="shared" si="133"/>
        <v>-25248631.239999998</v>
      </c>
      <c r="BG78" s="73">
        <f t="shared" si="137"/>
        <v>1568050.3491999998</v>
      </c>
      <c r="BH78" s="73">
        <f t="shared" si="137"/>
        <v>1555150.2492</v>
      </c>
      <c r="BI78" s="73">
        <f t="shared" si="139"/>
        <v>1291992.1472</v>
      </c>
      <c r="BJ78" s="73">
        <f t="shared" si="140"/>
        <v>28570.883159999968</v>
      </c>
      <c r="BK78" s="73">
        <f t="shared" si="140"/>
        <v>1514881.1938391998</v>
      </c>
      <c r="BL78" s="73">
        <f t="shared" si="140"/>
        <v>1722223.2456519837</v>
      </c>
      <c r="BM78" s="73">
        <f t="shared" si="140"/>
        <v>1707980.4928826233</v>
      </c>
      <c r="BN78" s="73">
        <f t="shared" si="140"/>
        <v>26331797.793293282</v>
      </c>
      <c r="BO78" s="73">
        <f t="shared" si="140"/>
        <v>0</v>
      </c>
      <c r="BP78" s="73">
        <f t="shared" si="140"/>
        <v>0</v>
      </c>
      <c r="BQ78" s="73" t="str">
        <f t="shared" si="135"/>
        <v/>
      </c>
      <c r="BR78" s="73" t="str">
        <f t="shared" si="135"/>
        <v/>
      </c>
      <c r="BS78" s="73" t="str">
        <f t="shared" si="135"/>
        <v/>
      </c>
      <c r="BT78" s="73" t="str">
        <f t="shared" si="135"/>
        <v/>
      </c>
      <c r="BU78" s="73" t="str">
        <f t="shared" si="135"/>
        <v/>
      </c>
      <c r="BV78" s="165"/>
      <c r="BY78" s="637" t="s">
        <v>158</v>
      </c>
      <c r="BZ78" s="467" t="s">
        <v>158</v>
      </c>
      <c r="CA78" s="449"/>
      <c r="CB78" s="449"/>
      <c r="CC78" s="449"/>
      <c r="CD78" s="449"/>
      <c r="CE78" s="449"/>
      <c r="CF78" s="449"/>
      <c r="CG78" s="449"/>
      <c r="CH78" s="449"/>
      <c r="CI78" s="449"/>
      <c r="CJ78" s="449"/>
      <c r="CK78" s="449"/>
      <c r="CL78" s="449"/>
      <c r="CM78" s="449"/>
      <c r="CN78" s="449"/>
      <c r="CO78" s="449"/>
      <c r="CP78" s="449"/>
      <c r="CQ78" s="449"/>
      <c r="CR78" s="449"/>
      <c r="CS78" s="449"/>
      <c r="CT78" s="449"/>
    </row>
    <row r="79" spans="1:98" ht="16.5"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Y79" s="811" t="s">
        <v>272</v>
      </c>
      <c r="Z79" s="260"/>
      <c r="AA79" s="115">
        <f>D63/$C$16</f>
        <v>0.5</v>
      </c>
      <c r="AB79" s="198"/>
      <c r="AF79" s="165"/>
      <c r="AG79" s="165"/>
      <c r="AH79" s="165"/>
      <c r="AI79" s="400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381"/>
      <c r="BA79" s="165"/>
      <c r="BB79" s="165"/>
      <c r="BC79" s="165"/>
      <c r="BD79" s="827">
        <f>BO68</f>
        <v>9</v>
      </c>
      <c r="BE79" s="136">
        <f t="shared" si="136"/>
        <v>5.1931507779508168E-2</v>
      </c>
      <c r="BF79" s="73">
        <f t="shared" si="133"/>
        <v>-25248631.239999998</v>
      </c>
      <c r="BG79" s="73">
        <f t="shared" si="137"/>
        <v>1568050.3491999998</v>
      </c>
      <c r="BH79" s="73">
        <f t="shared" si="137"/>
        <v>1555150.2492</v>
      </c>
      <c r="BI79" s="73">
        <f t="shared" si="139"/>
        <v>1291992.1472</v>
      </c>
      <c r="BJ79" s="73">
        <f t="shared" si="140"/>
        <v>28570.883159999968</v>
      </c>
      <c r="BK79" s="73">
        <f t="shared" si="140"/>
        <v>1514881.1938391998</v>
      </c>
      <c r="BL79" s="73">
        <f t="shared" si="140"/>
        <v>1722223.2456519837</v>
      </c>
      <c r="BM79" s="73">
        <f t="shared" si="140"/>
        <v>1707980.4928826233</v>
      </c>
      <c r="BN79" s="73">
        <f t="shared" si="140"/>
        <v>1693452.8850578757</v>
      </c>
      <c r="BO79" s="73">
        <f t="shared" si="140"/>
        <v>25936137.412173096</v>
      </c>
      <c r="BP79" s="73">
        <f t="shared" si="140"/>
        <v>0</v>
      </c>
      <c r="BQ79" s="73" t="str">
        <f t="shared" si="135"/>
        <v/>
      </c>
      <c r="BR79" s="73" t="str">
        <f t="shared" si="135"/>
        <v/>
      </c>
      <c r="BS79" s="73" t="str">
        <f t="shared" si="135"/>
        <v/>
      </c>
      <c r="BT79" s="73" t="str">
        <f t="shared" si="135"/>
        <v/>
      </c>
      <c r="BU79" s="73" t="str">
        <f t="shared" si="135"/>
        <v/>
      </c>
      <c r="BV79" s="165"/>
      <c r="BY79" s="452" t="s">
        <v>315</v>
      </c>
      <c r="BZ79" s="449"/>
      <c r="CA79" s="449"/>
      <c r="CB79" s="449"/>
      <c r="CC79" s="449"/>
      <c r="CD79" s="449"/>
      <c r="CE79" s="449"/>
      <c r="CF79" s="449"/>
      <c r="CG79" s="449"/>
      <c r="CH79" s="449"/>
      <c r="CI79" s="449"/>
      <c r="CJ79" s="449"/>
      <c r="CK79" s="449"/>
      <c r="CL79" s="449"/>
      <c r="CM79" s="449"/>
      <c r="CN79" s="449"/>
      <c r="CO79" s="449"/>
      <c r="CP79" s="449"/>
      <c r="CQ79" s="449"/>
      <c r="CR79" s="449"/>
      <c r="CS79" s="449"/>
      <c r="CT79" s="449"/>
    </row>
    <row r="80" spans="1:98" ht="16.5">
      <c r="T80" s="164"/>
      <c r="U80" s="164"/>
      <c r="Y80" s="811" t="s">
        <v>276</v>
      </c>
      <c r="Z80" s="260"/>
      <c r="AA80" s="159">
        <f>D64/$C$16</f>
        <v>0</v>
      </c>
      <c r="AB80" s="198"/>
      <c r="AF80" s="165"/>
      <c r="AG80" s="165"/>
      <c r="AH80" s="165"/>
      <c r="AI80" s="400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381"/>
      <c r="BA80" s="165"/>
      <c r="BB80" s="165"/>
      <c r="BC80" s="165"/>
      <c r="BD80" s="827">
        <f>BP68</f>
        <v>10</v>
      </c>
      <c r="BE80" s="136">
        <f t="shared" si="136"/>
        <v>5.2008091258499478E-2</v>
      </c>
      <c r="BF80" s="73">
        <f t="shared" si="133"/>
        <v>-25248631.239999998</v>
      </c>
      <c r="BG80" s="73">
        <f t="shared" si="137"/>
        <v>1568050.3491999998</v>
      </c>
      <c r="BH80" s="73">
        <f t="shared" si="137"/>
        <v>1555150.2492</v>
      </c>
      <c r="BI80" s="73">
        <f t="shared" si="139"/>
        <v>1291992.1472</v>
      </c>
      <c r="BJ80" s="73">
        <f t="shared" si="140"/>
        <v>28570.883159999968</v>
      </c>
      <c r="BK80" s="73">
        <f t="shared" si="140"/>
        <v>1514881.1938391998</v>
      </c>
      <c r="BL80" s="73">
        <f t="shared" si="140"/>
        <v>1722223.2456519837</v>
      </c>
      <c r="BM80" s="73">
        <f t="shared" si="140"/>
        <v>1707980.4928826233</v>
      </c>
      <c r="BN80" s="73">
        <f t="shared" si="140"/>
        <v>1693452.8850578757</v>
      </c>
      <c r="BO80" s="73">
        <f t="shared" si="140"/>
        <v>1678634.7250766333</v>
      </c>
      <c r="BP80" s="137">
        <f t="shared" si="140"/>
        <v>25541643.450659752</v>
      </c>
      <c r="BQ80" s="73" t="str">
        <f t="shared" si="135"/>
        <v/>
      </c>
      <c r="BR80" s="73" t="str">
        <f t="shared" si="135"/>
        <v/>
      </c>
      <c r="BS80" s="73" t="str">
        <f t="shared" si="135"/>
        <v/>
      </c>
      <c r="BT80" s="73" t="str">
        <f t="shared" si="135"/>
        <v/>
      </c>
      <c r="BU80" s="73" t="str">
        <f t="shared" si="135"/>
        <v/>
      </c>
      <c r="BV80" s="165"/>
      <c r="BY80" s="452" t="s">
        <v>321</v>
      </c>
      <c r="BZ80" s="449"/>
      <c r="CA80" s="449"/>
      <c r="CB80" s="449"/>
      <c r="CC80" s="449"/>
      <c r="CD80" s="449"/>
      <c r="CE80" s="449"/>
      <c r="CF80" s="449"/>
      <c r="CG80" s="449"/>
      <c r="CH80" s="449"/>
      <c r="CI80" s="449"/>
      <c r="CJ80" s="449"/>
      <c r="CK80" s="449"/>
      <c r="CL80" s="449"/>
      <c r="CM80" s="449"/>
      <c r="CN80" s="449"/>
      <c r="CO80" s="449"/>
      <c r="CP80" s="449"/>
      <c r="CQ80" s="449"/>
      <c r="CR80" s="449"/>
      <c r="CS80" s="449"/>
      <c r="CT80" s="449"/>
    </row>
    <row r="81" spans="1:98" ht="16.5">
      <c r="Y81" s="807" t="s">
        <v>233</v>
      </c>
      <c r="Z81" s="260"/>
      <c r="AA81" s="69">
        <f>SUM(AA77:AA80)</f>
        <v>0.5</v>
      </c>
      <c r="AB81" s="198"/>
      <c r="AF81" s="165"/>
      <c r="AG81" s="165"/>
      <c r="AH81" s="165"/>
      <c r="AI81" s="400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381"/>
      <c r="BA81" s="165"/>
      <c r="BB81" s="165"/>
      <c r="BC81" s="165"/>
      <c r="BD81" s="827" t="str">
        <f>BQ68</f>
        <v/>
      </c>
      <c r="BE81" s="136" t="str">
        <f t="shared" si="136"/>
        <v/>
      </c>
      <c r="BF81" s="73" t="str">
        <f t="shared" ref="BF81:BP85" si="141">IF(OR(BF$67="",$AT81=""),"",(BF$67&lt;=$AT81)*(-BF$13+BF$24)+(BF$67=$AT81)*BF$33)</f>
        <v/>
      </c>
      <c r="BG81" s="73" t="str">
        <f t="shared" si="141"/>
        <v/>
      </c>
      <c r="BH81" s="73" t="str">
        <f t="shared" si="141"/>
        <v/>
      </c>
      <c r="BI81" s="73" t="str">
        <f t="shared" si="141"/>
        <v/>
      </c>
      <c r="BJ81" s="73" t="str">
        <f t="shared" si="141"/>
        <v/>
      </c>
      <c r="BK81" s="73" t="str">
        <f t="shared" si="141"/>
        <v/>
      </c>
      <c r="BL81" s="73" t="str">
        <f t="shared" si="141"/>
        <v/>
      </c>
      <c r="BM81" s="73" t="str">
        <f t="shared" si="141"/>
        <v/>
      </c>
      <c r="BN81" s="73" t="str">
        <f t="shared" si="141"/>
        <v/>
      </c>
      <c r="BO81" s="73" t="str">
        <f t="shared" si="141"/>
        <v/>
      </c>
      <c r="BP81" s="73" t="str">
        <f t="shared" si="141"/>
        <v/>
      </c>
      <c r="BQ81" s="73" t="str">
        <f t="shared" si="135"/>
        <v/>
      </c>
      <c r="BR81" s="73" t="str">
        <f t="shared" si="135"/>
        <v/>
      </c>
      <c r="BS81" s="73" t="str">
        <f t="shared" si="135"/>
        <v/>
      </c>
      <c r="BT81" s="73" t="str">
        <f t="shared" si="135"/>
        <v/>
      </c>
      <c r="BU81" s="73" t="str">
        <f t="shared" si="135"/>
        <v/>
      </c>
      <c r="BV81" s="165"/>
      <c r="BY81" s="452" t="str">
        <f>"Total Distributions ("&amp;BY69&amp;")"</f>
        <v>Total Distributions (Tier 2)</v>
      </c>
      <c r="BZ81" s="449"/>
      <c r="CA81" s="449"/>
      <c r="CB81" s="449"/>
      <c r="CC81" s="449"/>
      <c r="CD81" s="449"/>
      <c r="CE81" s="449"/>
      <c r="CF81" s="449"/>
      <c r="CG81" s="449"/>
      <c r="CH81" s="449"/>
      <c r="CI81" s="449"/>
      <c r="CJ81" s="449"/>
      <c r="CK81" s="449"/>
      <c r="CL81" s="449"/>
      <c r="CM81" s="449"/>
      <c r="CN81" s="449"/>
      <c r="CO81" s="449"/>
      <c r="CP81" s="449"/>
      <c r="CQ81" s="449"/>
      <c r="CR81" s="449"/>
      <c r="CS81" s="449"/>
      <c r="CT81" s="449"/>
    </row>
    <row r="82" spans="1:98" ht="16.5">
      <c r="A82" s="172"/>
      <c r="B82" s="173" t="s">
        <v>1</v>
      </c>
      <c r="C82" s="176"/>
      <c r="D82" s="173" t="s">
        <v>1</v>
      </c>
      <c r="F82" s="332"/>
      <c r="G82" s="332"/>
      <c r="H82" s="332"/>
      <c r="I82" s="332" t="s">
        <v>1</v>
      </c>
      <c r="J82" s="332" t="s">
        <v>1</v>
      </c>
      <c r="K82" s="332" t="s">
        <v>1</v>
      </c>
      <c r="L82" s="332" t="s">
        <v>1</v>
      </c>
      <c r="M82" s="332" t="s">
        <v>1</v>
      </c>
      <c r="N82" s="332" t="s">
        <v>1</v>
      </c>
      <c r="O82" s="173" t="s">
        <v>1</v>
      </c>
      <c r="Y82" s="807"/>
      <c r="Z82" s="260"/>
      <c r="AA82" s="69"/>
      <c r="AB82" s="198"/>
      <c r="AF82" s="165"/>
      <c r="AG82" s="165"/>
      <c r="AH82" s="165"/>
      <c r="AI82" s="400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381"/>
      <c r="BA82" s="165"/>
      <c r="BB82" s="165"/>
      <c r="BC82" s="165"/>
      <c r="BD82" s="827" t="str">
        <f>BR68</f>
        <v/>
      </c>
      <c r="BE82" s="136" t="str">
        <f t="shared" si="136"/>
        <v/>
      </c>
      <c r="BF82" s="73" t="str">
        <f t="shared" si="141"/>
        <v/>
      </c>
      <c r="BG82" s="73" t="str">
        <f t="shared" si="141"/>
        <v/>
      </c>
      <c r="BH82" s="73" t="str">
        <f t="shared" si="141"/>
        <v/>
      </c>
      <c r="BI82" s="73" t="str">
        <f t="shared" si="141"/>
        <v/>
      </c>
      <c r="BJ82" s="73" t="str">
        <f t="shared" si="141"/>
        <v/>
      </c>
      <c r="BK82" s="73" t="str">
        <f t="shared" si="141"/>
        <v/>
      </c>
      <c r="BL82" s="73" t="str">
        <f t="shared" si="141"/>
        <v/>
      </c>
      <c r="BM82" s="73" t="str">
        <f t="shared" si="141"/>
        <v/>
      </c>
      <c r="BN82" s="73" t="str">
        <f t="shared" si="141"/>
        <v/>
      </c>
      <c r="BO82" s="73" t="str">
        <f t="shared" si="141"/>
        <v/>
      </c>
      <c r="BP82" s="73" t="str">
        <f t="shared" si="141"/>
        <v/>
      </c>
      <c r="BQ82" s="73" t="str">
        <f t="shared" si="135"/>
        <v/>
      </c>
      <c r="BR82" s="73" t="str">
        <f t="shared" si="135"/>
        <v/>
      </c>
      <c r="BS82" s="73" t="str">
        <f t="shared" si="135"/>
        <v/>
      </c>
      <c r="BT82" s="73" t="str">
        <f t="shared" si="135"/>
        <v/>
      </c>
      <c r="BU82" s="73" t="str">
        <f t="shared" si="135"/>
        <v/>
      </c>
      <c r="BV82" s="165"/>
      <c r="BY82" s="452" t="s">
        <v>328</v>
      </c>
      <c r="BZ82" s="449"/>
      <c r="CA82" s="449"/>
      <c r="CB82" s="449"/>
      <c r="CC82" s="449"/>
      <c r="CD82" s="449"/>
      <c r="CE82" s="449"/>
      <c r="CF82" s="449"/>
      <c r="CG82" s="449"/>
      <c r="CH82" s="449"/>
      <c r="CI82" s="449"/>
      <c r="CJ82" s="449"/>
      <c r="CK82" s="449"/>
      <c r="CL82" s="449"/>
      <c r="CM82" s="449"/>
      <c r="CN82" s="449"/>
      <c r="CO82" s="449"/>
      <c r="CP82" s="449"/>
      <c r="CQ82" s="449"/>
      <c r="CR82" s="449"/>
      <c r="CS82" s="449"/>
      <c r="CT82" s="449"/>
    </row>
    <row r="83" spans="1:98" ht="16.5">
      <c r="A83" s="333"/>
      <c r="B83" s="332" t="s">
        <v>1</v>
      </c>
      <c r="C83" s="178"/>
      <c r="D83" s="332" t="s">
        <v>7</v>
      </c>
      <c r="E83" s="332"/>
      <c r="F83" s="332"/>
      <c r="G83" s="332"/>
      <c r="H83" s="332"/>
      <c r="I83" s="332" t="s">
        <v>1</v>
      </c>
      <c r="J83" s="332" t="s">
        <v>1</v>
      </c>
      <c r="K83" s="332" t="s">
        <v>1</v>
      </c>
      <c r="L83" s="332" t="s">
        <v>1</v>
      </c>
      <c r="M83" s="332" t="s">
        <v>1</v>
      </c>
      <c r="N83" s="332" t="s">
        <v>1</v>
      </c>
      <c r="O83" s="332" t="s">
        <v>1</v>
      </c>
      <c r="Y83" s="813" t="s">
        <v>237</v>
      </c>
      <c r="Z83" s="260"/>
      <c r="AA83" s="158">
        <f>AA75-AA81</f>
        <v>31.361000000000004</v>
      </c>
      <c r="AB83" s="198"/>
      <c r="AF83" s="165"/>
      <c r="AG83" s="165"/>
      <c r="AH83" s="165"/>
      <c r="AI83" s="400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381"/>
      <c r="BA83" s="165"/>
      <c r="BB83" s="165"/>
      <c r="BC83" s="165"/>
      <c r="BD83" s="827" t="str">
        <f>BS68</f>
        <v/>
      </c>
      <c r="BE83" s="136" t="str">
        <f t="shared" si="136"/>
        <v/>
      </c>
      <c r="BF83" s="73" t="str">
        <f t="shared" si="141"/>
        <v/>
      </c>
      <c r="BG83" s="73" t="str">
        <f t="shared" si="141"/>
        <v/>
      </c>
      <c r="BH83" s="73" t="str">
        <f t="shared" si="141"/>
        <v/>
      </c>
      <c r="BI83" s="73" t="str">
        <f t="shared" si="141"/>
        <v/>
      </c>
      <c r="BJ83" s="73" t="str">
        <f t="shared" si="141"/>
        <v/>
      </c>
      <c r="BK83" s="73" t="str">
        <f t="shared" si="141"/>
        <v/>
      </c>
      <c r="BL83" s="73" t="str">
        <f t="shared" si="141"/>
        <v/>
      </c>
      <c r="BM83" s="73" t="str">
        <f t="shared" si="141"/>
        <v/>
      </c>
      <c r="BN83" s="73" t="str">
        <f t="shared" si="141"/>
        <v/>
      </c>
      <c r="BO83" s="73" t="str">
        <f t="shared" si="141"/>
        <v/>
      </c>
      <c r="BP83" s="73" t="str">
        <f t="shared" si="141"/>
        <v/>
      </c>
      <c r="BQ83" s="73" t="str">
        <f t="shared" si="135"/>
        <v/>
      </c>
      <c r="BR83" s="73" t="str">
        <f t="shared" si="135"/>
        <v/>
      </c>
      <c r="BS83" s="73" t="str">
        <f t="shared" si="135"/>
        <v/>
      </c>
      <c r="BT83" s="73" t="str">
        <f t="shared" si="135"/>
        <v/>
      </c>
      <c r="BU83" s="73" t="str">
        <f t="shared" si="135"/>
        <v/>
      </c>
      <c r="BV83" s="165"/>
      <c r="BY83" s="452"/>
      <c r="BZ83" s="449"/>
      <c r="CA83" s="449"/>
      <c r="CB83" s="449"/>
      <c r="CC83" s="449"/>
      <c r="CD83" s="449"/>
      <c r="CE83" s="449"/>
      <c r="CF83" s="449"/>
      <c r="CG83" s="449"/>
      <c r="CH83" s="449"/>
      <c r="CI83" s="449"/>
      <c r="CJ83" s="449"/>
      <c r="CK83" s="449"/>
      <c r="CL83" s="449"/>
      <c r="CM83" s="449"/>
      <c r="CN83" s="449"/>
      <c r="CO83" s="449"/>
      <c r="CP83" s="449"/>
      <c r="CQ83" s="449"/>
      <c r="CR83" s="449"/>
      <c r="CS83" s="449"/>
      <c r="CT83" s="449"/>
    </row>
    <row r="84" spans="1:98" ht="16.5">
      <c r="Y84" s="790"/>
      <c r="Z84" s="260"/>
      <c r="AA84" s="260"/>
      <c r="AB84" s="198"/>
      <c r="AF84" s="165"/>
      <c r="AG84" s="165"/>
      <c r="AH84" s="165"/>
      <c r="AI84" s="400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381"/>
      <c r="BA84" s="165"/>
      <c r="BB84" s="165"/>
      <c r="BC84" s="165"/>
      <c r="BD84" s="827" t="str">
        <f>BT68</f>
        <v/>
      </c>
      <c r="BE84" s="136" t="str">
        <f t="shared" si="136"/>
        <v/>
      </c>
      <c r="BF84" s="73" t="str">
        <f t="shared" si="141"/>
        <v/>
      </c>
      <c r="BG84" s="73" t="str">
        <f t="shared" si="141"/>
        <v/>
      </c>
      <c r="BH84" s="73" t="str">
        <f t="shared" si="141"/>
        <v/>
      </c>
      <c r="BI84" s="73" t="str">
        <f t="shared" si="141"/>
        <v/>
      </c>
      <c r="BJ84" s="73" t="str">
        <f t="shared" si="141"/>
        <v/>
      </c>
      <c r="BK84" s="73" t="str">
        <f t="shared" si="141"/>
        <v/>
      </c>
      <c r="BL84" s="73" t="str">
        <f t="shared" si="141"/>
        <v/>
      </c>
      <c r="BM84" s="73" t="str">
        <f t="shared" si="141"/>
        <v/>
      </c>
      <c r="BN84" s="73" t="str">
        <f t="shared" si="141"/>
        <v/>
      </c>
      <c r="BO84" s="73" t="str">
        <f t="shared" si="141"/>
        <v/>
      </c>
      <c r="BP84" s="73" t="str">
        <f t="shared" si="141"/>
        <v/>
      </c>
      <c r="BQ84" s="73" t="str">
        <f t="shared" si="135"/>
        <v/>
      </c>
      <c r="BR84" s="73" t="str">
        <f t="shared" si="135"/>
        <v/>
      </c>
      <c r="BS84" s="73" t="str">
        <f t="shared" si="135"/>
        <v/>
      </c>
      <c r="BT84" s="73" t="str">
        <f t="shared" si="135"/>
        <v/>
      </c>
      <c r="BU84" s="73" t="str">
        <f t="shared" si="135"/>
        <v/>
      </c>
      <c r="BV84" s="165"/>
      <c r="BY84" s="466" t="s">
        <v>339</v>
      </c>
      <c r="BZ84" s="449"/>
      <c r="CA84" s="449"/>
      <c r="CB84" s="449"/>
      <c r="CC84" s="621" t="str">
        <f t="shared" ref="CC84:CM84" si="142">CC69</f>
        <v>Year 0</v>
      </c>
      <c r="CD84" s="621" t="str">
        <f t="shared" si="142"/>
        <v>Year 1</v>
      </c>
      <c r="CE84" s="621" t="str">
        <f t="shared" si="142"/>
        <v>Year 2</v>
      </c>
      <c r="CF84" s="621" t="str">
        <f t="shared" si="142"/>
        <v>Year 3</v>
      </c>
      <c r="CG84" s="621" t="str">
        <f t="shared" si="142"/>
        <v>Year 4</v>
      </c>
      <c r="CH84" s="621" t="str">
        <f t="shared" si="142"/>
        <v>Year 5</v>
      </c>
      <c r="CI84" s="621" t="str">
        <f t="shared" si="142"/>
        <v>Year 6</v>
      </c>
      <c r="CJ84" s="621" t="str">
        <f t="shared" si="142"/>
        <v>Year 7</v>
      </c>
      <c r="CK84" s="621" t="str">
        <f t="shared" si="142"/>
        <v>Year 8</v>
      </c>
      <c r="CL84" s="621" t="str">
        <f t="shared" si="142"/>
        <v>Year 9</v>
      </c>
      <c r="CM84" s="621" t="str">
        <f t="shared" si="142"/>
        <v>Year 10</v>
      </c>
      <c r="CN84" s="449" t="s">
        <v>1</v>
      </c>
      <c r="CO84" s="633" t="str">
        <f>CO$20</f>
        <v> </v>
      </c>
      <c r="CP84" s="633" t="str">
        <f>CP$20</f>
        <v> </v>
      </c>
      <c r="CQ84" s="633" t="str">
        <f>CQ$20</f>
        <v> </v>
      </c>
      <c r="CR84" s="633" t="str">
        <f>CR$20</f>
        <v> </v>
      </c>
      <c r="CS84" s="449"/>
      <c r="CT84" s="449"/>
    </row>
    <row r="85" spans="1:98" ht="16.5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Y85" s="253"/>
      <c r="Z85" s="253"/>
      <c r="AA85" s="253"/>
      <c r="AF85" s="165"/>
      <c r="AG85" s="165"/>
      <c r="AH85" s="165"/>
      <c r="AI85" s="400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381"/>
      <c r="BA85" s="165"/>
      <c r="BB85" s="165"/>
      <c r="BC85" s="165"/>
      <c r="BD85" s="827" t="str">
        <f>BU68</f>
        <v/>
      </c>
      <c r="BE85" s="136" t="str">
        <f t="shared" si="136"/>
        <v/>
      </c>
      <c r="BF85" s="73" t="str">
        <f t="shared" si="141"/>
        <v/>
      </c>
      <c r="BG85" s="73" t="str">
        <f t="shared" si="141"/>
        <v/>
      </c>
      <c r="BH85" s="73" t="str">
        <f t="shared" si="141"/>
        <v/>
      </c>
      <c r="BI85" s="73" t="str">
        <f t="shared" si="141"/>
        <v/>
      </c>
      <c r="BJ85" s="73" t="str">
        <f t="shared" si="141"/>
        <v/>
      </c>
      <c r="BK85" s="73" t="str">
        <f t="shared" si="141"/>
        <v/>
      </c>
      <c r="BL85" s="73" t="str">
        <f t="shared" si="141"/>
        <v/>
      </c>
      <c r="BM85" s="73" t="str">
        <f t="shared" si="141"/>
        <v/>
      </c>
      <c r="BN85" s="73" t="str">
        <f t="shared" si="141"/>
        <v/>
      </c>
      <c r="BO85" s="73" t="str">
        <f t="shared" si="141"/>
        <v/>
      </c>
      <c r="BP85" s="73" t="str">
        <f t="shared" si="141"/>
        <v/>
      </c>
      <c r="BQ85" s="73" t="str">
        <f>IF(OR(BQ$67="",$AT85=""),"",(BQ$67&lt;=$AT85)*(-BQ$13+BQ$24)+(BQ$67=$AT85)*BQ$33)</f>
        <v/>
      </c>
      <c r="BR85" s="73" t="str">
        <f>IF(OR(BR$67="",$AT85=""),"",(BR$67&lt;=$AT85)*(-BR$13+BR$24)+(BR$67=$AT85)*BR$33)</f>
        <v/>
      </c>
      <c r="BS85" s="73" t="str">
        <f>IF(OR(BS$67="",$AT85=""),"",(BS$67&lt;=$AT85)*(-BS$13+BS$24)+(BS$67=$AT85)*BS$33)</f>
        <v/>
      </c>
      <c r="BT85" s="73" t="str">
        <f>IF(OR(BT$67="",$AT85=""),"",(BT$67&lt;=$AT85)*(-BT$13+BT$24)+(BT$67=$AT85)*BT$33)</f>
        <v/>
      </c>
      <c r="BU85" s="73" t="str">
        <f t="shared" ref="BU85" si="143">IF(OR(BU$67="",$AT85=""),"",(BU$67&lt;=$AT85)*(-BU$13+BU$24)+(BU$67=$AT85)*BU$33)</f>
        <v/>
      </c>
      <c r="BV85" s="165"/>
      <c r="BY85" s="634" t="s">
        <v>305</v>
      </c>
      <c r="BZ85" s="635" t="str">
        <f>BZ19</f>
        <v> </v>
      </c>
      <c r="CA85" s="449"/>
      <c r="CB85" s="449"/>
      <c r="CC85" s="449"/>
      <c r="CD85" s="449"/>
      <c r="CE85" s="449"/>
      <c r="CF85" s="449"/>
      <c r="CG85" s="449"/>
      <c r="CH85" s="449"/>
      <c r="CI85" s="449"/>
      <c r="CJ85" s="449"/>
      <c r="CK85" s="449"/>
      <c r="CL85" s="449"/>
      <c r="CM85" s="449"/>
      <c r="CN85" s="449"/>
      <c r="CO85" s="449"/>
      <c r="CP85" s="449"/>
      <c r="CQ85" s="449"/>
      <c r="CR85" s="449"/>
      <c r="CS85" s="449"/>
      <c r="CT85" s="449"/>
    </row>
    <row r="86" spans="1:98" ht="16.5">
      <c r="A86" s="334" t="s">
        <v>340</v>
      </c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Y86" s="253"/>
      <c r="Z86" s="253"/>
      <c r="AA86" s="253"/>
      <c r="AF86" s="165"/>
      <c r="AG86" s="165"/>
      <c r="AH86" s="165"/>
      <c r="AI86" s="400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381"/>
      <c r="BA86" s="165"/>
      <c r="BB86" s="165"/>
      <c r="BC86" s="165"/>
      <c r="BD86" s="807"/>
      <c r="BE86" s="151"/>
      <c r="BF86" s="151"/>
      <c r="BG86" s="151"/>
      <c r="BH86" s="151"/>
      <c r="BI86" s="151"/>
      <c r="BJ86" s="151"/>
      <c r="BK86" s="151"/>
      <c r="BL86" s="151"/>
      <c r="BM86" s="151"/>
      <c r="BN86" s="151"/>
      <c r="BO86" s="151"/>
      <c r="BP86" s="151"/>
      <c r="BQ86" s="151"/>
      <c r="BR86" s="151"/>
      <c r="BS86" s="151"/>
      <c r="BT86" s="151"/>
      <c r="BU86" s="151"/>
      <c r="BV86" s="165"/>
      <c r="BY86" s="452" t="s">
        <v>306</v>
      </c>
      <c r="BZ86" s="449"/>
      <c r="CA86" s="449"/>
      <c r="CB86" s="449"/>
      <c r="CC86" s="449"/>
      <c r="CD86" s="449"/>
      <c r="CE86" s="449"/>
      <c r="CF86" s="449"/>
      <c r="CG86" s="449"/>
      <c r="CH86" s="449"/>
      <c r="CI86" s="449"/>
      <c r="CJ86" s="449"/>
      <c r="CK86" s="449"/>
      <c r="CL86" s="449"/>
      <c r="CM86" s="449"/>
      <c r="CN86" s="449"/>
      <c r="CO86" s="449"/>
      <c r="CP86" s="449"/>
      <c r="CQ86" s="449"/>
      <c r="CR86" s="449"/>
      <c r="CS86" s="449"/>
      <c r="CT86" s="449"/>
    </row>
    <row r="87" spans="1:98" ht="16.5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164"/>
      <c r="U87" s="164"/>
      <c r="Y87" s="253"/>
      <c r="Z87" s="253"/>
      <c r="AA87" s="253"/>
      <c r="AF87" s="165"/>
      <c r="AG87" s="165"/>
      <c r="AH87" s="165"/>
      <c r="AI87" s="400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381"/>
      <c r="BA87" s="165"/>
      <c r="BB87" s="165"/>
      <c r="BC87" s="165"/>
      <c r="BD87" s="825" t="s">
        <v>341</v>
      </c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165"/>
      <c r="BY87" s="452" t="s">
        <v>342</v>
      </c>
      <c r="BZ87" s="449"/>
      <c r="CA87" s="449"/>
      <c r="CB87" s="449"/>
      <c r="CC87" s="449"/>
      <c r="CD87" s="449"/>
      <c r="CE87" s="449"/>
      <c r="CF87" s="449"/>
      <c r="CG87" s="449"/>
      <c r="CH87" s="449"/>
      <c r="CI87" s="449"/>
      <c r="CJ87" s="449"/>
      <c r="CK87" s="449"/>
      <c r="CL87" s="449"/>
      <c r="CM87" s="449"/>
      <c r="CN87" s="449"/>
      <c r="CO87" s="449"/>
      <c r="CP87" s="449"/>
      <c r="CQ87" s="449"/>
      <c r="CR87" s="449"/>
      <c r="CS87" s="449"/>
      <c r="CT87" s="449"/>
    </row>
    <row r="88" spans="1:98" ht="16.5">
      <c r="A88" s="334" t="s">
        <v>343</v>
      </c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225"/>
      <c r="O88" s="225"/>
      <c r="P88" s="225"/>
      <c r="Q88" s="225"/>
      <c r="R88" s="225"/>
      <c r="S88" s="225"/>
      <c r="T88" s="164"/>
      <c r="U88" s="164"/>
      <c r="AF88" s="165"/>
      <c r="AG88" s="165"/>
      <c r="AH88" s="165"/>
      <c r="AI88" s="400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381"/>
      <c r="BA88" s="165"/>
      <c r="BB88" s="165"/>
      <c r="BC88" s="165"/>
      <c r="BD88" s="826" t="s">
        <v>330</v>
      </c>
      <c r="BE88" s="59"/>
      <c r="BF88" s="65">
        <f t="shared" ref="BF88:BU88" si="144">IF(BF$42="","",BF$7)</f>
        <v>0</v>
      </c>
      <c r="BG88" s="65">
        <f t="shared" ref="BG88:BP88" si="145">BG8</f>
        <v>1</v>
      </c>
      <c r="BH88" s="65">
        <f t="shared" si="145"/>
        <v>2</v>
      </c>
      <c r="BI88" s="65">
        <f t="shared" si="145"/>
        <v>3</v>
      </c>
      <c r="BJ88" s="65">
        <f t="shared" si="145"/>
        <v>4</v>
      </c>
      <c r="BK88" s="65">
        <f t="shared" si="145"/>
        <v>5</v>
      </c>
      <c r="BL88" s="65">
        <f t="shared" si="145"/>
        <v>6</v>
      </c>
      <c r="BM88" s="65">
        <f t="shared" si="145"/>
        <v>7</v>
      </c>
      <c r="BN88" s="65">
        <f t="shared" si="145"/>
        <v>8</v>
      </c>
      <c r="BO88" s="65">
        <f t="shared" si="145"/>
        <v>9</v>
      </c>
      <c r="BP88" s="65">
        <f t="shared" si="145"/>
        <v>10</v>
      </c>
      <c r="BQ88" s="65" t="str">
        <f t="shared" si="144"/>
        <v/>
      </c>
      <c r="BR88" s="65" t="str">
        <f t="shared" si="144"/>
        <v/>
      </c>
      <c r="BS88" s="65" t="str">
        <f t="shared" si="144"/>
        <v/>
      </c>
      <c r="BT88" s="65" t="str">
        <f t="shared" si="144"/>
        <v/>
      </c>
      <c r="BU88" s="65" t="str">
        <f t="shared" si="144"/>
        <v/>
      </c>
      <c r="BV88" s="165"/>
      <c r="BY88" s="452" t="s">
        <v>311</v>
      </c>
      <c r="BZ88" s="449"/>
      <c r="CA88" s="449"/>
      <c r="CB88" s="449"/>
      <c r="CC88" s="449"/>
      <c r="CD88" s="449"/>
      <c r="CE88" s="449"/>
      <c r="CF88" s="449"/>
      <c r="CG88" s="449"/>
      <c r="CH88" s="449"/>
      <c r="CI88" s="449"/>
      <c r="CJ88" s="449"/>
      <c r="CK88" s="449"/>
      <c r="CL88" s="449"/>
      <c r="CM88" s="449"/>
      <c r="CN88" s="449"/>
      <c r="CO88" s="449"/>
      <c r="CP88" s="449"/>
      <c r="CQ88" s="449"/>
      <c r="CR88" s="449"/>
      <c r="CS88" s="449"/>
      <c r="CT88" s="449"/>
    </row>
    <row r="89" spans="1:98" ht="49.5">
      <c r="A89" s="342" t="s">
        <v>344</v>
      </c>
      <c r="B89" s="343" t="s">
        <v>345</v>
      </c>
      <c r="C89" s="342" t="s">
        <v>346</v>
      </c>
      <c r="D89" s="342" t="s">
        <v>88</v>
      </c>
      <c r="E89" s="55" t="s">
        <v>347</v>
      </c>
      <c r="F89" s="342" t="s">
        <v>348</v>
      </c>
      <c r="G89" s="55" t="s">
        <v>349</v>
      </c>
      <c r="H89" s="342" t="s">
        <v>350</v>
      </c>
      <c r="I89" s="342" t="s">
        <v>351</v>
      </c>
      <c r="J89" s="342" t="s">
        <v>352</v>
      </c>
      <c r="K89" s="342" t="s">
        <v>353</v>
      </c>
      <c r="L89" s="342" t="s">
        <v>354</v>
      </c>
      <c r="M89" s="342" t="s">
        <v>355</v>
      </c>
      <c r="N89" s="342" t="s">
        <v>356</v>
      </c>
      <c r="O89" s="342" t="s">
        <v>357</v>
      </c>
      <c r="P89" s="342" t="s">
        <v>358</v>
      </c>
      <c r="Q89" s="343" t="s">
        <v>359</v>
      </c>
      <c r="R89" s="225"/>
      <c r="S89" s="225"/>
      <c r="T89" s="164"/>
      <c r="U89" s="164"/>
      <c r="Y89" s="733"/>
      <c r="Z89" s="177"/>
      <c r="AA89" s="177"/>
      <c r="AB89" s="177"/>
      <c r="AC89" s="177"/>
      <c r="AD89" s="177"/>
      <c r="AE89" s="177"/>
      <c r="AF89" s="177"/>
      <c r="AI89" s="400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381"/>
      <c r="BA89" s="165"/>
      <c r="BB89" s="165"/>
      <c r="BC89" s="165"/>
      <c r="BD89" s="807" t="s">
        <v>4</v>
      </c>
      <c r="BE89" s="59"/>
      <c r="BF89" s="59"/>
      <c r="BG89" s="136" t="str">
        <f t="shared" ref="BG89:BU89" si="146">IF(BG88="","",IFERROR(IRR(BG90:BG105),""))</f>
        <v/>
      </c>
      <c r="BH89" s="136" t="str">
        <f t="shared" si="146"/>
        <v/>
      </c>
      <c r="BI89" s="136" t="str">
        <f t="shared" si="146"/>
        <v/>
      </c>
      <c r="BJ89" s="136">
        <f t="shared" si="146"/>
        <v>-0.10415021859262608</v>
      </c>
      <c r="BK89" s="136" t="str">
        <f t="shared" si="146"/>
        <v/>
      </c>
      <c r="BL89" s="136" t="str">
        <f t="shared" si="146"/>
        <v/>
      </c>
      <c r="BM89" s="136" t="str">
        <f t="shared" si="146"/>
        <v/>
      </c>
      <c r="BN89" s="136" t="str">
        <f t="shared" si="146"/>
        <v/>
      </c>
      <c r="BO89" s="136" t="str">
        <f t="shared" si="146"/>
        <v/>
      </c>
      <c r="BP89" s="136" t="str">
        <f t="shared" si="146"/>
        <v/>
      </c>
      <c r="BQ89" s="136" t="str">
        <f t="shared" si="146"/>
        <v/>
      </c>
      <c r="BR89" s="136" t="str">
        <f t="shared" si="146"/>
        <v/>
      </c>
      <c r="BS89" s="136" t="str">
        <f t="shared" si="146"/>
        <v/>
      </c>
      <c r="BT89" s="136" t="str">
        <f t="shared" si="146"/>
        <v/>
      </c>
      <c r="BU89" s="136" t="str">
        <f t="shared" si="146"/>
        <v/>
      </c>
      <c r="BV89" s="165"/>
      <c r="BY89" s="452" t="s">
        <v>338</v>
      </c>
      <c r="BZ89" s="449"/>
      <c r="CA89" s="449"/>
      <c r="CB89" s="449"/>
      <c r="CC89" s="449"/>
      <c r="CD89" s="449"/>
      <c r="CE89" s="449"/>
      <c r="CF89" s="449"/>
      <c r="CG89" s="449"/>
      <c r="CH89" s="449"/>
      <c r="CI89" s="449"/>
      <c r="CJ89" s="449"/>
      <c r="CK89" s="449"/>
      <c r="CL89" s="449"/>
      <c r="CM89" s="449"/>
      <c r="CN89" s="449"/>
      <c r="CO89" s="449"/>
      <c r="CP89" s="449"/>
      <c r="CQ89" s="449"/>
      <c r="CR89" s="449"/>
      <c r="CS89" s="449"/>
      <c r="CT89" s="449"/>
    </row>
    <row r="90" spans="1:98" ht="16.5">
      <c r="A90" s="225">
        <v>1</v>
      </c>
      <c r="B90" s="225" t="s">
        <v>360</v>
      </c>
      <c r="C90" s="225" t="s">
        <v>361</v>
      </c>
      <c r="D90" s="225" t="s">
        <v>362</v>
      </c>
      <c r="E90" s="335">
        <v>53766.5</v>
      </c>
      <c r="F90" s="441">
        <f>E90*12</f>
        <v>645198</v>
      </c>
      <c r="G90" s="335">
        <v>65183.166666666664</v>
      </c>
      <c r="H90" s="441">
        <f>G90*12</f>
        <v>782198</v>
      </c>
      <c r="I90" s="335">
        <v>65183.166666666664</v>
      </c>
      <c r="J90" s="336">
        <f>I90*12</f>
        <v>782198</v>
      </c>
      <c r="K90" s="337">
        <v>45839</v>
      </c>
      <c r="L90" s="338">
        <v>49856</v>
      </c>
      <c r="M90" s="339">
        <v>120</v>
      </c>
      <c r="N90" s="225" t="s">
        <v>363</v>
      </c>
      <c r="O90" s="335">
        <f>I90</f>
        <v>65183.166666666664</v>
      </c>
      <c r="P90" s="340">
        <v>20000</v>
      </c>
      <c r="Q90" s="225"/>
      <c r="R90" s="225"/>
      <c r="S90" s="225"/>
      <c r="T90" s="164"/>
      <c r="U90" s="164"/>
      <c r="AB90" s="165"/>
      <c r="AC90" s="165"/>
      <c r="AD90" s="165"/>
      <c r="AI90" s="400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381"/>
      <c r="BA90" s="165"/>
      <c r="BB90" s="165"/>
      <c r="BC90" s="165"/>
      <c r="BD90" s="827">
        <f>BF88</f>
        <v>0</v>
      </c>
      <c r="BE90" s="56"/>
      <c r="BF90" s="73">
        <f t="shared" ref="BF90:BF100" si="147">$BF$18-$BF$14</f>
        <v>-9477435.9429999981</v>
      </c>
      <c r="BG90" s="71" t="str">
        <f t="shared" ref="BG90:BU90" si="148">IF(OR(BG$67="",$AT90=""),"",(BG$67&lt;=$AT90)*(-BG$13+BG$17+BG$26)+(BG$67=$AT90)*(BG$33-BG$36))</f>
        <v/>
      </c>
      <c r="BH90" s="71" t="str">
        <f t="shared" si="148"/>
        <v/>
      </c>
      <c r="BI90" s="71" t="str">
        <f t="shared" si="148"/>
        <v/>
      </c>
      <c r="BJ90" s="71" t="str">
        <f t="shared" si="148"/>
        <v/>
      </c>
      <c r="BK90" s="71" t="str">
        <f t="shared" si="148"/>
        <v/>
      </c>
      <c r="BL90" s="71" t="str">
        <f t="shared" si="148"/>
        <v/>
      </c>
      <c r="BM90" s="71" t="str">
        <f t="shared" si="148"/>
        <v/>
      </c>
      <c r="BN90" s="71" t="str">
        <f t="shared" si="148"/>
        <v/>
      </c>
      <c r="BO90" s="71" t="str">
        <f t="shared" si="148"/>
        <v/>
      </c>
      <c r="BP90" s="71" t="str">
        <f t="shared" si="148"/>
        <v/>
      </c>
      <c r="BQ90" s="71" t="str">
        <f t="shared" si="148"/>
        <v/>
      </c>
      <c r="BR90" s="71" t="str">
        <f t="shared" si="148"/>
        <v/>
      </c>
      <c r="BS90" s="71" t="str">
        <f t="shared" si="148"/>
        <v/>
      </c>
      <c r="BT90" s="71" t="str">
        <f t="shared" si="148"/>
        <v/>
      </c>
      <c r="BU90" s="71" t="str">
        <f t="shared" si="148"/>
        <v/>
      </c>
      <c r="BV90" s="165"/>
      <c r="BY90" s="452" t="str">
        <f>"Distributions to LP "&amp;BY84</f>
        <v>Distributions to LP Tier 3</v>
      </c>
      <c r="BZ90" s="449"/>
      <c r="CA90" s="449"/>
      <c r="CB90" s="449"/>
      <c r="CC90" s="449"/>
      <c r="CD90" s="449"/>
      <c r="CE90" s="449"/>
      <c r="CF90" s="449"/>
      <c r="CG90" s="449"/>
      <c r="CH90" s="449"/>
      <c r="CI90" s="449"/>
      <c r="CJ90" s="449"/>
      <c r="CK90" s="449"/>
      <c r="CL90" s="449"/>
      <c r="CM90" s="449"/>
      <c r="CN90" s="449"/>
      <c r="CO90" s="449"/>
      <c r="CP90" s="449"/>
      <c r="CQ90" s="449"/>
      <c r="CR90" s="449"/>
      <c r="CS90" s="449"/>
      <c r="CT90" s="449"/>
    </row>
    <row r="91" spans="1:98" ht="15.75" customHeight="1">
      <c r="A91" s="225">
        <v>2</v>
      </c>
      <c r="B91" s="225" t="s">
        <v>360</v>
      </c>
      <c r="C91" s="225" t="s">
        <v>364</v>
      </c>
      <c r="D91" s="225" t="s">
        <v>362</v>
      </c>
      <c r="E91" s="335">
        <v>26883.1</v>
      </c>
      <c r="F91" s="441">
        <f t="shared" ref="F91:F93" si="149">E91*12</f>
        <v>322597.19999999995</v>
      </c>
      <c r="G91" s="335">
        <v>26883.1</v>
      </c>
      <c r="H91" s="441">
        <f t="shared" ref="H91:H93" si="150">G91*12</f>
        <v>322597.19999999995</v>
      </c>
      <c r="I91" s="335">
        <v>26883.1</v>
      </c>
      <c r="J91" s="336">
        <f>I91*12</f>
        <v>322597.19999999995</v>
      </c>
      <c r="K91" s="337">
        <v>45839</v>
      </c>
      <c r="L91" s="338">
        <v>49856</v>
      </c>
      <c r="M91" s="339">
        <v>120</v>
      </c>
      <c r="N91" s="225" t="s">
        <v>363</v>
      </c>
      <c r="O91" s="335">
        <f>I91</f>
        <v>26883.1</v>
      </c>
      <c r="P91" s="340">
        <v>10000</v>
      </c>
      <c r="Q91" s="225"/>
      <c r="R91" s="225"/>
      <c r="S91" s="225"/>
      <c r="AB91" s="165"/>
      <c r="AC91" s="165"/>
      <c r="AD91" s="165"/>
      <c r="AI91" s="400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381"/>
      <c r="BA91" s="165"/>
      <c r="BB91" s="165"/>
      <c r="BC91" s="165"/>
      <c r="BD91" s="827">
        <f>BG88</f>
        <v>1</v>
      </c>
      <c r="BE91" s="136">
        <f t="shared" ref="BE91:BE105" si="151">IF(BD91="","",IRR(BF91:BU91))</f>
        <v>-3.9491948606446559E-2</v>
      </c>
      <c r="BF91" s="73">
        <f t="shared" si="147"/>
        <v>-9477435.9429999981</v>
      </c>
      <c r="BG91" s="73">
        <f t="shared" ref="BG91:BG100" si="152">(BG$88&lt;&gt;"") * ($BD91&lt;&gt;"") * ((BG$88&lt;=$BD91)*(-$BG$14+$BG$13+$BG$28) + (BG$88=$BD91)*($BG$34-$BG$37))</f>
        <v>9103153.529818153</v>
      </c>
      <c r="BH91" s="73">
        <f>($BG$88&lt;&gt;"") * ($BD$91&lt;&gt;"") * ((BH88&lt;=$BD$91)*(-$BG$50+$BG28) + (BH88=$BD$91)*$BG$54)</f>
        <v>0</v>
      </c>
      <c r="BI91" s="73">
        <f>($BG$88&lt;&gt;"") * ($BD$91&lt;&gt;"") * ((BI88&lt;=$BD$91)*(-$BG$50+$BG28) + (BI88=$BD$91)*$BG$54)</f>
        <v>0</v>
      </c>
      <c r="BJ91" s="73">
        <f>($BG$88&lt;&gt;"") * ($BD$91&lt;&gt;"") * ((BJ88&lt;=$BD$91)*(-$BG$50+$BG28) + (BJ88=$BD$91)*$BG$54)</f>
        <v>0</v>
      </c>
      <c r="BK91" s="73">
        <f>($BG$88&lt;&gt;"") * ($BD$91&lt;&gt;"") * ((BK88&lt;=$BD$91)*(-$BG$50+$BG28) + (BK88=$BD$91)*$BG$54)</f>
        <v>0</v>
      </c>
      <c r="BL91" s="73" t="str">
        <f t="shared" ref="BL91:BU95" si="153">IF(OR(BL$67="",$AT91=""),"",(BL$67&lt;=$AT91)*(-BL$13+BL$17+BL$26)+(BL$67=$AT91)*(BL$33-BL$36))</f>
        <v/>
      </c>
      <c r="BM91" s="73" t="str">
        <f t="shared" si="153"/>
        <v/>
      </c>
      <c r="BN91" s="73" t="str">
        <f t="shared" si="153"/>
        <v/>
      </c>
      <c r="BO91" s="73" t="str">
        <f t="shared" si="153"/>
        <v/>
      </c>
      <c r="BP91" s="73" t="str">
        <f t="shared" si="153"/>
        <v/>
      </c>
      <c r="BQ91" s="73" t="str">
        <f t="shared" si="153"/>
        <v/>
      </c>
      <c r="BR91" s="73" t="str">
        <f t="shared" si="153"/>
        <v/>
      </c>
      <c r="BS91" s="73" t="str">
        <f t="shared" si="153"/>
        <v/>
      </c>
      <c r="BT91" s="73" t="str">
        <f t="shared" si="153"/>
        <v/>
      </c>
      <c r="BU91" s="73" t="str">
        <f t="shared" si="153"/>
        <v/>
      </c>
      <c r="BV91" s="165"/>
      <c r="BY91" s="452" t="s">
        <v>314</v>
      </c>
      <c r="BZ91" s="449"/>
      <c r="CA91" s="449"/>
      <c r="CB91" s="449"/>
      <c r="CC91" s="449"/>
      <c r="CD91" s="449"/>
      <c r="CE91" s="449"/>
      <c r="CF91" s="449"/>
      <c r="CG91" s="449"/>
      <c r="CH91" s="449"/>
      <c r="CI91" s="449"/>
      <c r="CJ91" s="449"/>
      <c r="CK91" s="449"/>
      <c r="CL91" s="449"/>
      <c r="CM91" s="449"/>
      <c r="CN91" s="449"/>
      <c r="CO91" s="449"/>
      <c r="CP91" s="449"/>
      <c r="CQ91" s="449"/>
      <c r="CR91" s="449"/>
      <c r="CS91" s="449"/>
      <c r="CT91" s="449"/>
    </row>
    <row r="92" spans="1:98" ht="16.5">
      <c r="A92" s="225">
        <v>3</v>
      </c>
      <c r="B92" s="225" t="s">
        <v>360</v>
      </c>
      <c r="C92" s="225" t="s">
        <v>365</v>
      </c>
      <c r="D92" s="225" t="s">
        <v>362</v>
      </c>
      <c r="E92" s="335">
        <v>21507.1</v>
      </c>
      <c r="F92" s="441">
        <f t="shared" si="149"/>
        <v>258085.19999999998</v>
      </c>
      <c r="G92" s="335">
        <v>21507.1</v>
      </c>
      <c r="H92" s="441">
        <f t="shared" si="150"/>
        <v>258085.19999999998</v>
      </c>
      <c r="I92" s="335">
        <v>21507.1</v>
      </c>
      <c r="J92" s="336">
        <f>I92*12</f>
        <v>258085.19999999998</v>
      </c>
      <c r="K92" s="337">
        <v>45839</v>
      </c>
      <c r="L92" s="338">
        <v>49856</v>
      </c>
      <c r="M92" s="339">
        <v>120</v>
      </c>
      <c r="N92" s="225" t="s">
        <v>363</v>
      </c>
      <c r="O92" s="335">
        <f>I92</f>
        <v>21507.1</v>
      </c>
      <c r="P92" s="340">
        <v>8000</v>
      </c>
      <c r="Q92" s="225"/>
      <c r="R92" s="225"/>
      <c r="S92" s="225"/>
      <c r="AB92" s="165"/>
      <c r="AC92" s="165"/>
      <c r="AD92" s="165"/>
      <c r="AI92" s="400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381"/>
      <c r="BA92" s="165"/>
      <c r="BB92" s="165"/>
      <c r="BC92" s="165"/>
      <c r="BD92" s="827">
        <f>BH88</f>
        <v>2</v>
      </c>
      <c r="BE92" s="136">
        <f t="shared" si="151"/>
        <v>1.4695706773622197E-2</v>
      </c>
      <c r="BF92" s="73">
        <f t="shared" si="147"/>
        <v>-9477435.9429999981</v>
      </c>
      <c r="BG92" s="73">
        <f t="shared" si="152"/>
        <v>709629.5651377727</v>
      </c>
      <c r="BH92" s="73">
        <f t="shared" ref="BH92:BH100" si="154">(BH$88&lt;&gt;"") * ($BD92&lt;&gt;"") * ((BH$88&lt;=$BD92)*(-$BH$14+$BH$13+$BH$28) + (BH$88=$BD92)*($BH$34-$BH$37))</f>
        <v>9037979.8920808341</v>
      </c>
      <c r="BI92" s="73" t="str">
        <f>IF(OR(BI$67="",$AT92=""),"",(BI$67&lt;=$AT92)*(-BI$13+BI$17+BI$26)+(BI$67=$AT92)*(BI$33-BI$36))</f>
        <v/>
      </c>
      <c r="BJ92" s="73" t="str">
        <f>IF(OR(BJ$67="",$AT92=""),"",(BJ$67&lt;=$AT92)*(-BJ$13+BJ$17+BJ$26)+(BJ$67=$AT92)*(BJ$33-BJ$36))</f>
        <v/>
      </c>
      <c r="BK92" s="73" t="str">
        <f>IF(OR(BK$67="",$AT92=""),"",(BK$67&lt;=$AT92)*(-BK$13+BK$17+BK$26)+(BK$67=$AT92)*(BK$33-BK$36))</f>
        <v/>
      </c>
      <c r="BL92" s="73" t="str">
        <f t="shared" si="153"/>
        <v/>
      </c>
      <c r="BM92" s="73" t="str">
        <f t="shared" si="153"/>
        <v/>
      </c>
      <c r="BN92" s="73" t="str">
        <f t="shared" si="153"/>
        <v/>
      </c>
      <c r="BO92" s="73" t="str">
        <f t="shared" si="153"/>
        <v/>
      </c>
      <c r="BP92" s="73" t="str">
        <f t="shared" si="153"/>
        <v/>
      </c>
      <c r="BQ92" s="73" t="str">
        <f t="shared" si="153"/>
        <v/>
      </c>
      <c r="BR92" s="73" t="str">
        <f t="shared" si="153"/>
        <v/>
      </c>
      <c r="BS92" s="73" t="str">
        <f t="shared" si="153"/>
        <v/>
      </c>
      <c r="BT92" s="73" t="str">
        <f t="shared" si="153"/>
        <v/>
      </c>
      <c r="BU92" s="73" t="str">
        <f t="shared" si="153"/>
        <v/>
      </c>
      <c r="BV92" s="165"/>
      <c r="BY92" s="636" t="str">
        <f>BZ85</f>
        <v> </v>
      </c>
      <c r="BZ92" s="449"/>
      <c r="CA92" s="449"/>
      <c r="CB92" s="449"/>
      <c r="CC92" s="449"/>
      <c r="CD92" s="449"/>
      <c r="CE92" s="449"/>
      <c r="CF92" s="449"/>
      <c r="CG92" s="449"/>
      <c r="CH92" s="449"/>
      <c r="CI92" s="449"/>
      <c r="CJ92" s="449"/>
      <c r="CK92" s="449"/>
      <c r="CL92" s="449"/>
      <c r="CM92" s="449"/>
      <c r="CN92" s="449"/>
      <c r="CO92" s="449"/>
      <c r="CP92" s="449"/>
      <c r="CQ92" s="449"/>
      <c r="CR92" s="449"/>
      <c r="CS92" s="449"/>
      <c r="CT92" s="449"/>
    </row>
    <row r="93" spans="1:98" ht="16.5">
      <c r="A93" s="225">
        <v>4</v>
      </c>
      <c r="B93" s="225" t="s">
        <v>360</v>
      </c>
      <c r="C93" s="225" t="s">
        <v>366</v>
      </c>
      <c r="D93" s="225" t="s">
        <v>362</v>
      </c>
      <c r="E93" s="335">
        <v>32260</v>
      </c>
      <c r="F93" s="441">
        <f t="shared" si="149"/>
        <v>387120</v>
      </c>
      <c r="G93" s="335">
        <v>32260</v>
      </c>
      <c r="H93" s="441">
        <f t="shared" si="150"/>
        <v>387120</v>
      </c>
      <c r="I93" s="335">
        <v>32260</v>
      </c>
      <c r="J93" s="335">
        <f>I93*12</f>
        <v>387120</v>
      </c>
      <c r="K93" s="337">
        <v>45839</v>
      </c>
      <c r="L93" s="338">
        <v>49856</v>
      </c>
      <c r="M93" s="339">
        <v>120</v>
      </c>
      <c r="N93" s="225" t="s">
        <v>363</v>
      </c>
      <c r="O93" s="335">
        <f>I93</f>
        <v>32260</v>
      </c>
      <c r="P93" s="340">
        <v>12000</v>
      </c>
      <c r="Q93" s="225"/>
      <c r="R93" s="225"/>
      <c r="S93" s="225"/>
      <c r="AB93" s="165"/>
      <c r="AC93" s="165"/>
      <c r="AD93" s="165"/>
      <c r="AI93" s="400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381"/>
      <c r="BA93" s="165"/>
      <c r="BB93" s="165"/>
      <c r="BC93" s="165"/>
      <c r="BD93" s="827">
        <f>BI88</f>
        <v>3</v>
      </c>
      <c r="BE93" s="136">
        <f t="shared" si="151"/>
        <v>2.4612246452577979E-2</v>
      </c>
      <c r="BF93" s="73">
        <f t="shared" si="147"/>
        <v>-9477435.9429999981</v>
      </c>
      <c r="BG93" s="73">
        <f t="shared" si="152"/>
        <v>709629.5651377727</v>
      </c>
      <c r="BH93" s="73">
        <f t="shared" si="154"/>
        <v>696729.46513777284</v>
      </c>
      <c r="BI93" s="73">
        <f>(BI$88&lt;&gt;"") * ($BD93&lt;&gt;"") * ((BI$88&lt;=$BD93)*(-$BI$14+$BI$13+$BI$28) + (BI$88=$BD93)*($BI$34-$BI$37))</f>
        <v>8735715.3119826</v>
      </c>
      <c r="BJ93" s="73" t="str">
        <f>IF(OR(BJ$67="",$AT93=""),"",(BJ$67&lt;=$AT93)*(-BJ$13+BJ$17+BJ$26)+(BJ$67=$AT93)*(BJ$33-BJ$36))</f>
        <v/>
      </c>
      <c r="BK93" s="73" t="str">
        <f>IF(OR(BK$67="",$AT93=""),"",(BK$67&lt;=$AT93)*(-BK$13+BK$17+BK$26)+(BK$67=$AT93)*(BK$33-BK$36))</f>
        <v/>
      </c>
      <c r="BL93" s="73" t="str">
        <f t="shared" si="153"/>
        <v/>
      </c>
      <c r="BM93" s="73" t="str">
        <f t="shared" si="153"/>
        <v/>
      </c>
      <c r="BN93" s="73" t="str">
        <f t="shared" si="153"/>
        <v/>
      </c>
      <c r="BO93" s="73" t="str">
        <f t="shared" si="153"/>
        <v/>
      </c>
      <c r="BP93" s="73" t="str">
        <f t="shared" si="153"/>
        <v/>
      </c>
      <c r="BQ93" s="73" t="str">
        <f t="shared" si="153"/>
        <v/>
      </c>
      <c r="BR93" s="73" t="str">
        <f t="shared" si="153"/>
        <v/>
      </c>
      <c r="BS93" s="73" t="str">
        <f t="shared" si="153"/>
        <v/>
      </c>
      <c r="BT93" s="73" t="str">
        <f t="shared" si="153"/>
        <v/>
      </c>
      <c r="BU93" s="73" t="str">
        <f t="shared" si="153"/>
        <v/>
      </c>
      <c r="BV93" s="165"/>
      <c r="BY93" s="637" t="s">
        <v>158</v>
      </c>
      <c r="BZ93" s="467" t="s">
        <v>158</v>
      </c>
      <c r="CA93" s="449"/>
      <c r="CB93" s="449"/>
      <c r="CC93" s="449"/>
      <c r="CD93" s="449"/>
      <c r="CE93" s="449"/>
      <c r="CF93" s="449"/>
      <c r="CG93" s="449"/>
      <c r="CH93" s="449"/>
      <c r="CI93" s="449"/>
      <c r="CJ93" s="449"/>
      <c r="CK93" s="449"/>
      <c r="CL93" s="449"/>
      <c r="CM93" s="449"/>
      <c r="CN93" s="449"/>
      <c r="CO93" s="449"/>
      <c r="CP93" s="449"/>
      <c r="CQ93" s="449"/>
      <c r="CR93" s="449"/>
      <c r="CS93" s="449"/>
      <c r="CT93" s="449"/>
    </row>
    <row r="94" spans="1:98" ht="16.5">
      <c r="A94" s="225"/>
      <c r="B94" s="225"/>
      <c r="C94" s="225"/>
      <c r="D94" s="225"/>
      <c r="K94" s="337"/>
      <c r="L94" s="338"/>
      <c r="M94" s="339"/>
      <c r="N94" s="225"/>
      <c r="O94" s="335"/>
      <c r="P94" s="225"/>
      <c r="Q94" s="225"/>
      <c r="R94" s="225"/>
      <c r="S94" s="225"/>
      <c r="AB94" s="165"/>
      <c r="AC94" s="165"/>
      <c r="AD94" s="165"/>
      <c r="AI94" s="400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381"/>
      <c r="BA94" s="165"/>
      <c r="BB94" s="165"/>
      <c r="BC94" s="165"/>
      <c r="BD94" s="827">
        <f>BJ88</f>
        <v>4</v>
      </c>
      <c r="BE94" s="136">
        <f t="shared" si="151"/>
        <v>-5.672364849630851E-3</v>
      </c>
      <c r="BF94" s="73">
        <f t="shared" si="147"/>
        <v>-9477435.9429999981</v>
      </c>
      <c r="BG94" s="73">
        <f t="shared" si="152"/>
        <v>709629.5651377727</v>
      </c>
      <c r="BH94" s="73">
        <f t="shared" si="154"/>
        <v>696729.46513777284</v>
      </c>
      <c r="BI94" s="73">
        <f t="shared" ref="BI94:BI100" si="155">(BI$88&lt;&gt;"") * ($BD94&lt;&gt;"") * ((BI$88&lt;=$BD94)*(-$BI$14+$BI$13+$BI$28) + (BI$88=$BD94)*($BI$34-$BI$38))</f>
        <v>433571.36313777289</v>
      </c>
      <c r="BJ94" s="73">
        <f t="shared" ref="BJ94:BJ100" si="156">(BJ$88&lt;&gt;"") * ($BD94&lt;&gt;"") * ((BJ$88&lt;=$BD94)*(-$BJ$14+$BJ$13+$BJ$28) + (BJ$88=$BD94)*($BJ$34-$BJ$37))</f>
        <v>7446639.0315182349</v>
      </c>
      <c r="BK94" s="73" t="str">
        <f>IF(OR(BK$67="",$AT94=""),"",(BK$67&lt;=$AT94)*(-BK$13+BK$17+BK$26)+(BK$67=$AT94)*(BK$33-BK$36))</f>
        <v/>
      </c>
      <c r="BL94" s="73" t="str">
        <f t="shared" si="153"/>
        <v/>
      </c>
      <c r="BM94" s="73" t="str">
        <f t="shared" si="153"/>
        <v/>
      </c>
      <c r="BN94" s="73" t="str">
        <f t="shared" si="153"/>
        <v/>
      </c>
      <c r="BO94" s="73" t="str">
        <f t="shared" si="153"/>
        <v/>
      </c>
      <c r="BP94" s="73" t="str">
        <f t="shared" si="153"/>
        <v/>
      </c>
      <c r="BQ94" s="73" t="str">
        <f t="shared" si="153"/>
        <v/>
      </c>
      <c r="BR94" s="73" t="str">
        <f t="shared" si="153"/>
        <v/>
      </c>
      <c r="BS94" s="73" t="str">
        <f t="shared" si="153"/>
        <v/>
      </c>
      <c r="BT94" s="73" t="str">
        <f t="shared" si="153"/>
        <v/>
      </c>
      <c r="BU94" s="73" t="str">
        <f t="shared" si="153"/>
        <v/>
      </c>
      <c r="BV94" s="165"/>
      <c r="BY94" s="452" t="s">
        <v>315</v>
      </c>
      <c r="BZ94" s="449"/>
      <c r="CA94" s="449"/>
      <c r="CB94" s="449"/>
      <c r="CC94" s="449"/>
      <c r="CD94" s="449"/>
      <c r="CE94" s="449"/>
      <c r="CF94" s="449"/>
      <c r="CG94" s="449"/>
      <c r="CH94" s="449"/>
      <c r="CI94" s="449"/>
      <c r="CJ94" s="449"/>
      <c r="CK94" s="449"/>
      <c r="CL94" s="449"/>
      <c r="CM94" s="449"/>
      <c r="CN94" s="449"/>
      <c r="CO94" s="449"/>
      <c r="CP94" s="449"/>
      <c r="CQ94" s="449"/>
      <c r="CR94" s="449"/>
      <c r="CS94" s="449"/>
      <c r="CT94" s="449"/>
    </row>
    <row r="95" spans="1:98" ht="16.5">
      <c r="A95" s="442" t="s">
        <v>212</v>
      </c>
      <c r="B95" s="443"/>
      <c r="C95" s="443"/>
      <c r="D95" s="443"/>
      <c r="E95" s="443"/>
      <c r="F95" s="443"/>
      <c r="G95" s="443"/>
      <c r="H95" s="443"/>
      <c r="I95" s="444">
        <f>SUM(I90:I93)</f>
        <v>145833.36666666667</v>
      </c>
      <c r="J95" s="445">
        <f>SUM(J90:J93)</f>
        <v>1750000.4</v>
      </c>
      <c r="K95" s="443"/>
      <c r="L95" s="443"/>
      <c r="M95" s="443"/>
      <c r="N95" s="225"/>
      <c r="O95" s="225"/>
      <c r="P95" s="225"/>
      <c r="Q95" s="225"/>
      <c r="R95" s="225"/>
      <c r="S95" s="225"/>
      <c r="AB95" s="165"/>
      <c r="AC95" s="165"/>
      <c r="AD95" s="165"/>
      <c r="AI95" s="400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381"/>
      <c r="BA95" s="165"/>
      <c r="BB95" s="165"/>
      <c r="BC95" s="165"/>
      <c r="BD95" s="827">
        <f>BK88</f>
        <v>5</v>
      </c>
      <c r="BE95" s="136">
        <f t="shared" si="151"/>
        <v>1.046526135968362E-2</v>
      </c>
      <c r="BF95" s="73">
        <f t="shared" si="147"/>
        <v>-9477435.9429999981</v>
      </c>
      <c r="BG95" s="73">
        <f t="shared" si="152"/>
        <v>709629.5651377727</v>
      </c>
      <c r="BH95" s="73">
        <f t="shared" si="154"/>
        <v>696729.46513777284</v>
      </c>
      <c r="BI95" s="73">
        <f t="shared" si="155"/>
        <v>433571.36313777289</v>
      </c>
      <c r="BJ95" s="73">
        <f t="shared" si="156"/>
        <v>-829849.90090222715</v>
      </c>
      <c r="BK95" s="73">
        <f>(BK$88&lt;&gt;"") * ($BD95&lt;&gt;"") * ((BK$88&lt;=$BD95)*(-$BK$14+$BK$13+$BK$28) + (BK$88=$BD95)*($BK$34-$BK$37))</f>
        <v>8921046.4488017112</v>
      </c>
      <c r="BL95" s="73" t="str">
        <f t="shared" si="153"/>
        <v/>
      </c>
      <c r="BM95" s="73" t="str">
        <f t="shared" si="153"/>
        <v/>
      </c>
      <c r="BN95" s="73" t="str">
        <f t="shared" si="153"/>
        <v/>
      </c>
      <c r="BO95" s="73" t="str">
        <f t="shared" si="153"/>
        <v/>
      </c>
      <c r="BP95" s="73" t="str">
        <f t="shared" si="153"/>
        <v/>
      </c>
      <c r="BQ95" s="73" t="str">
        <f t="shared" si="153"/>
        <v/>
      </c>
      <c r="BR95" s="73" t="str">
        <f t="shared" si="153"/>
        <v/>
      </c>
      <c r="BS95" s="73" t="str">
        <f t="shared" si="153"/>
        <v/>
      </c>
      <c r="BT95" s="73" t="str">
        <f t="shared" si="153"/>
        <v/>
      </c>
      <c r="BU95" s="73" t="str">
        <f t="shared" si="153"/>
        <v/>
      </c>
      <c r="BV95" s="165"/>
      <c r="BY95" s="452" t="s">
        <v>321</v>
      </c>
      <c r="BZ95" s="449"/>
      <c r="CA95" s="449"/>
      <c r="CB95" s="449"/>
      <c r="CC95" s="449"/>
      <c r="CD95" s="449"/>
      <c r="CE95" s="449"/>
      <c r="CF95" s="449"/>
      <c r="CG95" s="449"/>
      <c r="CH95" s="449"/>
      <c r="CI95" s="449"/>
      <c r="CJ95" s="449"/>
      <c r="CK95" s="449"/>
      <c r="CL95" s="449"/>
      <c r="CM95" s="449"/>
      <c r="CN95" s="449"/>
      <c r="CO95" s="449"/>
      <c r="CP95" s="449"/>
      <c r="CQ95" s="449"/>
      <c r="CR95" s="449"/>
      <c r="CS95" s="449"/>
      <c r="CT95" s="449"/>
    </row>
    <row r="96" spans="1:98" ht="16.5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AB96" s="165"/>
      <c r="AC96" s="165"/>
      <c r="AD96" s="165"/>
      <c r="AI96" s="400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381"/>
      <c r="BA96" s="165"/>
      <c r="BB96" s="165"/>
      <c r="BC96" s="165"/>
      <c r="BD96" s="827">
        <f>BL88</f>
        <v>6</v>
      </c>
      <c r="BE96" s="136">
        <f t="shared" si="151"/>
        <v>7.4336366650603614E-2</v>
      </c>
      <c r="BF96" s="73">
        <f t="shared" si="147"/>
        <v>-9477435.9429999981</v>
      </c>
      <c r="BG96" s="73">
        <f t="shared" si="152"/>
        <v>709629.5651377727</v>
      </c>
      <c r="BH96" s="73">
        <f t="shared" si="154"/>
        <v>696729.46513777284</v>
      </c>
      <c r="BI96" s="73">
        <f t="shared" si="155"/>
        <v>433571.36313777289</v>
      </c>
      <c r="BJ96" s="73">
        <f t="shared" si="156"/>
        <v>-829849.90090222715</v>
      </c>
      <c r="BK96" s="73">
        <f>(BK$88&lt;&gt;"") * ($BD96&lt;&gt;"") * ((BK$88&lt;=$BD96)*(-$BK$14+$BK$13+$BK$28) + (BK$88=$BD96)*($BK$34-$BK$38))</f>
        <v>656460.40977697272</v>
      </c>
      <c r="BL96" s="73">
        <f>(BL$88&lt;&gt;"") * ($BD96&lt;&gt;"") * ((BL$88&lt;=$BD96)*(-$BL$14+$BL$13+$BL$28) + (BL$88=$BD96)*($BL$34-$BL$37))</f>
        <v>12343583.561124619</v>
      </c>
      <c r="BM96" s="73" t="str">
        <f t="shared" ref="BM96:BU96" si="157">IF(OR(BM$67="",$AT96=""),"",(BM$67&lt;=$AT96)*(-BM$13+BM$17+BM$26)+(BM$67=$AT96)*(BM$33-BM$36))</f>
        <v/>
      </c>
      <c r="BN96" s="73" t="str">
        <f t="shared" si="157"/>
        <v/>
      </c>
      <c r="BO96" s="73" t="str">
        <f t="shared" si="157"/>
        <v/>
      </c>
      <c r="BP96" s="73" t="str">
        <f t="shared" si="157"/>
        <v/>
      </c>
      <c r="BQ96" s="73" t="str">
        <f t="shared" si="157"/>
        <v/>
      </c>
      <c r="BR96" s="73" t="str">
        <f t="shared" si="157"/>
        <v/>
      </c>
      <c r="BS96" s="73" t="str">
        <f t="shared" si="157"/>
        <v/>
      </c>
      <c r="BT96" s="73" t="str">
        <f t="shared" si="157"/>
        <v/>
      </c>
      <c r="BU96" s="73" t="str">
        <f t="shared" si="157"/>
        <v/>
      </c>
      <c r="BV96" s="165"/>
      <c r="BY96" s="452" t="str">
        <f>"Total Distributions ("&amp;BY84&amp;")"</f>
        <v>Total Distributions (Tier 3)</v>
      </c>
      <c r="BZ96" s="449"/>
      <c r="CA96" s="449"/>
      <c r="CB96" s="449"/>
      <c r="CC96" s="449"/>
      <c r="CD96" s="449"/>
      <c r="CE96" s="449"/>
      <c r="CF96" s="449"/>
      <c r="CG96" s="449"/>
      <c r="CH96" s="449"/>
      <c r="CI96" s="449"/>
      <c r="CJ96" s="449"/>
      <c r="CK96" s="449"/>
      <c r="CL96" s="449"/>
      <c r="CM96" s="449"/>
      <c r="CN96" s="449"/>
      <c r="CO96" s="449"/>
      <c r="CP96" s="449"/>
      <c r="CQ96" s="449"/>
      <c r="CR96" s="449"/>
      <c r="CS96" s="449"/>
      <c r="CT96" s="449"/>
    </row>
    <row r="97" spans="1:98" ht="16.5">
      <c r="A97" s="341" t="s">
        <v>367</v>
      </c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AB97" s="165"/>
      <c r="AC97" s="165"/>
      <c r="AD97" s="165"/>
      <c r="AI97" s="400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381"/>
      <c r="BA97" s="165"/>
      <c r="BB97" s="165"/>
      <c r="BC97" s="165"/>
      <c r="BD97" s="827">
        <f>BM88</f>
        <v>7</v>
      </c>
      <c r="BE97" s="136">
        <f t="shared" si="151"/>
        <v>7.4215278925416461E-2</v>
      </c>
      <c r="BF97" s="73">
        <f t="shared" si="147"/>
        <v>-9477435.9429999981</v>
      </c>
      <c r="BG97" s="73">
        <f t="shared" si="152"/>
        <v>709629.5651377727</v>
      </c>
      <c r="BH97" s="73">
        <f t="shared" si="154"/>
        <v>696729.46513777284</v>
      </c>
      <c r="BI97" s="73">
        <f t="shared" si="155"/>
        <v>433571.36313777289</v>
      </c>
      <c r="BJ97" s="73">
        <f t="shared" si="156"/>
        <v>-829849.90090222715</v>
      </c>
      <c r="BK97" s="73">
        <f>(BK$88&lt;&gt;"") * ($BD97&lt;&gt;"") * ((BK$88&lt;=$BD97)*(-$BK$14+$BK$13+$BK$28) + (BK$88=$BD97)*($BK$34-$BK$38))</f>
        <v>656460.40977697272</v>
      </c>
      <c r="BL97" s="73">
        <f>(BL$88&lt;&gt;"") * ($BD97&lt;&gt;"") * ((BL$88&lt;=$BD97)*(-$BL$14+$BL$13+$BL$28) + (BL$88=$BD97)*($BL$34-$BL$38))</f>
        <v>863802.46158975654</v>
      </c>
      <c r="BM97" s="73">
        <f>(BM$88&lt;&gt;"") * ($BD97&lt;&gt;"") * ((BM$88&lt;=$BD97)*(-$BM$14+$BM$13+$BM$28) + (BM$88=$BD97)*($BM$34-$BM$37))</f>
        <v>12322286.010840282</v>
      </c>
      <c r="BN97" s="73" t="str">
        <f t="shared" ref="BN97:BU97" si="158">IF(OR(BN$67="",$AT97=""),"",(BN$67&lt;=$AT97)*(-BN$13+BN$17+BN$26)+(BN$67=$AT97)*(BN$33-BN$36))</f>
        <v/>
      </c>
      <c r="BO97" s="73" t="str">
        <f t="shared" si="158"/>
        <v/>
      </c>
      <c r="BP97" s="73" t="str">
        <f t="shared" si="158"/>
        <v/>
      </c>
      <c r="BQ97" s="73" t="str">
        <f t="shared" si="158"/>
        <v/>
      </c>
      <c r="BR97" s="73" t="str">
        <f t="shared" si="158"/>
        <v/>
      </c>
      <c r="BS97" s="73" t="str">
        <f t="shared" si="158"/>
        <v/>
      </c>
      <c r="BT97" s="73" t="str">
        <f t="shared" si="158"/>
        <v/>
      </c>
      <c r="BU97" s="73" t="str">
        <f t="shared" si="158"/>
        <v/>
      </c>
      <c r="BV97" s="165"/>
      <c r="BY97" s="452" t="s">
        <v>328</v>
      </c>
      <c r="BZ97" s="449"/>
      <c r="CA97" s="449"/>
      <c r="CB97" s="449"/>
      <c r="CC97" s="449"/>
      <c r="CD97" s="449"/>
      <c r="CE97" s="449"/>
      <c r="CF97" s="449"/>
      <c r="CG97" s="449"/>
      <c r="CH97" s="449"/>
      <c r="CI97" s="449"/>
      <c r="CJ97" s="449"/>
      <c r="CK97" s="449"/>
      <c r="CL97" s="449"/>
      <c r="CM97" s="449"/>
      <c r="CN97" s="449"/>
      <c r="CO97" s="449"/>
      <c r="CP97" s="449"/>
      <c r="CQ97" s="449"/>
      <c r="CR97" s="449"/>
      <c r="CS97" s="449"/>
      <c r="CT97" s="449"/>
    </row>
    <row r="98" spans="1:98" ht="16.5">
      <c r="A98" s="341" t="s">
        <v>368</v>
      </c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AF98" s="165"/>
      <c r="AG98" s="165"/>
      <c r="AH98" s="165"/>
      <c r="AI98" s="400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381"/>
      <c r="BA98" s="165"/>
      <c r="BB98" s="165"/>
      <c r="BC98" s="165"/>
      <c r="BD98" s="827">
        <f>BN88</f>
        <v>8</v>
      </c>
      <c r="BE98" s="136">
        <f t="shared" si="151"/>
        <v>7.4137570175656142E-2</v>
      </c>
      <c r="BF98" s="73">
        <f t="shared" si="147"/>
        <v>-9477435.9429999981</v>
      </c>
      <c r="BG98" s="73">
        <f t="shared" si="152"/>
        <v>709629.5651377727</v>
      </c>
      <c r="BH98" s="73">
        <f t="shared" si="154"/>
        <v>696729.46513777284</v>
      </c>
      <c r="BI98" s="73">
        <f t="shared" si="155"/>
        <v>433571.36313777289</v>
      </c>
      <c r="BJ98" s="73">
        <f t="shared" si="156"/>
        <v>-829849.90090222715</v>
      </c>
      <c r="BK98" s="73">
        <f>(BK$88&lt;&gt;"") * ($BD98&lt;&gt;"") * ((BK$88&lt;=$BD98)*(-$BK$14+$BK$13+$BK$28) + (BK$88=$BD98)*($BK$34-$BK$38))</f>
        <v>656460.40977697272</v>
      </c>
      <c r="BL98" s="73">
        <f>(BL$88&lt;&gt;"") * ($BD98&lt;&gt;"") * ((BL$88&lt;=$BD98)*(-$BL$14+$BL$13+$BL$28) + (BL$88=$BD98)*($BL$34-$BL$38))</f>
        <v>863802.46158975654</v>
      </c>
      <c r="BM98" s="73">
        <f>(BM$88&lt;&gt;"") * ($BD98&lt;&gt;"") * ((BM$88&lt;=$BD98)*(-$BM$14+$BM$13+$BM$28) + (BM$88=$BD98)*($BM$34-$BM$38))</f>
        <v>849559.70882039622</v>
      </c>
      <c r="BN98" s="73">
        <f>(BN$88&lt;&gt;"") * ($BD98&lt;&gt;"") * ((BN$88&lt;=$BD98)*(-$BN$14+$BN$13+$BN$28) + (BN$88=$BD98)*($BN$34-$BN$37))</f>
        <v>12315804.304720318</v>
      </c>
      <c r="BO98" s="73" t="str">
        <f t="shared" ref="BO98:BU98" si="159">IF(OR(BO$67="",$AT98=""),"",(BO$67&lt;=$AT98)*(-BO$13+BO$17+BO$26)+(BO$67=$AT98)*(BO$33-BO$36))</f>
        <v/>
      </c>
      <c r="BP98" s="73" t="str">
        <f t="shared" si="159"/>
        <v/>
      </c>
      <c r="BQ98" s="73" t="str">
        <f t="shared" si="159"/>
        <v/>
      </c>
      <c r="BR98" s="73" t="str">
        <f t="shared" si="159"/>
        <v/>
      </c>
      <c r="BS98" s="73" t="str">
        <f t="shared" si="159"/>
        <v/>
      </c>
      <c r="BT98" s="73" t="str">
        <f t="shared" si="159"/>
        <v/>
      </c>
      <c r="BU98" s="73" t="str">
        <f t="shared" si="159"/>
        <v/>
      </c>
      <c r="BV98" s="165"/>
      <c r="BY98" s="452"/>
      <c r="BZ98" s="449"/>
      <c r="CA98" s="449"/>
      <c r="CB98" s="449"/>
      <c r="CC98" s="449"/>
      <c r="CD98" s="449"/>
      <c r="CE98" s="449"/>
      <c r="CF98" s="449"/>
      <c r="CG98" s="449"/>
      <c r="CH98" s="449"/>
      <c r="CI98" s="449"/>
      <c r="CJ98" s="449"/>
      <c r="CK98" s="449"/>
      <c r="CL98" s="449"/>
      <c r="CM98" s="449"/>
      <c r="CN98" s="449"/>
      <c r="CO98" s="449"/>
      <c r="CP98" s="449"/>
      <c r="CQ98" s="449"/>
      <c r="CR98" s="449"/>
      <c r="CS98" s="449"/>
      <c r="CT98" s="449"/>
    </row>
    <row r="99" spans="1:98" ht="16.5">
      <c r="A99" s="341" t="s">
        <v>369</v>
      </c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AF99" s="165"/>
      <c r="AG99" s="165"/>
      <c r="AH99" s="165"/>
      <c r="AI99" s="400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381"/>
      <c r="BA99" s="165"/>
      <c r="BB99" s="165"/>
      <c r="BC99" s="165"/>
      <c r="BD99" s="827">
        <f>BO88</f>
        <v>9</v>
      </c>
      <c r="BE99" s="136">
        <f t="shared" si="151"/>
        <v>7.4079114221010434E-2</v>
      </c>
      <c r="BF99" s="73">
        <f t="shared" si="147"/>
        <v>-9477435.9429999981</v>
      </c>
      <c r="BG99" s="73">
        <f t="shared" si="152"/>
        <v>709629.5651377727</v>
      </c>
      <c r="BH99" s="73">
        <f t="shared" si="154"/>
        <v>696729.46513777284</v>
      </c>
      <c r="BI99" s="73">
        <f t="shared" si="155"/>
        <v>433571.36313777289</v>
      </c>
      <c r="BJ99" s="73">
        <f t="shared" si="156"/>
        <v>-829849.90090222715</v>
      </c>
      <c r="BK99" s="73">
        <f>(BK$88&lt;&gt;"") * ($BD99&lt;&gt;"") * ((BK$88&lt;=$BD99)*(-$BK$14+$BK$13+$BK$28) + (BK$88=$BD99)*($BK$34-$BK$38))</f>
        <v>656460.40977697272</v>
      </c>
      <c r="BL99" s="73">
        <f>(BL$88&lt;&gt;"") * ($BD99&lt;&gt;"") * ((BL$88&lt;=$BD99)*(-$BL$14+$BL$13+$BL$28) + (BL$88=$BD99)*($BL$34-$BL$38))</f>
        <v>863802.46158975654</v>
      </c>
      <c r="BM99" s="73">
        <f>(BM$88&lt;&gt;"") * ($BD99&lt;&gt;"") * ((BM$88&lt;=$BD99)*(-$BM$14+$BM$13+$BM$28) + (BM$88=$BD99)*($BM$34-$BM$38))</f>
        <v>849559.70882039622</v>
      </c>
      <c r="BN99" s="73">
        <f>(BN$88&lt;&gt;"") * ($BD99&lt;&gt;"") * ((BN$88&lt;=$BD99)*(-$BN$14+$BN$13+$BN$28) + (BN$88=$BD99)*($BN$34-$BN$38))</f>
        <v>835032.10099564854</v>
      </c>
      <c r="BO99" s="73">
        <f>(BO$88&lt;&gt;"") * ($BD99&lt;&gt;"") * ((BO$88&lt;=$BD99)*(-$BO$14+$BO$13+$BO$28) + (BO$88=$BD99)*($BO$34-$BO$37))</f>
        <v>12324495.201038016</v>
      </c>
      <c r="BP99" s="73" t="str">
        <f t="shared" ref="BP99:BU99" si="160">IF(OR(BP$67="",$AT99=""),"",(BP$67&lt;=$AT99)*(-BP$13+BP$17+BP$26)+(BP$67=$AT99)*(BP$33-BP$36))</f>
        <v/>
      </c>
      <c r="BQ99" s="73" t="str">
        <f t="shared" si="160"/>
        <v/>
      </c>
      <c r="BR99" s="73" t="str">
        <f t="shared" si="160"/>
        <v/>
      </c>
      <c r="BS99" s="73" t="str">
        <f t="shared" si="160"/>
        <v/>
      </c>
      <c r="BT99" s="73" t="str">
        <f t="shared" si="160"/>
        <v/>
      </c>
      <c r="BU99" s="73" t="str">
        <f t="shared" si="160"/>
        <v/>
      </c>
      <c r="BV99" s="165"/>
      <c r="BY99" s="466" t="s">
        <v>370</v>
      </c>
      <c r="BZ99" s="449"/>
      <c r="CA99" s="449"/>
      <c r="CB99" s="449"/>
      <c r="CC99" s="449" t="s">
        <v>46</v>
      </c>
      <c r="CD99" s="449" t="s">
        <v>47</v>
      </c>
      <c r="CE99" s="449" t="s">
        <v>48</v>
      </c>
      <c r="CF99" s="449" t="s">
        <v>49</v>
      </c>
      <c r="CG99" s="449" t="s">
        <v>50</v>
      </c>
      <c r="CH99" s="449" t="s">
        <v>51</v>
      </c>
      <c r="CI99" s="449" t="s">
        <v>52</v>
      </c>
      <c r="CJ99" s="449" t="s">
        <v>53</v>
      </c>
      <c r="CK99" s="449" t="s">
        <v>54</v>
      </c>
      <c r="CL99" s="449" t="s">
        <v>55</v>
      </c>
      <c r="CM99" s="449" t="s">
        <v>56</v>
      </c>
      <c r="CN99" s="449" t="s">
        <v>1</v>
      </c>
      <c r="CO99" s="633" t="str">
        <f>CO$20</f>
        <v> </v>
      </c>
      <c r="CP99" s="633" t="str">
        <f>CP$20</f>
        <v> </v>
      </c>
      <c r="CQ99" s="633" t="str">
        <f>CQ$20</f>
        <v> </v>
      </c>
      <c r="CR99" s="633" t="str">
        <f>CR$20</f>
        <v> </v>
      </c>
      <c r="CS99" s="449"/>
      <c r="CT99" s="449"/>
    </row>
    <row r="100" spans="1:98" ht="16.5">
      <c r="A100" s="341" t="s">
        <v>371</v>
      </c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AF100" s="165"/>
      <c r="AG100" s="165"/>
      <c r="AH100" s="165"/>
      <c r="AI100" s="400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381"/>
      <c r="BA100" s="165"/>
      <c r="BB100" s="165"/>
      <c r="BC100" s="165"/>
      <c r="BD100" s="827">
        <f>BP88</f>
        <v>10</v>
      </c>
      <c r="BE100" s="136">
        <f>IF(BD100="","",IRR(BF100:BU100))</f>
        <v>7.4026594176218374E-2</v>
      </c>
      <c r="BF100" s="73">
        <f t="shared" si="147"/>
        <v>-9477435.9429999981</v>
      </c>
      <c r="BG100" s="73">
        <f t="shared" si="152"/>
        <v>709629.5651377727</v>
      </c>
      <c r="BH100" s="73">
        <f t="shared" si="154"/>
        <v>696729.46513777284</v>
      </c>
      <c r="BI100" s="73">
        <f t="shared" si="155"/>
        <v>433571.36313777289</v>
      </c>
      <c r="BJ100" s="73">
        <f t="shared" si="156"/>
        <v>-829849.90090222715</v>
      </c>
      <c r="BK100" s="73">
        <f>(BK$88&lt;&gt;"") * ($BD100&lt;&gt;"") * ((BK$88&lt;=$BD100)*(-$BK$14+$BK$13+$BK$28) + (BK$88=$BD100)*($BK$34-$BK$38))</f>
        <v>656460.40977697272</v>
      </c>
      <c r="BL100" s="73">
        <f>(BL$88&lt;&gt;"") * ($BD100&lt;&gt;"") * ((BL$88&lt;=$BD100)*(-$BL$14+$BL$13+$BL$28) + (BL$88=$BD100)*($BL$34-$BL$38))</f>
        <v>863802.46158975654</v>
      </c>
      <c r="BM100" s="73">
        <f>(BM$88&lt;&gt;"") * ($BD100&lt;&gt;"") * ((BM$88&lt;=$BD100)*(-$BM$14+$BM$13+$BM$28) + (BM$88=$BD100)*($BM$34-$BM$38))</f>
        <v>849559.70882039622</v>
      </c>
      <c r="BN100" s="73">
        <f>(BN$88&lt;&gt;"") * ($BD100&lt;&gt;"") * ((BN$88&lt;=$BD100)*(-$BN$14+$BN$13+$BN$28) + (BN$88=$BD100)*($BN$34-$BN$38))</f>
        <v>835032.10099564854</v>
      </c>
      <c r="BO100" s="73">
        <f>(BO$88&lt;&gt;"") * ($BD100&lt;&gt;"") * ((BO$88&lt;=$BD100)*(-$BO$14+$BO$13+$BO$28) + (BO$88=$BD100)*($BO$34-$BO$38))</f>
        <v>820213.94101440615</v>
      </c>
      <c r="BP100" s="73">
        <f>(BP$88&lt;&gt;"") * ($BD100&lt;&gt;"") * ((BP$88&lt;=$BD100)*(-$BP$14+$BP$13+$BP$28) + (BP$88=$BD100)*($BP$34-$BP$37))</f>
        <v>12348734.05982084</v>
      </c>
      <c r="BQ100" s="73" t="str">
        <f t="shared" ref="BQ100:BU104" si="161">IF(OR(BQ$67="",$AT100=""),"",(BQ$67&lt;=$AT100)*(-BQ$13+BQ$17+BQ$26)+(BQ$67=$AT100)*(BQ$33-BQ$36))</f>
        <v/>
      </c>
      <c r="BR100" s="73" t="str">
        <f t="shared" si="161"/>
        <v/>
      </c>
      <c r="BS100" s="73" t="str">
        <f t="shared" si="161"/>
        <v/>
      </c>
      <c r="BT100" s="73" t="str">
        <f t="shared" si="161"/>
        <v/>
      </c>
      <c r="BU100" s="73" t="str">
        <f t="shared" si="161"/>
        <v/>
      </c>
      <c r="BV100" s="165"/>
      <c r="BY100" s="452" t="s">
        <v>372</v>
      </c>
      <c r="BZ100" s="449" t="str">
        <f>BZ85</f>
        <v> </v>
      </c>
      <c r="CA100" s="449"/>
      <c r="CB100" s="449"/>
      <c r="CC100" s="449"/>
      <c r="CD100" s="449"/>
      <c r="CE100" s="449"/>
      <c r="CF100" s="449"/>
      <c r="CG100" s="449"/>
      <c r="CH100" s="449"/>
      <c r="CI100" s="449"/>
      <c r="CJ100" s="449"/>
      <c r="CK100" s="449"/>
      <c r="CL100" s="449"/>
      <c r="CM100" s="449"/>
      <c r="CN100" s="449"/>
      <c r="CO100" s="449"/>
      <c r="CP100" s="449"/>
      <c r="CQ100" s="449"/>
      <c r="CR100" s="449"/>
      <c r="CS100" s="449"/>
      <c r="CT100" s="449"/>
    </row>
    <row r="101" spans="1:98" ht="16.5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AF101" s="165"/>
      <c r="AG101" s="165"/>
      <c r="AH101" s="165"/>
      <c r="AI101" s="400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381"/>
      <c r="BA101" s="165"/>
      <c r="BB101" s="165"/>
      <c r="BC101" s="165"/>
      <c r="BD101" s="256" t="str">
        <f>BQ88</f>
        <v/>
      </c>
      <c r="BE101" s="136" t="str">
        <f t="shared" si="151"/>
        <v/>
      </c>
      <c r="BF101" s="73" t="str">
        <f t="shared" ref="BF101:BP105" si="162">IF(OR(BF$67="",$AT101=""),"",(BF$67&lt;=$AT101)*(-BF$13+BF$17+BF$26)+(BF$67=$AT101)*(BF$33-BF$36))</f>
        <v/>
      </c>
      <c r="BG101" s="73" t="str">
        <f t="shared" si="162"/>
        <v/>
      </c>
      <c r="BH101" s="73" t="str">
        <f t="shared" si="162"/>
        <v/>
      </c>
      <c r="BI101" s="73" t="str">
        <f t="shared" si="162"/>
        <v/>
      </c>
      <c r="BJ101" s="73" t="str">
        <f t="shared" si="162"/>
        <v/>
      </c>
      <c r="BK101" s="73" t="str">
        <f t="shared" si="162"/>
        <v/>
      </c>
      <c r="BL101" s="73" t="str">
        <f t="shared" si="162"/>
        <v/>
      </c>
      <c r="BM101" s="73" t="str">
        <f t="shared" si="162"/>
        <v/>
      </c>
      <c r="BN101" s="73" t="str">
        <f t="shared" si="162"/>
        <v/>
      </c>
      <c r="BO101" s="73" t="str">
        <f t="shared" si="162"/>
        <v/>
      </c>
      <c r="BP101" s="73" t="str">
        <f t="shared" si="162"/>
        <v/>
      </c>
      <c r="BQ101" s="73" t="str">
        <f t="shared" si="161"/>
        <v/>
      </c>
      <c r="BR101" s="73" t="str">
        <f t="shared" si="161"/>
        <v/>
      </c>
      <c r="BS101" s="73" t="str">
        <f t="shared" si="161"/>
        <v/>
      </c>
      <c r="BT101" s="73" t="str">
        <f t="shared" si="161"/>
        <v/>
      </c>
      <c r="BU101" s="73" t="str">
        <f t="shared" si="161"/>
        <v/>
      </c>
      <c r="BV101" s="165"/>
      <c r="BY101" s="452" t="s">
        <v>315</v>
      </c>
      <c r="BZ101" s="449"/>
      <c r="CA101" s="449"/>
      <c r="CB101" s="449"/>
      <c r="CC101" s="449" t="str">
        <f t="shared" ref="CC101:CR101" si="163">IF(CC86="","",CC97*$H$18)</f>
        <v/>
      </c>
      <c r="CD101" s="449" t="str">
        <f t="shared" si="163"/>
        <v/>
      </c>
      <c r="CE101" s="449" t="str">
        <f t="shared" si="163"/>
        <v/>
      </c>
      <c r="CF101" s="449" t="str">
        <f t="shared" si="163"/>
        <v/>
      </c>
      <c r="CG101" s="449" t="str">
        <f t="shared" si="163"/>
        <v/>
      </c>
      <c r="CH101" s="449" t="str">
        <f t="shared" si="163"/>
        <v/>
      </c>
      <c r="CI101" s="449" t="str">
        <f t="shared" si="163"/>
        <v/>
      </c>
      <c r="CJ101" s="449" t="str">
        <f t="shared" si="163"/>
        <v/>
      </c>
      <c r="CK101" s="449" t="str">
        <f t="shared" si="163"/>
        <v/>
      </c>
      <c r="CL101" s="449" t="str">
        <f t="shared" si="163"/>
        <v/>
      </c>
      <c r="CM101" s="449" t="str">
        <f t="shared" si="163"/>
        <v/>
      </c>
      <c r="CN101" s="449" t="str">
        <f t="shared" si="163"/>
        <v/>
      </c>
      <c r="CO101" s="449" t="str">
        <f t="shared" si="163"/>
        <v/>
      </c>
      <c r="CP101" s="449" t="str">
        <f t="shared" si="163"/>
        <v/>
      </c>
      <c r="CQ101" s="449" t="str">
        <f t="shared" si="163"/>
        <v/>
      </c>
      <c r="CR101" s="449" t="str">
        <f t="shared" si="163"/>
        <v/>
      </c>
      <c r="CS101" s="449"/>
      <c r="CT101" s="449"/>
    </row>
    <row r="102" spans="1:98" ht="16.5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AF102" s="165"/>
      <c r="AG102" s="165"/>
      <c r="AH102" s="165"/>
      <c r="AI102" s="400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381"/>
      <c r="BA102" s="165"/>
      <c r="BB102" s="165"/>
      <c r="BC102" s="165"/>
      <c r="BD102" s="256" t="str">
        <f>BR88</f>
        <v/>
      </c>
      <c r="BE102" s="136" t="str">
        <f t="shared" si="151"/>
        <v/>
      </c>
      <c r="BF102" s="73" t="str">
        <f t="shared" si="162"/>
        <v/>
      </c>
      <c r="BG102" s="73" t="str">
        <f t="shared" si="162"/>
        <v/>
      </c>
      <c r="BH102" s="73" t="str">
        <f t="shared" si="162"/>
        <v/>
      </c>
      <c r="BI102" s="73" t="str">
        <f t="shared" si="162"/>
        <v/>
      </c>
      <c r="BJ102" s="73" t="str">
        <f t="shared" si="162"/>
        <v/>
      </c>
      <c r="BK102" s="73" t="str">
        <f t="shared" si="162"/>
        <v/>
      </c>
      <c r="BL102" s="73" t="str">
        <f t="shared" si="162"/>
        <v/>
      </c>
      <c r="BM102" s="73" t="str">
        <f t="shared" si="162"/>
        <v/>
      </c>
      <c r="BN102" s="73" t="str">
        <f t="shared" si="162"/>
        <v/>
      </c>
      <c r="BO102" s="73" t="str">
        <f t="shared" si="162"/>
        <v/>
      </c>
      <c r="BP102" s="73" t="str">
        <f t="shared" si="162"/>
        <v/>
      </c>
      <c r="BQ102" s="73" t="str">
        <f t="shared" si="161"/>
        <v/>
      </c>
      <c r="BR102" s="73" t="str">
        <f t="shared" si="161"/>
        <v/>
      </c>
      <c r="BS102" s="73" t="str">
        <f t="shared" si="161"/>
        <v/>
      </c>
      <c r="BT102" s="73" t="str">
        <f t="shared" si="161"/>
        <v/>
      </c>
      <c r="BU102" s="73" t="str">
        <f t="shared" si="161"/>
        <v/>
      </c>
      <c r="BV102" s="165"/>
      <c r="BY102" s="452" t="s">
        <v>321</v>
      </c>
      <c r="BZ102" s="449"/>
      <c r="CA102" s="449"/>
      <c r="CB102" s="449"/>
      <c r="CC102" s="449" t="str">
        <f t="shared" ref="CC102:CR102" si="164">IF(CC101="","",CC97-CC101)</f>
        <v/>
      </c>
      <c r="CD102" s="449" t="str">
        <f t="shared" si="164"/>
        <v/>
      </c>
      <c r="CE102" s="449" t="str">
        <f t="shared" si="164"/>
        <v/>
      </c>
      <c r="CF102" s="449" t="str">
        <f t="shared" si="164"/>
        <v/>
      </c>
      <c r="CG102" s="449" t="str">
        <f t="shared" si="164"/>
        <v/>
      </c>
      <c r="CH102" s="449" t="str">
        <f t="shared" si="164"/>
        <v/>
      </c>
      <c r="CI102" s="449" t="str">
        <f t="shared" si="164"/>
        <v/>
      </c>
      <c r="CJ102" s="449" t="str">
        <f t="shared" si="164"/>
        <v/>
      </c>
      <c r="CK102" s="449" t="str">
        <f t="shared" si="164"/>
        <v/>
      </c>
      <c r="CL102" s="449" t="str">
        <f t="shared" si="164"/>
        <v/>
      </c>
      <c r="CM102" s="449" t="str">
        <f t="shared" si="164"/>
        <v/>
      </c>
      <c r="CN102" s="449" t="str">
        <f t="shared" si="164"/>
        <v/>
      </c>
      <c r="CO102" s="449" t="str">
        <f t="shared" si="164"/>
        <v/>
      </c>
      <c r="CP102" s="449" t="str">
        <f t="shared" si="164"/>
        <v/>
      </c>
      <c r="CQ102" s="449" t="str">
        <f t="shared" si="164"/>
        <v/>
      </c>
      <c r="CR102" s="449" t="str">
        <f t="shared" si="164"/>
        <v/>
      </c>
      <c r="CS102" s="449"/>
      <c r="CT102" s="449"/>
    </row>
    <row r="103" spans="1:98" ht="16.5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AF103" s="165"/>
      <c r="AG103" s="165"/>
      <c r="AH103" s="165"/>
      <c r="AI103" s="400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381"/>
      <c r="BA103" s="165"/>
      <c r="BB103" s="165"/>
      <c r="BC103" s="165"/>
      <c r="BD103" s="256" t="str">
        <f>BS88</f>
        <v/>
      </c>
      <c r="BE103" s="136" t="str">
        <f t="shared" si="151"/>
        <v/>
      </c>
      <c r="BF103" s="73" t="str">
        <f t="shared" si="162"/>
        <v/>
      </c>
      <c r="BG103" s="73" t="str">
        <f t="shared" si="162"/>
        <v/>
      </c>
      <c r="BH103" s="73" t="str">
        <f t="shared" si="162"/>
        <v/>
      </c>
      <c r="BI103" s="73" t="str">
        <f t="shared" si="162"/>
        <v/>
      </c>
      <c r="BJ103" s="73" t="str">
        <f t="shared" si="162"/>
        <v/>
      </c>
      <c r="BK103" s="73" t="str">
        <f t="shared" si="162"/>
        <v/>
      </c>
      <c r="BL103" s="73" t="str">
        <f t="shared" si="162"/>
        <v/>
      </c>
      <c r="BM103" s="73" t="str">
        <f t="shared" si="162"/>
        <v/>
      </c>
      <c r="BN103" s="73" t="str">
        <f t="shared" si="162"/>
        <v/>
      </c>
      <c r="BO103" s="73" t="str">
        <f t="shared" si="162"/>
        <v/>
      </c>
      <c r="BP103" s="73" t="str">
        <f t="shared" si="162"/>
        <v/>
      </c>
      <c r="BQ103" s="73" t="str">
        <f t="shared" si="161"/>
        <v/>
      </c>
      <c r="BR103" s="73" t="str">
        <f t="shared" si="161"/>
        <v/>
      </c>
      <c r="BS103" s="73" t="str">
        <f t="shared" si="161"/>
        <v/>
      </c>
      <c r="BT103" s="73" t="str">
        <f t="shared" si="161"/>
        <v/>
      </c>
      <c r="BU103" s="73" t="str">
        <f t="shared" si="161"/>
        <v/>
      </c>
      <c r="BV103" s="165"/>
      <c r="BY103" s="452" t="str">
        <f>"Total Distributions ("&amp;BY99&amp;")"</f>
        <v>Total Distributions (Tier 4)</v>
      </c>
      <c r="BZ103" s="449"/>
      <c r="CA103" s="449"/>
      <c r="CB103" s="449"/>
      <c r="CC103" s="449" t="str">
        <f t="shared" ref="CC103:CR103" si="165">IF(CC101="","",CC101+CC102)</f>
        <v/>
      </c>
      <c r="CD103" s="449" t="str">
        <f t="shared" si="165"/>
        <v/>
      </c>
      <c r="CE103" s="449" t="str">
        <f t="shared" si="165"/>
        <v/>
      </c>
      <c r="CF103" s="449" t="str">
        <f t="shared" si="165"/>
        <v/>
      </c>
      <c r="CG103" s="449" t="str">
        <f t="shared" si="165"/>
        <v/>
      </c>
      <c r="CH103" s="449" t="str">
        <f t="shared" si="165"/>
        <v/>
      </c>
      <c r="CI103" s="449" t="str">
        <f t="shared" si="165"/>
        <v/>
      </c>
      <c r="CJ103" s="449" t="str">
        <f t="shared" si="165"/>
        <v/>
      </c>
      <c r="CK103" s="449" t="str">
        <f t="shared" si="165"/>
        <v/>
      </c>
      <c r="CL103" s="449" t="str">
        <f t="shared" si="165"/>
        <v/>
      </c>
      <c r="CM103" s="449" t="str">
        <f t="shared" si="165"/>
        <v/>
      </c>
      <c r="CN103" s="449" t="str">
        <f t="shared" si="165"/>
        <v/>
      </c>
      <c r="CO103" s="449" t="str">
        <f t="shared" si="165"/>
        <v/>
      </c>
      <c r="CP103" s="449" t="str">
        <f t="shared" si="165"/>
        <v/>
      </c>
      <c r="CQ103" s="449" t="str">
        <f t="shared" si="165"/>
        <v/>
      </c>
      <c r="CR103" s="449" t="str">
        <f t="shared" si="165"/>
        <v/>
      </c>
      <c r="CS103" s="449"/>
      <c r="CT103" s="449"/>
    </row>
    <row r="104" spans="1:98" ht="16.5">
      <c r="AF104" s="165"/>
      <c r="AG104" s="165"/>
      <c r="AH104" s="165"/>
      <c r="AI104" s="400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381"/>
      <c r="BA104" s="165"/>
      <c r="BB104" s="165"/>
      <c r="BC104" s="165"/>
      <c r="BD104" s="256" t="str">
        <f>BT88</f>
        <v/>
      </c>
      <c r="BE104" s="136" t="str">
        <f t="shared" si="151"/>
        <v/>
      </c>
      <c r="BF104" s="73" t="str">
        <f t="shared" si="162"/>
        <v/>
      </c>
      <c r="BG104" s="73" t="str">
        <f t="shared" si="162"/>
        <v/>
      </c>
      <c r="BH104" s="73" t="str">
        <f t="shared" si="162"/>
        <v/>
      </c>
      <c r="BI104" s="73" t="str">
        <f t="shared" si="162"/>
        <v/>
      </c>
      <c r="BJ104" s="73" t="str">
        <f t="shared" si="162"/>
        <v/>
      </c>
      <c r="BK104" s="73" t="str">
        <f t="shared" si="162"/>
        <v/>
      </c>
      <c r="BL104" s="73" t="str">
        <f t="shared" si="162"/>
        <v/>
      </c>
      <c r="BM104" s="73" t="str">
        <f t="shared" si="162"/>
        <v/>
      </c>
      <c r="BN104" s="73" t="str">
        <f t="shared" si="162"/>
        <v/>
      </c>
      <c r="BO104" s="73" t="str">
        <f t="shared" si="162"/>
        <v/>
      </c>
      <c r="BP104" s="73" t="str">
        <f t="shared" si="162"/>
        <v/>
      </c>
      <c r="BQ104" s="73" t="str">
        <f t="shared" si="161"/>
        <v/>
      </c>
      <c r="BR104" s="73" t="str">
        <f t="shared" si="161"/>
        <v/>
      </c>
      <c r="BS104" s="73" t="str">
        <f t="shared" si="161"/>
        <v/>
      </c>
      <c r="BT104" s="73" t="str">
        <f t="shared" si="161"/>
        <v/>
      </c>
      <c r="BU104" s="73" t="str">
        <f t="shared" si="161"/>
        <v/>
      </c>
      <c r="BV104" s="165"/>
      <c r="BY104" s="452" t="s">
        <v>328</v>
      </c>
      <c r="BZ104" s="449"/>
      <c r="CA104" s="449"/>
      <c r="CB104" s="449"/>
      <c r="CC104" s="449" t="str">
        <f t="shared" ref="CC104:CR104" si="166">IF(CC101="","",CC97-CC103)</f>
        <v/>
      </c>
      <c r="CD104" s="449" t="str">
        <f t="shared" si="166"/>
        <v/>
      </c>
      <c r="CE104" s="449" t="str">
        <f t="shared" si="166"/>
        <v/>
      </c>
      <c r="CF104" s="449" t="str">
        <f t="shared" si="166"/>
        <v/>
      </c>
      <c r="CG104" s="449" t="str">
        <f t="shared" si="166"/>
        <v/>
      </c>
      <c r="CH104" s="449" t="str">
        <f t="shared" si="166"/>
        <v/>
      </c>
      <c r="CI104" s="449" t="str">
        <f t="shared" si="166"/>
        <v/>
      </c>
      <c r="CJ104" s="449" t="str">
        <f t="shared" si="166"/>
        <v/>
      </c>
      <c r="CK104" s="449" t="str">
        <f t="shared" si="166"/>
        <v/>
      </c>
      <c r="CL104" s="449" t="str">
        <f t="shared" si="166"/>
        <v/>
      </c>
      <c r="CM104" s="449" t="str">
        <f t="shared" si="166"/>
        <v/>
      </c>
      <c r="CN104" s="449" t="str">
        <f t="shared" si="166"/>
        <v/>
      </c>
      <c r="CO104" s="449" t="str">
        <f t="shared" si="166"/>
        <v/>
      </c>
      <c r="CP104" s="449" t="str">
        <f t="shared" si="166"/>
        <v/>
      </c>
      <c r="CQ104" s="449" t="str">
        <f t="shared" si="166"/>
        <v/>
      </c>
      <c r="CR104" s="449" t="str">
        <f t="shared" si="166"/>
        <v/>
      </c>
      <c r="CS104" s="449"/>
      <c r="CT104" s="449"/>
    </row>
    <row r="105" spans="1:98" ht="16.5">
      <c r="AF105" s="165"/>
      <c r="AG105" s="165"/>
      <c r="AH105" s="165"/>
      <c r="AI105" s="400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381"/>
      <c r="BA105" s="165"/>
      <c r="BB105" s="165"/>
      <c r="BC105" s="165"/>
      <c r="BD105" s="256" t="str">
        <f>BU88</f>
        <v/>
      </c>
      <c r="BE105" s="136" t="str">
        <f t="shared" si="151"/>
        <v/>
      </c>
      <c r="BF105" s="73" t="str">
        <f t="shared" si="162"/>
        <v/>
      </c>
      <c r="BG105" s="73" t="str">
        <f t="shared" si="162"/>
        <v/>
      </c>
      <c r="BH105" s="73" t="str">
        <f t="shared" si="162"/>
        <v/>
      </c>
      <c r="BI105" s="73" t="str">
        <f t="shared" si="162"/>
        <v/>
      </c>
      <c r="BJ105" s="73" t="str">
        <f t="shared" si="162"/>
        <v/>
      </c>
      <c r="BK105" s="73" t="str">
        <f t="shared" si="162"/>
        <v/>
      </c>
      <c r="BL105" s="73" t="str">
        <f t="shared" si="162"/>
        <v/>
      </c>
      <c r="BM105" s="73" t="str">
        <f t="shared" si="162"/>
        <v/>
      </c>
      <c r="BN105" s="73" t="str">
        <f t="shared" si="162"/>
        <v/>
      </c>
      <c r="BO105" s="73" t="str">
        <f t="shared" si="162"/>
        <v/>
      </c>
      <c r="BP105" s="73" t="str">
        <f t="shared" si="162"/>
        <v/>
      </c>
      <c r="BQ105" s="73" t="str">
        <f>IF(OR(BQ$67="",$AT105=""),"",(BQ$67&lt;=$AT105)*(-BQ$13+BQ$17+BQ$26)+(BQ$67=$AT105)*(BQ$33-BQ$36))</f>
        <v/>
      </c>
      <c r="BR105" s="73" t="str">
        <f>IF(OR(BR$67="",$AT105=""),"",(BR$67&lt;=$AT105)*(-BR$13+BR$17+BR$26)+(BR$67=$AT105)*(BR$33-BR$36))</f>
        <v/>
      </c>
      <c r="BS105" s="73" t="str">
        <f>IF(OR(BS$67="",$AT105=""),"",(BS$67&lt;=$AT105)*(-BS$13+BS$17+BS$26)+(BS$67=$AT105)*(BS$33-BS$36))</f>
        <v/>
      </c>
      <c r="BT105" s="73" t="str">
        <f>IF(OR(BT$67="",$AT105=""),"",(BT$67&lt;=$AT105)*(-BT$13+BT$17+BT$26)+(BT$67=$AT105)*(BT$33-BT$36))</f>
        <v/>
      </c>
      <c r="BU105" s="73" t="str">
        <f t="shared" ref="BU105" si="167">IF(OR(BU$67="",$AT105=""),"",(BU$67&lt;=$AT105)*(-BU$13+BU$17+BU$26)+(BU$67=$AT105)*(BU$33-BU$36))</f>
        <v/>
      </c>
      <c r="BV105" s="165"/>
      <c r="BY105" s="253"/>
    </row>
    <row r="106" spans="1:98" ht="16.5">
      <c r="AF106" s="165"/>
      <c r="AG106" s="165"/>
      <c r="AH106" s="165"/>
      <c r="AI106" s="400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381"/>
      <c r="BA106" s="165"/>
      <c r="BB106" s="165"/>
      <c r="BC106" s="165"/>
      <c r="BD106" s="165" t="s">
        <v>373</v>
      </c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Y106" s="253"/>
    </row>
    <row r="107" spans="1:98" ht="15" customHeight="1">
      <c r="A107" s="449"/>
      <c r="B107" s="449"/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</row>
    <row r="108" spans="1:98" ht="15" customHeight="1">
      <c r="A108" s="449" t="s">
        <v>243</v>
      </c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</row>
    <row r="109" spans="1:98" ht="15" customHeight="1">
      <c r="A109" s="449" t="s">
        <v>374</v>
      </c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</row>
    <row r="110" spans="1:98" ht="15" customHeight="1">
      <c r="A110" s="449"/>
      <c r="B110" s="449"/>
      <c r="C110" s="449"/>
      <c r="D110" s="449"/>
      <c r="E110" s="449"/>
      <c r="F110" s="449"/>
      <c r="G110" s="449"/>
      <c r="H110" s="449"/>
      <c r="I110" s="449"/>
      <c r="J110" s="449"/>
      <c r="K110" s="449"/>
      <c r="L110" s="449"/>
      <c r="M110" s="449"/>
      <c r="N110" s="449"/>
      <c r="O110" s="449"/>
      <c r="P110" s="449"/>
      <c r="Q110" s="449"/>
      <c r="R110" s="449"/>
      <c r="S110" s="449"/>
      <c r="T110" s="449"/>
      <c r="Y110" s="791" t="s">
        <v>375</v>
      </c>
      <c r="Z110" s="55" t="s">
        <v>376</v>
      </c>
    </row>
    <row r="111" spans="1:98" ht="15" customHeight="1">
      <c r="A111" s="449"/>
      <c r="B111" s="449"/>
      <c r="C111" s="449"/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Y111" s="792" t="s">
        <v>377</v>
      </c>
      <c r="Z111" s="55" t="s">
        <v>378</v>
      </c>
    </row>
    <row r="112" spans="1:98" ht="15" customHeight="1">
      <c r="A112" s="466" t="s">
        <v>22</v>
      </c>
      <c r="B112" s="452" t="s">
        <v>1</v>
      </c>
      <c r="C112" s="449"/>
      <c r="D112" s="449"/>
      <c r="E112" s="449"/>
      <c r="F112" s="449"/>
      <c r="G112" s="449"/>
      <c r="H112" s="449"/>
      <c r="I112" s="449" t="s">
        <v>1</v>
      </c>
      <c r="J112" s="449" t="s">
        <v>1</v>
      </c>
      <c r="K112" s="449" t="s">
        <v>1</v>
      </c>
      <c r="L112" s="467" t="s">
        <v>1</v>
      </c>
      <c r="M112" s="449" t="s">
        <v>1</v>
      </c>
      <c r="N112" s="449" t="s">
        <v>1</v>
      </c>
      <c r="O112" s="449" t="s">
        <v>1</v>
      </c>
      <c r="P112" s="449"/>
      <c r="Q112" s="449"/>
      <c r="R112" s="449"/>
      <c r="S112" s="449"/>
      <c r="T112" s="449"/>
    </row>
    <row r="113" spans="1:20" ht="15" customHeight="1">
      <c r="A113" s="468" t="s">
        <v>3</v>
      </c>
      <c r="B113" s="469" t="s">
        <v>1</v>
      </c>
      <c r="C113" s="470" t="s">
        <v>4</v>
      </c>
      <c r="D113" s="469" t="s">
        <v>1</v>
      </c>
      <c r="E113" s="471"/>
      <c r="F113" s="469"/>
      <c r="G113" s="469"/>
      <c r="H113" s="469"/>
      <c r="I113" s="469" t="s">
        <v>1</v>
      </c>
      <c r="J113" s="469" t="s">
        <v>1</v>
      </c>
      <c r="K113" s="469" t="s">
        <v>1</v>
      </c>
      <c r="L113" s="469" t="s">
        <v>1</v>
      </c>
      <c r="M113" s="469" t="s">
        <v>1</v>
      </c>
      <c r="N113" s="471" t="s">
        <v>1</v>
      </c>
      <c r="O113" s="471" t="s">
        <v>1</v>
      </c>
      <c r="P113" s="471"/>
      <c r="Q113" s="471"/>
      <c r="R113" s="471"/>
      <c r="S113" s="471"/>
      <c r="T113" s="449"/>
    </row>
    <row r="114" spans="1:20" ht="15" customHeight="1">
      <c r="A114" s="472" t="s">
        <v>5</v>
      </c>
      <c r="B114" s="467" t="s">
        <v>1</v>
      </c>
      <c r="C114" s="473"/>
      <c r="D114" s="467" t="s">
        <v>7</v>
      </c>
      <c r="E114" s="467"/>
      <c r="F114" s="467"/>
      <c r="G114" s="467"/>
      <c r="H114" s="467"/>
      <c r="I114" s="467" t="s">
        <v>1</v>
      </c>
      <c r="J114" s="467" t="s">
        <v>1</v>
      </c>
      <c r="K114" s="467" t="s">
        <v>1</v>
      </c>
      <c r="L114" s="467" t="s">
        <v>1</v>
      </c>
      <c r="M114" s="467" t="s">
        <v>1</v>
      </c>
      <c r="N114" s="449" t="s">
        <v>1</v>
      </c>
      <c r="O114" s="449" t="s">
        <v>1</v>
      </c>
      <c r="P114" s="474"/>
      <c r="Q114" s="474"/>
      <c r="R114" s="474"/>
      <c r="S114" s="474"/>
      <c r="T114" s="449"/>
    </row>
    <row r="115" spans="1:20" ht="15" customHeight="1">
      <c r="A115" s="449" t="s">
        <v>1</v>
      </c>
      <c r="B115" s="449" t="s">
        <v>1</v>
      </c>
      <c r="C115" s="449"/>
      <c r="D115" s="449"/>
      <c r="E115" s="449"/>
      <c r="F115" s="449"/>
      <c r="G115" s="449"/>
      <c r="H115" s="449"/>
      <c r="I115" s="449" t="s">
        <v>1</v>
      </c>
      <c r="J115" s="449" t="s">
        <v>1</v>
      </c>
      <c r="K115" s="449" t="s">
        <v>1</v>
      </c>
      <c r="L115" s="467" t="s">
        <v>1</v>
      </c>
      <c r="M115" s="449" t="s">
        <v>1</v>
      </c>
      <c r="N115" s="449" t="s">
        <v>1</v>
      </c>
      <c r="O115" s="449" t="s">
        <v>1</v>
      </c>
      <c r="P115" s="474"/>
      <c r="Q115" s="474"/>
      <c r="R115" s="474"/>
      <c r="S115" s="474"/>
      <c r="T115" s="449"/>
    </row>
    <row r="116" spans="1:20" ht="15" customHeight="1">
      <c r="A116" s="475" t="s">
        <v>8</v>
      </c>
      <c r="B116" s="476" t="s">
        <v>9</v>
      </c>
      <c r="C116" s="476" t="s">
        <v>10</v>
      </c>
      <c r="D116" s="449"/>
      <c r="E116" s="475"/>
      <c r="F116" s="449"/>
      <c r="G116" s="449"/>
      <c r="H116" s="449"/>
      <c r="I116" s="449" t="s">
        <v>1</v>
      </c>
      <c r="J116" s="449" t="s">
        <v>1</v>
      </c>
      <c r="K116" s="449" t="s">
        <v>1</v>
      </c>
      <c r="L116" s="467" t="s">
        <v>1</v>
      </c>
      <c r="M116" s="449" t="s">
        <v>1</v>
      </c>
      <c r="N116" s="449" t="s">
        <v>1</v>
      </c>
      <c r="O116" s="449" t="s">
        <v>1</v>
      </c>
      <c r="P116" s="474"/>
      <c r="Q116" s="474"/>
      <c r="R116" s="474"/>
      <c r="S116" s="474"/>
      <c r="T116" s="449"/>
    </row>
    <row r="117" spans="1:20" ht="15" customHeight="1">
      <c r="A117" s="449" t="s">
        <v>11</v>
      </c>
      <c r="B117" s="477">
        <v>0.05</v>
      </c>
      <c r="C117" s="478">
        <f>(C20*(1-C29))*B117</f>
        <v>428898.08499999996</v>
      </c>
      <c r="D117" s="449" t="s">
        <v>1</v>
      </c>
      <c r="E117" s="449" t="s">
        <v>1</v>
      </c>
      <c r="F117" s="479" t="s">
        <v>1</v>
      </c>
      <c r="G117" s="449" t="s">
        <v>1</v>
      </c>
      <c r="H117" s="449" t="s">
        <v>1</v>
      </c>
      <c r="I117" s="449" t="s">
        <v>1</v>
      </c>
      <c r="J117" s="480"/>
      <c r="K117" s="481"/>
      <c r="L117" s="449" t="s">
        <v>1</v>
      </c>
      <c r="M117" s="449" t="s">
        <v>1</v>
      </c>
      <c r="N117" s="449" t="s">
        <v>1</v>
      </c>
      <c r="O117" s="449" t="s">
        <v>1</v>
      </c>
      <c r="P117" s="474"/>
      <c r="Q117" s="474"/>
      <c r="R117" s="474"/>
      <c r="S117" s="474"/>
      <c r="T117" s="449"/>
    </row>
    <row r="118" spans="1:20" ht="15" customHeight="1">
      <c r="A118" s="449" t="s">
        <v>14</v>
      </c>
      <c r="B118" s="482">
        <v>0.95</v>
      </c>
      <c r="C118" s="483">
        <f>(C20*(1-C29))*B118</f>
        <v>8149063.6149999993</v>
      </c>
      <c r="D118" s="484"/>
      <c r="E118" s="449" t="s">
        <v>1</v>
      </c>
      <c r="F118" s="479" t="s">
        <v>1</v>
      </c>
      <c r="G118" s="449" t="s">
        <v>1</v>
      </c>
      <c r="H118" s="449" t="s">
        <v>1</v>
      </c>
      <c r="I118" s="449" t="s">
        <v>1</v>
      </c>
      <c r="J118" s="480"/>
      <c r="K118" s="485"/>
      <c r="L118" s="449" t="s">
        <v>1</v>
      </c>
      <c r="M118" s="449" t="s">
        <v>1</v>
      </c>
      <c r="N118" s="449" t="s">
        <v>1</v>
      </c>
      <c r="O118" s="449" t="s">
        <v>1</v>
      </c>
      <c r="P118" s="449"/>
      <c r="Q118" s="449"/>
      <c r="R118" s="449"/>
      <c r="S118" s="449"/>
      <c r="T118" s="449"/>
    </row>
    <row r="119" spans="1:20" ht="15" customHeight="1">
      <c r="A119" s="449" t="s">
        <v>17</v>
      </c>
      <c r="B119" s="449" t="s">
        <v>1</v>
      </c>
      <c r="C119" s="486">
        <f>SUM(C117:C118)</f>
        <v>8577961.6999999993</v>
      </c>
      <c r="D119" s="484"/>
      <c r="E119" s="449"/>
      <c r="F119" s="487"/>
      <c r="G119" s="449" t="s">
        <v>1</v>
      </c>
      <c r="H119" s="449" t="s">
        <v>1</v>
      </c>
      <c r="I119" s="449" t="s">
        <v>1</v>
      </c>
      <c r="J119" s="480"/>
      <c r="K119" s="485"/>
      <c r="L119" s="449" t="s">
        <v>1</v>
      </c>
      <c r="M119" s="449" t="s">
        <v>1</v>
      </c>
      <c r="N119" s="449" t="s">
        <v>1</v>
      </c>
      <c r="O119" s="449" t="s">
        <v>1</v>
      </c>
      <c r="P119" s="449"/>
      <c r="Q119" s="449"/>
      <c r="R119" s="449"/>
      <c r="S119" s="449"/>
      <c r="T119" s="449"/>
    </row>
    <row r="120" spans="1:20" ht="15" customHeight="1">
      <c r="A120" s="449" t="s">
        <v>1</v>
      </c>
      <c r="B120" s="449" t="s">
        <v>1</v>
      </c>
      <c r="C120" s="473" t="s">
        <v>1</v>
      </c>
      <c r="D120" s="449" t="s">
        <v>1</v>
      </c>
      <c r="E120" s="449" t="s">
        <v>1</v>
      </c>
      <c r="F120" s="479" t="s">
        <v>1</v>
      </c>
      <c r="G120" s="449" t="s">
        <v>1</v>
      </c>
      <c r="H120" s="449" t="s">
        <v>1</v>
      </c>
      <c r="I120" s="449" t="s">
        <v>1</v>
      </c>
      <c r="J120" s="449" t="s">
        <v>1</v>
      </c>
      <c r="K120" s="449" t="s">
        <v>1</v>
      </c>
      <c r="L120" s="449" t="s">
        <v>1</v>
      </c>
      <c r="M120" s="449" t="s">
        <v>1</v>
      </c>
      <c r="N120" s="449" t="s">
        <v>1</v>
      </c>
      <c r="O120" s="449" t="s">
        <v>1</v>
      </c>
      <c r="P120" s="449"/>
      <c r="Q120" s="449"/>
      <c r="R120" s="449"/>
      <c r="S120" s="449"/>
      <c r="T120" s="449"/>
    </row>
    <row r="121" spans="1:20" ht="27" customHeight="1">
      <c r="A121" s="488" t="s">
        <v>19</v>
      </c>
      <c r="B121" s="488" t="s">
        <v>4</v>
      </c>
      <c r="C121" s="449" t="s">
        <v>1</v>
      </c>
      <c r="D121" s="449" t="s">
        <v>1</v>
      </c>
      <c r="E121" s="489" t="s">
        <v>20</v>
      </c>
      <c r="F121" s="489"/>
      <c r="G121" s="490" t="s">
        <v>21</v>
      </c>
      <c r="H121" s="490"/>
      <c r="I121" s="449" t="s">
        <v>1</v>
      </c>
      <c r="J121" s="449" t="s">
        <v>1</v>
      </c>
      <c r="K121" s="449" t="s">
        <v>1</v>
      </c>
      <c r="L121" s="449" t="s">
        <v>1</v>
      </c>
      <c r="M121" s="449" t="s">
        <v>1</v>
      </c>
      <c r="N121" s="449" t="s">
        <v>1</v>
      </c>
      <c r="O121" s="449" t="s">
        <v>1</v>
      </c>
      <c r="P121" s="449"/>
      <c r="Q121" s="449"/>
      <c r="R121" s="449"/>
      <c r="S121" s="449"/>
      <c r="T121" s="449"/>
    </row>
    <row r="122" spans="1:20" ht="15" customHeight="1">
      <c r="A122" s="466" t="s">
        <v>22</v>
      </c>
      <c r="B122" s="449" t="s">
        <v>1</v>
      </c>
      <c r="C122" s="449" t="s">
        <v>1</v>
      </c>
      <c r="D122" s="449" t="s">
        <v>1</v>
      </c>
      <c r="E122" s="489"/>
      <c r="F122" s="489"/>
      <c r="G122" s="476" t="s">
        <v>23</v>
      </c>
      <c r="H122" s="476" t="s">
        <v>24</v>
      </c>
      <c r="I122" s="476" t="s">
        <v>25</v>
      </c>
      <c r="J122" s="449" t="s">
        <v>1</v>
      </c>
      <c r="K122" s="449" t="s">
        <v>1</v>
      </c>
      <c r="L122" s="449" t="s">
        <v>1</v>
      </c>
      <c r="M122" s="449" t="s">
        <v>1</v>
      </c>
      <c r="N122" s="449" t="s">
        <v>1</v>
      </c>
      <c r="O122" s="449" t="s">
        <v>1</v>
      </c>
      <c r="P122" s="449"/>
      <c r="Q122" s="449"/>
      <c r="R122" s="449"/>
      <c r="S122" s="449"/>
      <c r="T122" s="449"/>
    </row>
    <row r="123" spans="1:20" ht="15" customHeight="1">
      <c r="A123" s="449" t="s">
        <v>26</v>
      </c>
      <c r="B123" s="491" t="s">
        <v>27</v>
      </c>
      <c r="C123" s="490" t="s">
        <v>4</v>
      </c>
      <c r="D123" s="473" t="s">
        <v>28</v>
      </c>
      <c r="E123" s="492" t="s">
        <v>29</v>
      </c>
      <c r="F123" s="492" t="s">
        <v>1</v>
      </c>
      <c r="G123" s="477">
        <f>B117</f>
        <v>0.05</v>
      </c>
      <c r="H123" s="493">
        <f>1-G123</f>
        <v>0.95</v>
      </c>
      <c r="I123" s="488" t="s">
        <v>30</v>
      </c>
      <c r="J123" s="488"/>
      <c r="K123" s="488"/>
      <c r="L123" s="488"/>
      <c r="M123" s="488"/>
      <c r="N123" s="449" t="s">
        <v>1</v>
      </c>
      <c r="O123" s="449" t="s">
        <v>1</v>
      </c>
      <c r="P123" s="449"/>
      <c r="Q123" s="449"/>
      <c r="R123" s="449"/>
      <c r="S123" s="449"/>
      <c r="T123" s="449"/>
    </row>
    <row r="124" spans="1:20" ht="15" customHeight="1">
      <c r="A124" s="449" t="s">
        <v>31</v>
      </c>
      <c r="B124" s="494" t="s">
        <v>32</v>
      </c>
      <c r="C124" s="495">
        <v>0.08</v>
      </c>
      <c r="D124" s="473" t="s">
        <v>34</v>
      </c>
      <c r="E124" s="477">
        <v>0.2</v>
      </c>
      <c r="F124" s="449" t="s">
        <v>1</v>
      </c>
      <c r="G124" s="496">
        <f>1-($BZ$9*(1-E124))</f>
        <v>0.24</v>
      </c>
      <c r="H124" s="493">
        <f>1-G124</f>
        <v>0.76</v>
      </c>
      <c r="I124" s="488" t="s">
        <v>35</v>
      </c>
      <c r="J124" s="488"/>
      <c r="K124" s="488"/>
      <c r="L124" s="488"/>
      <c r="M124" s="488"/>
      <c r="N124" s="449"/>
      <c r="O124" s="449"/>
      <c r="P124" s="449"/>
      <c r="Q124" s="449"/>
      <c r="R124" s="449"/>
      <c r="S124" s="449"/>
      <c r="T124" s="449"/>
    </row>
    <row r="125" spans="1:20" ht="15" customHeight="1">
      <c r="A125" s="449" t="s">
        <v>36</v>
      </c>
      <c r="B125" s="494" t="s">
        <v>37</v>
      </c>
      <c r="C125" s="495">
        <v>0.12</v>
      </c>
      <c r="D125" s="473" t="s">
        <v>39</v>
      </c>
      <c r="E125" s="477">
        <v>0.3</v>
      </c>
      <c r="F125" s="449" t="s">
        <v>1</v>
      </c>
      <c r="G125" s="496">
        <f>1-($BZ$9*(1-E125))</f>
        <v>0.33500000000000008</v>
      </c>
      <c r="H125" s="493">
        <f>1-G125</f>
        <v>0.66499999999999992</v>
      </c>
      <c r="I125" s="488" t="s">
        <v>40</v>
      </c>
      <c r="J125" s="488"/>
      <c r="K125" s="488"/>
      <c r="L125" s="488"/>
      <c r="M125" s="488"/>
      <c r="N125" s="449"/>
      <c r="O125" s="449"/>
      <c r="P125" s="449"/>
      <c r="Q125" s="449"/>
      <c r="R125" s="449"/>
      <c r="S125" s="449"/>
      <c r="T125" s="449"/>
    </row>
    <row r="126" spans="1:20" ht="15" customHeight="1">
      <c r="A126" s="449" t="s">
        <v>41</v>
      </c>
      <c r="B126" s="494" t="s">
        <v>42</v>
      </c>
      <c r="C126" s="495">
        <v>0.15</v>
      </c>
      <c r="D126" s="473" t="s">
        <v>1</v>
      </c>
      <c r="E126" s="477">
        <v>0.4</v>
      </c>
      <c r="F126" s="449" t="s">
        <v>1</v>
      </c>
      <c r="G126" s="496">
        <f>1-($BZ$9*(1-E126))</f>
        <v>0.43000000000000005</v>
      </c>
      <c r="H126" s="493">
        <f>1-G126</f>
        <v>0.56999999999999995</v>
      </c>
      <c r="I126" s="488" t="s">
        <v>44</v>
      </c>
      <c r="J126" s="488"/>
      <c r="K126" s="488"/>
      <c r="L126" s="488"/>
      <c r="M126" s="488"/>
      <c r="N126" s="449"/>
      <c r="O126" s="449"/>
      <c r="P126" s="449"/>
      <c r="Q126" s="449"/>
      <c r="R126" s="449"/>
      <c r="S126" s="449"/>
      <c r="T126" s="449"/>
    </row>
    <row r="127" spans="1:20" ht="15" customHeight="1">
      <c r="A127" s="449"/>
      <c r="B127" s="449"/>
      <c r="C127" s="449"/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</row>
    <row r="128" spans="1:20" ht="15" customHeight="1">
      <c r="A128" s="466" t="s">
        <v>379</v>
      </c>
      <c r="B128" s="479">
        <v>114000</v>
      </c>
      <c r="C128" s="497"/>
      <c r="D128" s="449"/>
      <c r="E128" s="449"/>
      <c r="F128" s="449"/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</row>
    <row r="129" spans="1:20" ht="15" customHeight="1">
      <c r="A129" s="498" t="s">
        <v>77</v>
      </c>
      <c r="B129" s="479">
        <v>367627</v>
      </c>
      <c r="C129" s="449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</row>
    <row r="130" spans="1:20" ht="15" customHeight="1">
      <c r="A130" s="499"/>
      <c r="B130" s="499"/>
      <c r="C130" s="500"/>
      <c r="D130" s="500"/>
      <c r="E130" s="501"/>
      <c r="F130" s="501"/>
      <c r="G130" s="502"/>
      <c r="H130" s="500"/>
      <c r="I130" s="502"/>
      <c r="J130" s="500"/>
      <c r="K130" s="500"/>
      <c r="L130" s="500"/>
      <c r="M130" s="500"/>
      <c r="N130" s="500"/>
      <c r="O130" s="500"/>
      <c r="P130" s="449"/>
      <c r="Q130" s="449"/>
      <c r="R130" s="449"/>
      <c r="S130" s="449"/>
      <c r="T130" s="449"/>
    </row>
    <row r="131" spans="1:20" ht="15" customHeight="1">
      <c r="A131" s="503"/>
      <c r="B131" s="500"/>
      <c r="C131" s="500"/>
      <c r="D131" s="500"/>
      <c r="E131" s="501"/>
      <c r="F131" s="501"/>
      <c r="G131" s="504"/>
      <c r="H131" s="500"/>
      <c r="I131" s="504"/>
      <c r="J131" s="504"/>
      <c r="K131" s="500"/>
      <c r="L131" s="500"/>
      <c r="M131" s="500"/>
      <c r="N131" s="500"/>
      <c r="O131" s="500"/>
      <c r="P131" s="449"/>
      <c r="Q131" s="449"/>
      <c r="R131" s="449"/>
      <c r="S131" s="449"/>
      <c r="T131" s="449"/>
    </row>
    <row r="132" spans="1:20" ht="15" customHeight="1">
      <c r="A132" s="449"/>
      <c r="B132" s="449"/>
      <c r="C132" s="449"/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</row>
    <row r="133" spans="1:20" ht="15" customHeight="1">
      <c r="A133" s="505" t="s">
        <v>281</v>
      </c>
      <c r="B133" s="505"/>
      <c r="C133" s="505" t="s">
        <v>11</v>
      </c>
      <c r="D133" s="505"/>
      <c r="E133" s="505" t="s">
        <v>297</v>
      </c>
      <c r="F133" s="449"/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</row>
    <row r="134" spans="1:20" ht="15" customHeight="1">
      <c r="A134" s="475" t="s">
        <v>4</v>
      </c>
      <c r="B134" s="476"/>
      <c r="C134" s="482">
        <v>1.2206999999999999</v>
      </c>
      <c r="D134" s="493"/>
      <c r="E134" s="493">
        <v>6.0100000000000001E-2</v>
      </c>
      <c r="F134" s="449"/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</row>
    <row r="135" spans="1:20" ht="15" customHeight="1">
      <c r="A135" s="449" t="s">
        <v>286</v>
      </c>
      <c r="B135" s="477"/>
      <c r="C135" s="506">
        <v>2351464</v>
      </c>
      <c r="D135" s="506"/>
      <c r="E135" s="506">
        <v>16032900</v>
      </c>
      <c r="F135" s="449"/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</row>
    <row r="136" spans="1:20" ht="15" customHeight="1">
      <c r="A136" s="449" t="s">
        <v>287</v>
      </c>
      <c r="B136" s="482"/>
      <c r="C136" s="506">
        <v>539446</v>
      </c>
      <c r="D136" s="506"/>
      <c r="E136" s="506">
        <v>10249467</v>
      </c>
      <c r="F136" s="449"/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</row>
    <row r="137" spans="1:20" ht="15" customHeight="1">
      <c r="A137" s="449" t="s">
        <v>289</v>
      </c>
      <c r="B137" s="449"/>
      <c r="C137" s="506">
        <v>1812018</v>
      </c>
      <c r="D137" s="506"/>
      <c r="E137" s="506">
        <v>5783433</v>
      </c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</row>
    <row r="138" spans="1:20" ht="15" customHeight="1">
      <c r="A138" s="449" t="s">
        <v>27</v>
      </c>
      <c r="B138" s="449"/>
      <c r="C138" s="506" t="s">
        <v>380</v>
      </c>
      <c r="D138" s="449"/>
      <c r="E138" s="507" t="s">
        <v>380</v>
      </c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</row>
    <row r="139" spans="1:20" ht="15" customHeight="1">
      <c r="A139" s="449"/>
      <c r="B139" s="449"/>
      <c r="C139" s="449"/>
      <c r="D139" s="449"/>
      <c r="E139" s="449"/>
      <c r="F139" s="449"/>
      <c r="G139" s="449"/>
      <c r="H139" s="449"/>
      <c r="I139" s="449"/>
      <c r="J139" s="449"/>
      <c r="K139" s="449"/>
      <c r="L139" s="449"/>
      <c r="M139" s="449"/>
      <c r="N139" s="449"/>
      <c r="O139" s="449"/>
      <c r="P139" s="449"/>
      <c r="Q139" s="449"/>
      <c r="R139" s="449"/>
      <c r="S139" s="449"/>
      <c r="T139" s="449"/>
    </row>
    <row r="140" spans="1:20" ht="15" customHeight="1">
      <c r="A140" s="449"/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</row>
    <row r="145" spans="1:4" ht="15" customHeight="1">
      <c r="A145" s="734" t="s">
        <v>381</v>
      </c>
      <c r="B145" s="735"/>
      <c r="C145" s="735"/>
      <c r="D145" s="736"/>
    </row>
    <row r="146" spans="1:4" ht="15" customHeight="1">
      <c r="A146" s="737"/>
      <c r="B146" s="738"/>
      <c r="C146" s="738"/>
      <c r="D146" s="739"/>
    </row>
    <row r="147" spans="1:4" ht="15" customHeight="1">
      <c r="A147" s="740" t="s">
        <v>382</v>
      </c>
      <c r="B147" s="741" t="s">
        <v>383</v>
      </c>
      <c r="C147" s="741" t="s">
        <v>384</v>
      </c>
      <c r="D147" s="742" t="s">
        <v>25</v>
      </c>
    </row>
    <row r="148" spans="1:4" ht="15" customHeight="1">
      <c r="A148" s="740" t="s">
        <v>385</v>
      </c>
      <c r="B148" s="741" t="s">
        <v>386</v>
      </c>
      <c r="C148" s="738"/>
      <c r="D148" s="742" t="s">
        <v>387</v>
      </c>
    </row>
    <row r="149" spans="1:4" ht="15" customHeight="1">
      <c r="A149" s="740" t="s">
        <v>388</v>
      </c>
      <c r="B149" s="741" t="s">
        <v>386</v>
      </c>
      <c r="C149" s="738"/>
      <c r="D149" s="742" t="s">
        <v>389</v>
      </c>
    </row>
    <row r="150" spans="1:4" ht="15" customHeight="1">
      <c r="A150" s="740" t="s">
        <v>390</v>
      </c>
      <c r="B150" s="741" t="s">
        <v>386</v>
      </c>
      <c r="C150" s="738"/>
      <c r="D150" s="742" t="s">
        <v>391</v>
      </c>
    </row>
    <row r="151" spans="1:4" ht="15" customHeight="1">
      <c r="A151" s="740" t="s">
        <v>392</v>
      </c>
      <c r="B151" s="741" t="s">
        <v>393</v>
      </c>
      <c r="C151" s="738"/>
      <c r="D151" s="742" t="s">
        <v>394</v>
      </c>
    </row>
    <row r="152" spans="1:4" ht="15" customHeight="1">
      <c r="A152" s="740" t="s">
        <v>395</v>
      </c>
      <c r="B152" s="741" t="s">
        <v>396</v>
      </c>
      <c r="C152" s="741" t="s">
        <v>397</v>
      </c>
      <c r="D152" s="742" t="s">
        <v>398</v>
      </c>
    </row>
    <row r="153" spans="1:4" ht="15" customHeight="1">
      <c r="A153" s="740" t="s">
        <v>399</v>
      </c>
      <c r="B153" s="741" t="s">
        <v>400</v>
      </c>
      <c r="C153" s="741" t="s">
        <v>401</v>
      </c>
      <c r="D153" s="742" t="s">
        <v>402</v>
      </c>
    </row>
    <row r="154" spans="1:4" ht="15" customHeight="1">
      <c r="A154" s="740" t="s">
        <v>403</v>
      </c>
      <c r="B154" s="741" t="s">
        <v>404</v>
      </c>
      <c r="C154" s="741" t="s">
        <v>405</v>
      </c>
      <c r="D154" s="742" t="s">
        <v>406</v>
      </c>
    </row>
    <row r="155" spans="1:4" ht="15" customHeight="1">
      <c r="A155" s="740" t="s">
        <v>407</v>
      </c>
      <c r="B155" s="741" t="s">
        <v>408</v>
      </c>
      <c r="C155" s="741" t="s">
        <v>409</v>
      </c>
      <c r="D155" s="742" t="s">
        <v>410</v>
      </c>
    </row>
    <row r="156" spans="1:4" ht="15" customHeight="1">
      <c r="A156" s="740" t="s">
        <v>411</v>
      </c>
      <c r="B156" s="741" t="s">
        <v>396</v>
      </c>
      <c r="C156" s="738"/>
      <c r="D156" s="742" t="s">
        <v>412</v>
      </c>
    </row>
    <row r="157" spans="1:4" ht="15" customHeight="1">
      <c r="A157" s="740" t="s">
        <v>413</v>
      </c>
      <c r="B157" s="741" t="s">
        <v>393</v>
      </c>
      <c r="C157" s="738"/>
      <c r="D157" s="742" t="s">
        <v>414</v>
      </c>
    </row>
    <row r="158" spans="1:4" ht="15" customHeight="1">
      <c r="A158" s="740"/>
      <c r="B158" s="738"/>
      <c r="C158" s="738"/>
      <c r="D158" s="739"/>
    </row>
    <row r="159" spans="1:4" ht="15" customHeight="1">
      <c r="A159" s="737"/>
      <c r="B159" s="738"/>
      <c r="C159" s="738"/>
      <c r="D159" s="739"/>
    </row>
    <row r="160" spans="1:4" ht="15" customHeight="1">
      <c r="A160" s="740" t="s">
        <v>415</v>
      </c>
      <c r="B160" s="738"/>
      <c r="C160" s="738"/>
      <c r="D160" s="739"/>
    </row>
    <row r="161" spans="1:4" ht="15" customHeight="1">
      <c r="A161" s="737"/>
      <c r="B161" s="738" t="s">
        <v>301</v>
      </c>
      <c r="C161" s="738"/>
      <c r="D161" s="739"/>
    </row>
    <row r="162" spans="1:4" ht="15" customHeight="1">
      <c r="A162" s="740" t="s">
        <v>382</v>
      </c>
      <c r="B162" s="741" t="s">
        <v>383</v>
      </c>
      <c r="C162" s="741" t="s">
        <v>384</v>
      </c>
      <c r="D162" s="742" t="s">
        <v>25</v>
      </c>
    </row>
    <row r="163" spans="1:4" ht="15" customHeight="1">
      <c r="A163" s="740" t="s">
        <v>416</v>
      </c>
      <c r="B163" s="741" t="s">
        <v>393</v>
      </c>
      <c r="C163" s="738"/>
      <c r="D163" s="742" t="s">
        <v>417</v>
      </c>
    </row>
    <row r="164" spans="1:4" ht="15" customHeight="1">
      <c r="A164" s="740" t="s">
        <v>418</v>
      </c>
      <c r="B164" s="741" t="s">
        <v>393</v>
      </c>
      <c r="C164" s="738"/>
      <c r="D164" s="742" t="s">
        <v>419</v>
      </c>
    </row>
    <row r="165" spans="1:4" ht="15" customHeight="1">
      <c r="A165" s="740" t="s">
        <v>420</v>
      </c>
      <c r="B165" s="741" t="s">
        <v>421</v>
      </c>
      <c r="C165" s="741" t="s">
        <v>422</v>
      </c>
      <c r="D165" s="742" t="s">
        <v>423</v>
      </c>
    </row>
    <row r="166" spans="1:4" ht="15" customHeight="1">
      <c r="A166" s="740"/>
      <c r="B166" s="738"/>
      <c r="C166" s="738"/>
      <c r="D166" s="739"/>
    </row>
    <row r="167" spans="1:4" ht="15" customHeight="1">
      <c r="A167" s="737"/>
      <c r="B167" s="738"/>
      <c r="C167" s="738"/>
      <c r="D167" s="739"/>
    </row>
    <row r="168" spans="1:4" ht="15" customHeight="1">
      <c r="A168" s="743" t="s">
        <v>424</v>
      </c>
      <c r="B168" s="738"/>
      <c r="C168" s="738"/>
      <c r="D168" s="739"/>
    </row>
    <row r="169" spans="1:4" ht="15" customHeight="1">
      <c r="A169" s="737"/>
      <c r="B169" s="738"/>
      <c r="C169" s="738"/>
      <c r="D169" s="739"/>
    </row>
    <row r="170" spans="1:4" ht="15" customHeight="1">
      <c r="A170" s="744" t="s">
        <v>425</v>
      </c>
      <c r="B170" s="738"/>
      <c r="C170" s="738"/>
      <c r="D170" s="739"/>
    </row>
    <row r="171" spans="1:4" ht="15" customHeight="1">
      <c r="A171" s="737"/>
      <c r="B171" s="738"/>
      <c r="C171" s="738"/>
      <c r="D171" s="739"/>
    </row>
    <row r="172" spans="1:4" ht="15" customHeight="1">
      <c r="A172" s="745" t="s">
        <v>426</v>
      </c>
      <c r="B172" s="738"/>
      <c r="C172" s="738"/>
      <c r="D172" s="739"/>
    </row>
    <row r="173" spans="1:4" ht="15" customHeight="1">
      <c r="A173" s="737"/>
      <c r="B173" s="738"/>
      <c r="C173" s="738"/>
      <c r="D173" s="739"/>
    </row>
    <row r="174" spans="1:4" ht="15" customHeight="1">
      <c r="A174" s="745" t="s">
        <v>382</v>
      </c>
      <c r="B174" s="746" t="s">
        <v>383</v>
      </c>
      <c r="C174" s="746" t="s">
        <v>384</v>
      </c>
      <c r="D174" s="747" t="s">
        <v>25</v>
      </c>
    </row>
    <row r="175" spans="1:4" ht="15" customHeight="1">
      <c r="A175" s="745" t="s">
        <v>427</v>
      </c>
      <c r="B175" s="746" t="s">
        <v>428</v>
      </c>
      <c r="C175" s="738"/>
      <c r="D175" s="747" t="s">
        <v>429</v>
      </c>
    </row>
    <row r="176" spans="1:4" ht="15" customHeight="1">
      <c r="A176" s="745" t="s">
        <v>430</v>
      </c>
      <c r="B176" s="746" t="s">
        <v>404</v>
      </c>
      <c r="C176" s="746" t="s">
        <v>431</v>
      </c>
      <c r="D176" s="747" t="s">
        <v>432</v>
      </c>
    </row>
    <row r="177" spans="1:4" ht="15" customHeight="1">
      <c r="A177" s="745" t="s">
        <v>346</v>
      </c>
      <c r="B177" s="746" t="s">
        <v>386</v>
      </c>
      <c r="C177" s="738"/>
      <c r="D177" s="747" t="s">
        <v>433</v>
      </c>
    </row>
    <row r="178" spans="1:4" ht="15" customHeight="1">
      <c r="A178" s="745" t="s">
        <v>434</v>
      </c>
      <c r="B178" s="746" t="s">
        <v>393</v>
      </c>
      <c r="C178" s="738"/>
      <c r="D178" s="747" t="s">
        <v>435</v>
      </c>
    </row>
    <row r="179" spans="1:4" ht="15" customHeight="1">
      <c r="A179" s="745" t="s">
        <v>436</v>
      </c>
      <c r="B179" s="746" t="s">
        <v>437</v>
      </c>
      <c r="C179" s="746" t="s">
        <v>438</v>
      </c>
      <c r="D179" s="747" t="s">
        <v>439</v>
      </c>
    </row>
    <row r="180" spans="1:4" ht="15" customHeight="1">
      <c r="A180" s="745" t="s">
        <v>440</v>
      </c>
      <c r="B180" s="746" t="s">
        <v>400</v>
      </c>
      <c r="C180" s="746" t="s">
        <v>438</v>
      </c>
      <c r="D180" s="747" t="s">
        <v>441</v>
      </c>
    </row>
    <row r="181" spans="1:4" ht="15" customHeight="1">
      <c r="A181" s="745" t="s">
        <v>88</v>
      </c>
      <c r="B181" s="746" t="s">
        <v>404</v>
      </c>
      <c r="C181" s="741" t="s">
        <v>442</v>
      </c>
      <c r="D181" s="739"/>
    </row>
    <row r="182" spans="1:4" ht="15" customHeight="1">
      <c r="A182" s="745" t="s">
        <v>443</v>
      </c>
      <c r="B182" s="746" t="s">
        <v>444</v>
      </c>
      <c r="C182" s="738"/>
      <c r="D182" s="747" t="s">
        <v>445</v>
      </c>
    </row>
    <row r="183" spans="1:4" ht="15" customHeight="1">
      <c r="A183" s="745" t="s">
        <v>446</v>
      </c>
      <c r="B183" s="746" t="s">
        <v>444</v>
      </c>
      <c r="C183" s="738"/>
      <c r="D183" s="747" t="s">
        <v>447</v>
      </c>
    </row>
    <row r="184" spans="1:4" ht="15" customHeight="1">
      <c r="A184" s="745" t="s">
        <v>448</v>
      </c>
      <c r="B184" s="746" t="s">
        <v>444</v>
      </c>
      <c r="C184" s="738"/>
      <c r="D184" s="747" t="s">
        <v>449</v>
      </c>
    </row>
    <row r="185" spans="1:4" ht="15" customHeight="1">
      <c r="A185" s="745"/>
      <c r="B185" s="738"/>
      <c r="C185" s="738"/>
      <c r="D185" s="739"/>
    </row>
    <row r="186" spans="1:4" ht="15" customHeight="1">
      <c r="A186" s="737"/>
      <c r="B186" s="738"/>
      <c r="C186" s="738"/>
      <c r="D186" s="739"/>
    </row>
    <row r="187" spans="1:4" ht="15" customHeight="1">
      <c r="A187" s="737"/>
      <c r="B187" s="738"/>
      <c r="C187" s="738"/>
      <c r="D187" s="739"/>
    </row>
    <row r="188" spans="1:4" ht="15" customHeight="1">
      <c r="A188" s="745" t="s">
        <v>450</v>
      </c>
      <c r="B188" s="738"/>
      <c r="C188" s="738"/>
      <c r="D188" s="739"/>
    </row>
    <row r="189" spans="1:4" ht="15" customHeight="1">
      <c r="A189" s="737"/>
      <c r="B189" s="738"/>
      <c r="C189" s="738"/>
      <c r="D189" s="739"/>
    </row>
    <row r="190" spans="1:4" ht="15" customHeight="1">
      <c r="A190" s="745" t="s">
        <v>382</v>
      </c>
      <c r="B190" s="746" t="s">
        <v>383</v>
      </c>
      <c r="C190" s="746" t="s">
        <v>384</v>
      </c>
      <c r="D190" s="747" t="s">
        <v>25</v>
      </c>
    </row>
    <row r="191" spans="1:4" ht="15" customHeight="1">
      <c r="A191" s="745" t="s">
        <v>451</v>
      </c>
      <c r="B191" s="746" t="s">
        <v>393</v>
      </c>
      <c r="C191" s="738"/>
      <c r="D191" s="747" t="s">
        <v>452</v>
      </c>
    </row>
    <row r="192" spans="1:4" ht="15" customHeight="1">
      <c r="A192" s="745" t="s">
        <v>453</v>
      </c>
      <c r="B192" s="746" t="s">
        <v>396</v>
      </c>
      <c r="C192" s="746" t="s">
        <v>397</v>
      </c>
      <c r="D192" s="747" t="s">
        <v>454</v>
      </c>
    </row>
    <row r="193" spans="1:4" ht="15" customHeight="1">
      <c r="A193" s="745" t="s">
        <v>455</v>
      </c>
      <c r="B193" s="746" t="s">
        <v>456</v>
      </c>
      <c r="C193" s="738"/>
      <c r="D193" s="747" t="s">
        <v>457</v>
      </c>
    </row>
    <row r="194" spans="1:4" ht="15" customHeight="1">
      <c r="A194" s="745" t="s">
        <v>458</v>
      </c>
      <c r="B194" s="746" t="s">
        <v>393</v>
      </c>
      <c r="C194" s="738"/>
      <c r="D194" s="747" t="s">
        <v>459</v>
      </c>
    </row>
    <row r="195" spans="1:4" ht="15" customHeight="1">
      <c r="A195" s="745" t="s">
        <v>460</v>
      </c>
      <c r="B195" s="746" t="s">
        <v>393</v>
      </c>
      <c r="C195" s="738"/>
      <c r="D195" s="747" t="s">
        <v>461</v>
      </c>
    </row>
    <row r="196" spans="1:4" ht="15" customHeight="1">
      <c r="A196" s="745" t="s">
        <v>462</v>
      </c>
      <c r="B196" s="746" t="s">
        <v>393</v>
      </c>
      <c r="C196" s="738"/>
      <c r="D196" s="747" t="s">
        <v>463</v>
      </c>
    </row>
    <row r="197" spans="1:4" ht="15" customHeight="1">
      <c r="A197" s="745" t="s">
        <v>464</v>
      </c>
      <c r="B197" s="746" t="s">
        <v>404</v>
      </c>
      <c r="C197" s="746" t="s">
        <v>465</v>
      </c>
      <c r="D197" s="747" t="s">
        <v>466</v>
      </c>
    </row>
    <row r="198" spans="1:4" ht="15" customHeight="1">
      <c r="A198" s="745"/>
      <c r="B198" s="738"/>
      <c r="C198" s="738"/>
      <c r="D198" s="739"/>
    </row>
    <row r="199" spans="1:4" ht="15" customHeight="1">
      <c r="A199" s="737"/>
      <c r="B199" s="738"/>
      <c r="C199" s="738"/>
      <c r="D199" s="739"/>
    </row>
    <row r="200" spans="1:4" ht="15" customHeight="1">
      <c r="A200" s="745" t="s">
        <v>467</v>
      </c>
      <c r="B200" s="738"/>
      <c r="C200" s="738"/>
      <c r="D200" s="739"/>
    </row>
    <row r="201" spans="1:4" ht="15" customHeight="1">
      <c r="A201" s="737"/>
      <c r="B201" s="738"/>
      <c r="C201" s="738"/>
      <c r="D201" s="739"/>
    </row>
    <row r="202" spans="1:4" ht="15" customHeight="1">
      <c r="A202" s="745" t="s">
        <v>382</v>
      </c>
      <c r="B202" s="746" t="s">
        <v>383</v>
      </c>
      <c r="C202" s="746" t="s">
        <v>384</v>
      </c>
      <c r="D202" s="747" t="s">
        <v>25</v>
      </c>
    </row>
    <row r="203" spans="1:4" ht="15" customHeight="1">
      <c r="A203" s="745" t="s">
        <v>468</v>
      </c>
      <c r="B203" s="746" t="s">
        <v>469</v>
      </c>
      <c r="C203" s="738"/>
      <c r="D203" s="747" t="s">
        <v>470</v>
      </c>
    </row>
    <row r="204" spans="1:4" ht="15" customHeight="1">
      <c r="A204" s="745" t="s">
        <v>471</v>
      </c>
      <c r="B204" s="746" t="s">
        <v>386</v>
      </c>
      <c r="C204" s="746" t="s">
        <v>472</v>
      </c>
      <c r="D204" s="739"/>
    </row>
    <row r="205" spans="1:4" ht="15" customHeight="1">
      <c r="A205" s="745" t="s">
        <v>473</v>
      </c>
      <c r="B205" s="746" t="s">
        <v>474</v>
      </c>
      <c r="C205" s="738"/>
      <c r="D205" s="739"/>
    </row>
    <row r="206" spans="1:4" ht="15" customHeight="1">
      <c r="A206" s="745" t="s">
        <v>475</v>
      </c>
      <c r="B206" s="746" t="s">
        <v>474</v>
      </c>
      <c r="C206" s="738"/>
      <c r="D206" s="739"/>
    </row>
    <row r="207" spans="1:4" ht="15" customHeight="1">
      <c r="A207" s="745" t="s">
        <v>476</v>
      </c>
      <c r="B207" s="746" t="s">
        <v>386</v>
      </c>
      <c r="C207" s="738"/>
      <c r="D207" s="747" t="s">
        <v>477</v>
      </c>
    </row>
    <row r="208" spans="1:4" ht="15" customHeight="1">
      <c r="A208" s="745" t="s">
        <v>478</v>
      </c>
      <c r="B208" s="746" t="s">
        <v>474</v>
      </c>
      <c r="C208" s="746" t="s">
        <v>479</v>
      </c>
      <c r="D208" s="739"/>
    </row>
    <row r="209" spans="1:4" ht="15" customHeight="1">
      <c r="A209" s="745" t="s">
        <v>480</v>
      </c>
      <c r="B209" s="746" t="s">
        <v>474</v>
      </c>
      <c r="C209" s="746" t="s">
        <v>479</v>
      </c>
      <c r="D209" s="739"/>
    </row>
    <row r="210" spans="1:4" ht="15" customHeight="1">
      <c r="A210" s="745" t="s">
        <v>481</v>
      </c>
      <c r="B210" s="746" t="s">
        <v>474</v>
      </c>
      <c r="C210" s="746" t="s">
        <v>479</v>
      </c>
      <c r="D210" s="739"/>
    </row>
    <row r="211" spans="1:4" ht="15" customHeight="1">
      <c r="A211" s="745" t="s">
        <v>482</v>
      </c>
      <c r="B211" s="746" t="s">
        <v>393</v>
      </c>
      <c r="C211" s="738"/>
      <c r="D211" s="747" t="s">
        <v>483</v>
      </c>
    </row>
    <row r="212" spans="1:4" ht="15" customHeight="1">
      <c r="A212" s="745" t="s">
        <v>484</v>
      </c>
      <c r="B212" s="746" t="s">
        <v>485</v>
      </c>
      <c r="C212" s="738"/>
      <c r="D212" s="747" t="s">
        <v>486</v>
      </c>
    </row>
    <row r="213" spans="1:4" ht="15" customHeight="1">
      <c r="A213" s="745" t="s">
        <v>357</v>
      </c>
      <c r="B213" s="746" t="s">
        <v>485</v>
      </c>
      <c r="C213" s="738"/>
      <c r="D213" s="747" t="s">
        <v>487</v>
      </c>
    </row>
    <row r="214" spans="1:4" ht="15" customHeight="1">
      <c r="A214" s="745" t="s">
        <v>488</v>
      </c>
      <c r="B214" s="746" t="s">
        <v>485</v>
      </c>
      <c r="C214" s="738"/>
      <c r="D214" s="747" t="s">
        <v>489</v>
      </c>
    </row>
    <row r="215" spans="1:4" ht="15" customHeight="1">
      <c r="A215" s="745" t="s">
        <v>490</v>
      </c>
      <c r="B215" s="746" t="s">
        <v>485</v>
      </c>
      <c r="C215" s="738"/>
      <c r="D215" s="747" t="s">
        <v>487</v>
      </c>
    </row>
    <row r="216" spans="1:4" ht="15" customHeight="1">
      <c r="A216" s="745" t="s">
        <v>491</v>
      </c>
      <c r="B216" s="748" t="s">
        <v>386</v>
      </c>
      <c r="C216" s="738"/>
      <c r="D216" s="739"/>
    </row>
    <row r="217" spans="1:4" ht="15" customHeight="1">
      <c r="A217" s="737"/>
      <c r="B217" s="738"/>
      <c r="C217" s="738"/>
      <c r="D217" s="739"/>
    </row>
    <row r="218" spans="1:4" ht="15" customHeight="1">
      <c r="A218" s="745" t="s">
        <v>492</v>
      </c>
      <c r="B218" s="738"/>
      <c r="C218" s="738"/>
      <c r="D218" s="739"/>
    </row>
    <row r="219" spans="1:4" ht="15" customHeight="1">
      <c r="A219" s="737"/>
      <c r="B219" s="738"/>
      <c r="C219" s="738"/>
      <c r="D219" s="739"/>
    </row>
    <row r="220" spans="1:4" ht="15" customHeight="1">
      <c r="A220" s="745" t="s">
        <v>382</v>
      </c>
      <c r="B220" s="746" t="s">
        <v>383</v>
      </c>
      <c r="C220" s="746" t="s">
        <v>384</v>
      </c>
      <c r="D220" s="747" t="s">
        <v>25</v>
      </c>
    </row>
    <row r="221" spans="1:4" ht="15" customHeight="1">
      <c r="A221" s="745" t="s">
        <v>493</v>
      </c>
      <c r="B221" s="746" t="s">
        <v>393</v>
      </c>
      <c r="C221" s="738"/>
      <c r="D221" s="747" t="s">
        <v>494</v>
      </c>
    </row>
    <row r="222" spans="1:4" ht="15" customHeight="1">
      <c r="A222" s="745" t="s">
        <v>495</v>
      </c>
      <c r="B222" s="746" t="s">
        <v>393</v>
      </c>
      <c r="C222" s="738"/>
      <c r="D222" s="747" t="s">
        <v>496</v>
      </c>
    </row>
    <row r="223" spans="1:4" ht="15" customHeight="1">
      <c r="A223" s="745" t="s">
        <v>497</v>
      </c>
      <c r="B223" s="746" t="s">
        <v>469</v>
      </c>
      <c r="C223" s="738"/>
      <c r="D223" s="747" t="s">
        <v>498</v>
      </c>
    </row>
    <row r="224" spans="1:4" ht="15" customHeight="1">
      <c r="A224" s="745" t="s">
        <v>499</v>
      </c>
      <c r="B224" s="746" t="s">
        <v>404</v>
      </c>
      <c r="C224" s="746" t="s">
        <v>500</v>
      </c>
      <c r="D224" s="739"/>
    </row>
    <row r="225" spans="1:4" ht="15" customHeight="1">
      <c r="A225" s="745" t="s">
        <v>501</v>
      </c>
      <c r="B225" s="746" t="s">
        <v>474</v>
      </c>
      <c r="C225" s="738"/>
      <c r="D225" s="739"/>
    </row>
    <row r="226" spans="1:4" ht="15" customHeight="1">
      <c r="A226" s="745" t="s">
        <v>502</v>
      </c>
      <c r="B226" s="746" t="s">
        <v>393</v>
      </c>
      <c r="C226" s="738"/>
      <c r="D226" s="747" t="s">
        <v>503</v>
      </c>
    </row>
    <row r="227" spans="1:4" ht="15" customHeight="1">
      <c r="A227" s="745" t="s">
        <v>504</v>
      </c>
      <c r="B227" s="746" t="s">
        <v>404</v>
      </c>
      <c r="C227" s="746" t="s">
        <v>505</v>
      </c>
      <c r="D227" s="739"/>
    </row>
    <row r="228" spans="1:4" ht="15" customHeight="1">
      <c r="A228" s="745" t="s">
        <v>506</v>
      </c>
      <c r="B228" s="746" t="s">
        <v>485</v>
      </c>
      <c r="C228" s="738"/>
      <c r="D228" s="747" t="s">
        <v>507</v>
      </c>
    </row>
    <row r="229" spans="1:4" ht="15" customHeight="1">
      <c r="A229" s="745" t="s">
        <v>508</v>
      </c>
      <c r="B229" s="741" t="s">
        <v>386</v>
      </c>
      <c r="C229" s="738"/>
      <c r="D229" s="739"/>
    </row>
    <row r="230" spans="1:4" ht="15" customHeight="1">
      <c r="A230" s="737"/>
      <c r="B230" s="738"/>
      <c r="C230" s="738"/>
      <c r="D230" s="739"/>
    </row>
    <row r="231" spans="1:4" ht="15" customHeight="1">
      <c r="A231" s="745" t="s">
        <v>509</v>
      </c>
      <c r="B231" s="738"/>
      <c r="C231" s="738"/>
      <c r="D231" s="739"/>
    </row>
    <row r="232" spans="1:4" ht="15" customHeight="1">
      <c r="A232" s="737"/>
      <c r="B232" s="738"/>
      <c r="C232" s="738"/>
      <c r="D232" s="739"/>
    </row>
    <row r="233" spans="1:4" ht="15" customHeight="1">
      <c r="A233" s="745" t="s">
        <v>382</v>
      </c>
      <c r="B233" s="746" t="s">
        <v>383</v>
      </c>
      <c r="C233" s="746" t="s">
        <v>384</v>
      </c>
      <c r="D233" s="747" t="s">
        <v>25</v>
      </c>
    </row>
    <row r="234" spans="1:4" ht="15" customHeight="1">
      <c r="A234" s="745" t="s">
        <v>510</v>
      </c>
      <c r="B234" s="746" t="s">
        <v>485</v>
      </c>
      <c r="C234" s="738"/>
      <c r="D234" s="747" t="s">
        <v>511</v>
      </c>
    </row>
    <row r="235" spans="1:4" ht="15" customHeight="1">
      <c r="A235" s="745" t="s">
        <v>512</v>
      </c>
      <c r="B235" s="746" t="s">
        <v>386</v>
      </c>
      <c r="C235" s="738"/>
      <c r="D235" s="747" t="s">
        <v>513</v>
      </c>
    </row>
    <row r="236" spans="1:4" ht="15" customHeight="1">
      <c r="A236" s="745" t="s">
        <v>514</v>
      </c>
      <c r="B236" s="746" t="s">
        <v>485</v>
      </c>
      <c r="C236" s="738"/>
      <c r="D236" s="747" t="s">
        <v>511</v>
      </c>
    </row>
    <row r="237" spans="1:4" ht="15" customHeight="1">
      <c r="A237" s="745" t="s">
        <v>512</v>
      </c>
      <c r="B237" s="746" t="s">
        <v>386</v>
      </c>
      <c r="C237" s="738"/>
      <c r="D237" s="747" t="s">
        <v>513</v>
      </c>
    </row>
    <row r="238" spans="1:4" ht="15" customHeight="1">
      <c r="A238" s="745" t="s">
        <v>515</v>
      </c>
      <c r="B238" s="746" t="s">
        <v>485</v>
      </c>
      <c r="C238" s="738"/>
      <c r="D238" s="739"/>
    </row>
    <row r="239" spans="1:4" ht="15" customHeight="1">
      <c r="A239" s="745" t="s">
        <v>516</v>
      </c>
      <c r="B239" s="746" t="s">
        <v>485</v>
      </c>
      <c r="C239" s="738"/>
      <c r="D239" s="739"/>
    </row>
    <row r="240" spans="1:4" ht="15" customHeight="1">
      <c r="A240" s="745" t="s">
        <v>517</v>
      </c>
      <c r="B240" s="746" t="s">
        <v>485</v>
      </c>
      <c r="C240" s="738"/>
      <c r="D240" s="747" t="s">
        <v>518</v>
      </c>
    </row>
    <row r="241" spans="1:4" ht="15" customHeight="1">
      <c r="A241" s="745" t="s">
        <v>519</v>
      </c>
      <c r="B241" s="746" t="s">
        <v>469</v>
      </c>
      <c r="C241" s="738"/>
      <c r="D241" s="739"/>
    </row>
    <row r="242" spans="1:4" ht="15" customHeight="1">
      <c r="A242" s="745" t="s">
        <v>520</v>
      </c>
      <c r="B242" s="746" t="s">
        <v>386</v>
      </c>
      <c r="C242" s="746" t="s">
        <v>521</v>
      </c>
      <c r="D242" s="739"/>
    </row>
    <row r="243" spans="1:4" ht="15" customHeight="1">
      <c r="A243" s="745" t="s">
        <v>522</v>
      </c>
      <c r="B243" s="746" t="s">
        <v>386</v>
      </c>
      <c r="C243" s="746" t="s">
        <v>523</v>
      </c>
      <c r="D243" s="739"/>
    </row>
    <row r="244" spans="1:4" ht="15" customHeight="1">
      <c r="A244" s="745" t="s">
        <v>524</v>
      </c>
      <c r="B244" s="746" t="s">
        <v>386</v>
      </c>
      <c r="C244" s="746" t="s">
        <v>525</v>
      </c>
      <c r="D244" s="739"/>
    </row>
    <row r="245" spans="1:4" ht="15" customHeight="1">
      <c r="A245" s="745" t="s">
        <v>526</v>
      </c>
      <c r="B245" s="746" t="s">
        <v>393</v>
      </c>
      <c r="C245" s="738"/>
      <c r="D245" s="747" t="s">
        <v>527</v>
      </c>
    </row>
    <row r="246" spans="1:4" ht="15" customHeight="1">
      <c r="A246" s="745"/>
      <c r="B246" s="738"/>
      <c r="C246" s="738"/>
      <c r="D246" s="739"/>
    </row>
    <row r="247" spans="1:4" ht="15" customHeight="1">
      <c r="A247" s="737"/>
      <c r="B247" s="738"/>
      <c r="C247" s="738"/>
      <c r="D247" s="739"/>
    </row>
    <row r="248" spans="1:4" ht="15" customHeight="1">
      <c r="A248" s="745" t="s">
        <v>528</v>
      </c>
      <c r="B248" s="738"/>
      <c r="C248" s="738"/>
      <c r="D248" s="739"/>
    </row>
    <row r="249" spans="1:4" ht="15" customHeight="1">
      <c r="A249" s="737"/>
      <c r="B249" s="738"/>
      <c r="C249" s="738"/>
      <c r="D249" s="739"/>
    </row>
    <row r="250" spans="1:4" ht="15" customHeight="1">
      <c r="A250" s="745" t="s">
        <v>382</v>
      </c>
      <c r="B250" s="746" t="s">
        <v>383</v>
      </c>
      <c r="C250" s="746" t="s">
        <v>384</v>
      </c>
      <c r="D250" s="747" t="s">
        <v>25</v>
      </c>
    </row>
    <row r="251" spans="1:4" ht="15" customHeight="1">
      <c r="A251" s="745" t="s">
        <v>529</v>
      </c>
      <c r="B251" s="746" t="s">
        <v>485</v>
      </c>
      <c r="C251" s="738"/>
      <c r="D251" s="747" t="s">
        <v>530</v>
      </c>
    </row>
    <row r="252" spans="1:4" ht="15" customHeight="1">
      <c r="A252" s="745" t="s">
        <v>531</v>
      </c>
      <c r="B252" s="746" t="s">
        <v>532</v>
      </c>
      <c r="C252" s="746" t="s">
        <v>533</v>
      </c>
      <c r="D252" s="739"/>
    </row>
    <row r="253" spans="1:4" ht="15" customHeight="1">
      <c r="A253" s="745" t="s">
        <v>534</v>
      </c>
      <c r="B253" s="746" t="s">
        <v>396</v>
      </c>
      <c r="C253" s="738"/>
      <c r="D253" s="747" t="s">
        <v>535</v>
      </c>
    </row>
    <row r="254" spans="1:4" ht="15" customHeight="1">
      <c r="A254" s="745" t="s">
        <v>536</v>
      </c>
      <c r="B254" s="746" t="s">
        <v>485</v>
      </c>
      <c r="C254" s="738"/>
      <c r="D254" s="747" t="s">
        <v>530</v>
      </c>
    </row>
    <row r="255" spans="1:4" ht="15" customHeight="1">
      <c r="A255" s="745" t="s">
        <v>531</v>
      </c>
      <c r="B255" s="746" t="s">
        <v>532</v>
      </c>
      <c r="C255" s="746" t="s">
        <v>537</v>
      </c>
      <c r="D255" s="739"/>
    </row>
    <row r="256" spans="1:4" ht="15" customHeight="1">
      <c r="A256" s="745" t="s">
        <v>534</v>
      </c>
      <c r="B256" s="746" t="s">
        <v>396</v>
      </c>
      <c r="C256" s="738"/>
      <c r="D256" s="747" t="s">
        <v>535</v>
      </c>
    </row>
    <row r="257" spans="1:4" ht="15" customHeight="1">
      <c r="A257" s="745" t="s">
        <v>538</v>
      </c>
      <c r="B257" s="746" t="s">
        <v>485</v>
      </c>
      <c r="C257" s="738"/>
      <c r="D257" s="747" t="s">
        <v>530</v>
      </c>
    </row>
    <row r="258" spans="1:4" ht="15" customHeight="1">
      <c r="A258" s="745" t="s">
        <v>539</v>
      </c>
      <c r="B258" s="746" t="s">
        <v>485</v>
      </c>
      <c r="C258" s="738"/>
      <c r="D258" s="747" t="s">
        <v>540</v>
      </c>
    </row>
    <row r="259" spans="1:4" ht="15" customHeight="1">
      <c r="A259" s="745" t="s">
        <v>541</v>
      </c>
      <c r="B259" s="746" t="s">
        <v>485</v>
      </c>
      <c r="C259" s="738"/>
      <c r="D259" s="747" t="s">
        <v>542</v>
      </c>
    </row>
    <row r="260" spans="1:4" ht="15" customHeight="1">
      <c r="A260" s="745" t="s">
        <v>543</v>
      </c>
      <c r="B260" s="746" t="s">
        <v>421</v>
      </c>
      <c r="C260" s="746" t="s">
        <v>544</v>
      </c>
      <c r="D260" s="739"/>
    </row>
    <row r="261" spans="1:4" ht="15" customHeight="1">
      <c r="A261" s="745" t="s">
        <v>545</v>
      </c>
      <c r="B261" s="746" t="s">
        <v>386</v>
      </c>
      <c r="C261" s="738"/>
      <c r="D261" s="739"/>
    </row>
    <row r="262" spans="1:4" ht="15" customHeight="1">
      <c r="A262" s="745" t="s">
        <v>546</v>
      </c>
      <c r="B262" s="746" t="s">
        <v>386</v>
      </c>
      <c r="C262" s="738"/>
      <c r="D262" s="739"/>
    </row>
    <row r="263" spans="1:4" ht="15" customHeight="1">
      <c r="A263" s="745" t="s">
        <v>547</v>
      </c>
      <c r="B263" s="746" t="s">
        <v>386</v>
      </c>
      <c r="C263" s="746" t="s">
        <v>548</v>
      </c>
      <c r="D263" s="739"/>
    </row>
    <row r="264" spans="1:4" ht="15" customHeight="1">
      <c r="A264" s="745" t="s">
        <v>549</v>
      </c>
      <c r="B264" s="746" t="s">
        <v>485</v>
      </c>
      <c r="C264" s="738"/>
      <c r="D264" s="747" t="s">
        <v>550</v>
      </c>
    </row>
    <row r="265" spans="1:4" ht="15" customHeight="1">
      <c r="A265" s="745" t="s">
        <v>551</v>
      </c>
      <c r="B265" s="746" t="s">
        <v>485</v>
      </c>
      <c r="C265" s="738"/>
      <c r="D265" s="747" t="s">
        <v>552</v>
      </c>
    </row>
    <row r="266" spans="1:4" ht="15" customHeight="1">
      <c r="A266" s="745" t="s">
        <v>553</v>
      </c>
      <c r="B266" s="746" t="s">
        <v>485</v>
      </c>
      <c r="C266" s="738"/>
      <c r="D266" s="739"/>
    </row>
    <row r="267" spans="1:4" ht="15" customHeight="1">
      <c r="A267" s="745" t="s">
        <v>554</v>
      </c>
      <c r="B267" s="746" t="s">
        <v>404</v>
      </c>
      <c r="C267" s="746" t="s">
        <v>555</v>
      </c>
      <c r="D267" s="739"/>
    </row>
    <row r="268" spans="1:4" ht="15" customHeight="1">
      <c r="A268" s="745" t="s">
        <v>556</v>
      </c>
      <c r="B268" s="746" t="s">
        <v>386</v>
      </c>
      <c r="C268" s="738"/>
      <c r="D268" s="747" t="s">
        <v>557</v>
      </c>
    </row>
    <row r="269" spans="1:4" ht="15" customHeight="1">
      <c r="A269" s="745" t="s">
        <v>558</v>
      </c>
      <c r="B269" s="746" t="s">
        <v>393</v>
      </c>
      <c r="C269" s="738"/>
      <c r="D269" s="747" t="s">
        <v>559</v>
      </c>
    </row>
    <row r="270" spans="1:4" ht="15" customHeight="1">
      <c r="A270" s="745" t="s">
        <v>560</v>
      </c>
      <c r="B270" s="746" t="s">
        <v>485</v>
      </c>
      <c r="C270" s="738"/>
      <c r="D270" s="739"/>
    </row>
    <row r="271" spans="1:4" ht="15" customHeight="1">
      <c r="A271" s="745" t="s">
        <v>561</v>
      </c>
      <c r="B271" s="746" t="s">
        <v>404</v>
      </c>
      <c r="C271" s="746" t="s">
        <v>562</v>
      </c>
      <c r="D271" s="739"/>
    </row>
    <row r="272" spans="1:4" ht="15" customHeight="1">
      <c r="A272" s="745" t="s">
        <v>563</v>
      </c>
      <c r="B272" s="746" t="s">
        <v>564</v>
      </c>
      <c r="C272" s="746" t="s">
        <v>565</v>
      </c>
      <c r="D272" s="747" t="s">
        <v>566</v>
      </c>
    </row>
    <row r="273" spans="1:4" ht="15" customHeight="1">
      <c r="A273" s="745" t="s">
        <v>567</v>
      </c>
      <c r="B273" s="746" t="s">
        <v>404</v>
      </c>
      <c r="C273" s="746" t="s">
        <v>568</v>
      </c>
      <c r="D273" s="739"/>
    </row>
    <row r="274" spans="1:4" ht="15" customHeight="1">
      <c r="A274" s="745" t="s">
        <v>569</v>
      </c>
      <c r="B274" s="746" t="s">
        <v>421</v>
      </c>
      <c r="C274" s="746" t="s">
        <v>570</v>
      </c>
      <c r="D274" s="747" t="s">
        <v>571</v>
      </c>
    </row>
    <row r="275" spans="1:4" ht="15" customHeight="1">
      <c r="A275" s="749" t="s">
        <v>572</v>
      </c>
      <c r="B275" s="750" t="s">
        <v>386</v>
      </c>
      <c r="C275" s="751"/>
      <c r="D275" s="752"/>
    </row>
  </sheetData>
  <sheetProtection sheet="1" objects="1" scenarios="1"/>
  <mergeCells count="9">
    <mergeCell ref="CG16:CK16"/>
    <mergeCell ref="CG17:CK17"/>
    <mergeCell ref="Y37:AA37"/>
    <mergeCell ref="Y28:AA28"/>
    <mergeCell ref="CC12:CD13"/>
    <mergeCell ref="CE12:CF12"/>
    <mergeCell ref="A3:C3"/>
    <mergeCell ref="CG14:CK14"/>
    <mergeCell ref="CG15:CK15"/>
  </mergeCells>
  <conditionalFormatting sqref="C16">
    <cfRule type="expression" dxfId="37" priority="20" stopIfTrue="1">
      <formula>$B4&lt;&gt;""</formula>
    </cfRule>
  </conditionalFormatting>
  <conditionalFormatting sqref="C17">
    <cfRule type="expression" dxfId="36" priority="25" stopIfTrue="1">
      <formula>$B8&lt;&gt;""</formula>
    </cfRule>
  </conditionalFormatting>
  <conditionalFormatting sqref="C18:C19">
    <cfRule type="expression" dxfId="35" priority="21" stopIfTrue="1">
      <formula>$B10&lt;&gt;""</formula>
    </cfRule>
  </conditionalFormatting>
  <conditionalFormatting sqref="C24:C26 C29">
    <cfRule type="expression" dxfId="34" priority="18" stopIfTrue="1">
      <formula>$B25&lt;&gt;""</formula>
    </cfRule>
  </conditionalFormatting>
  <conditionalFormatting sqref="C27:C28">
    <cfRule type="expression" dxfId="33" priority="24" stopIfTrue="1">
      <formula>$B29&lt;&gt;""</formula>
    </cfRule>
  </conditionalFormatting>
  <conditionalFormatting sqref="C30">
    <cfRule type="expression" dxfId="32" priority="19" stopIfTrue="1">
      <formula>#REF!&lt;&gt;""</formula>
    </cfRule>
  </conditionalFormatting>
  <dataValidations count="6">
    <dataValidation type="list" allowBlank="1" showInputMessage="1" showErrorMessage="1" errorTitle="Invalid Entry" error="Enter a value lesser than or equal to 15 years (max length available in this model)" sqref="C11" xr:uid="{F85D3D0C-0371-4A26-806C-91457F5AFB31}">
      <formula1>"T12,Forward 12"</formula1>
    </dataValidation>
    <dataValidation type="list" allowBlank="1" showInputMessage="1" showErrorMessage="1" sqref="H3 C9" xr:uid="{9739DD12-8341-474E-9E6E-BADBD5F3FAEC}">
      <formula1>"SF,M2"</formula1>
    </dataValidation>
    <dataValidation type="decimal" operator="greaterThan" allowBlank="1" showInputMessage="1" showErrorMessage="1" sqref="C15" xr:uid="{C0789227-914D-45D9-B768-794AE10FD3ED}">
      <formula1>0</formula1>
    </dataValidation>
    <dataValidation type="list" allowBlank="1" showInputMessage="1" showErrorMessage="1" sqref="C7" xr:uid="{D4A50D5D-4A29-466E-BFD0-EC180603B8DE}">
      <formula1>"Manual Input,DCF Value,Cap Year 1 NOI,Replacement Cost"</formula1>
    </dataValidation>
    <dataValidation type="whole" allowBlank="1" showInputMessage="1" showErrorMessage="1" errorTitle="Invalid Year" error="Mininum of 1 year._x000a_Maximum of 15 years." sqref="C10" xr:uid="{D3AE361D-1B21-4A0F-8E91-0E821EDE9030}">
      <formula1>1</formula1>
      <formula2>15</formula2>
    </dataValidation>
    <dataValidation type="list" allowBlank="1" showInputMessage="1" showErrorMessage="1" sqref="AF9" xr:uid="{181F9A94-100A-4B35-8240-666AE8D2AD4B}">
      <formula1>"Simple, Detailed"</formula1>
    </dataValidation>
  </dataValidations>
  <pageMargins left="0.70000000000000007" right="0.70000000000000007" top="0.75" bottom="0.75" header="0.30000000000000004" footer="0.30000000000000004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59A2-4CF7-4691-8A09-A4FA6981E5E7}">
  <dimension ref="A1:DO138"/>
  <sheetViews>
    <sheetView workbookViewId="0">
      <selection activeCell="DG22" sqref="DG22"/>
    </sheetView>
  </sheetViews>
  <sheetFormatPr defaultColWidth="10.7109375" defaultRowHeight="15.4"/>
  <cols>
    <col min="1" max="1" width="3.5703125" style="55" customWidth="1"/>
    <col min="2" max="2" width="31.7109375" style="55" bestFit="1" customWidth="1"/>
    <col min="3" max="3" width="17" style="55" customWidth="1"/>
    <col min="4" max="4" width="14.7109375" style="55" bestFit="1" customWidth="1"/>
    <col min="5" max="5" width="22.42578125" style="55" customWidth="1"/>
    <col min="6" max="6" width="18.85546875" style="55" customWidth="1"/>
    <col min="7" max="7" width="19.140625" style="55" customWidth="1"/>
    <col min="8" max="8" width="16.85546875" style="55" customWidth="1"/>
    <col min="9" max="9" width="19.28515625" style="55" customWidth="1"/>
    <col min="10" max="10" width="21.28515625" style="55" customWidth="1"/>
    <col min="11" max="11" width="18.42578125" style="55" customWidth="1"/>
    <col min="12" max="12" width="10.7109375" style="55"/>
    <col min="13" max="13" width="11.85546875" style="55" bestFit="1" customWidth="1"/>
    <col min="14" max="23" width="10.7109375" style="55"/>
    <col min="24" max="24" width="10.7109375" style="161"/>
    <col min="25" max="25" width="10.7109375" style="55"/>
    <col min="26" max="26" width="24.85546875" style="55" customWidth="1"/>
    <col min="27" max="27" width="1.7109375" style="55" customWidth="1"/>
    <col min="28" max="28" width="18.140625" style="55" customWidth="1"/>
    <col min="29" max="29" width="19.85546875" style="163" customWidth="1"/>
    <col min="30" max="30" width="11" style="55" customWidth="1"/>
    <col min="31" max="32" width="10.7109375" style="55"/>
    <col min="33" max="33" width="30" style="55" customWidth="1"/>
    <col min="34" max="34" width="25.28515625" style="55" customWidth="1"/>
    <col min="35" max="35" width="11.28515625" style="55" customWidth="1"/>
    <col min="36" max="36" width="14.7109375" style="399" customWidth="1"/>
    <col min="37" max="37" width="14.42578125" style="55" customWidth="1"/>
    <col min="38" max="38" width="15" style="55" customWidth="1"/>
    <col min="39" max="39" width="21.140625" style="55" customWidth="1"/>
    <col min="40" max="40" width="11.85546875" style="55" customWidth="1"/>
    <col min="41" max="41" width="12.140625" style="55" customWidth="1"/>
    <col min="42" max="42" width="13.28515625" style="55" customWidth="1"/>
    <col min="43" max="43" width="11.7109375" style="55" bestFit="1" customWidth="1"/>
    <col min="44" max="44" width="13.5703125" style="55" bestFit="1" customWidth="1"/>
    <col min="45" max="45" width="12.85546875" style="55" customWidth="1"/>
    <col min="46" max="46" width="13" style="55" customWidth="1"/>
    <col min="47" max="47" width="12" style="55" customWidth="1"/>
    <col min="48" max="48" width="12.85546875" style="55" customWidth="1"/>
    <col min="49" max="49" width="12.42578125" style="55" customWidth="1"/>
    <col min="50" max="50" width="13.5703125" style="55" customWidth="1"/>
    <col min="51" max="51" width="12.5703125" style="55" customWidth="1"/>
    <col min="52" max="52" width="13.28515625" style="55" customWidth="1"/>
    <col min="53" max="53" width="36" style="380" customWidth="1"/>
    <col min="54" max="55" width="10.7109375" style="55"/>
    <col min="56" max="56" width="5.7109375" style="55" bestFit="1" customWidth="1"/>
    <col min="57" max="57" width="70.85546875" style="55" bestFit="1" customWidth="1"/>
    <col min="58" max="58" width="11.140625" style="55" bestFit="1" customWidth="1"/>
    <col min="59" max="60" width="11.7109375" style="55" customWidth="1"/>
    <col min="61" max="61" width="12.28515625" style="55" bestFit="1" customWidth="1"/>
    <col min="62" max="69" width="11.7109375" style="55" customWidth="1"/>
    <col min="70" max="70" width="14.42578125" style="55" customWidth="1"/>
    <col min="71" max="74" width="2.5703125" style="55" bestFit="1" customWidth="1"/>
    <col min="75" max="76" width="10.7109375" style="55"/>
    <col min="77" max="77" width="5.7109375" style="55" bestFit="1" customWidth="1"/>
    <col min="78" max="78" width="51" style="55" customWidth="1"/>
    <col min="79" max="79" width="16" style="55" bestFit="1" customWidth="1"/>
    <col min="80" max="80" width="16.28515625" style="55" customWidth="1"/>
    <col min="81" max="81" width="20.42578125" style="55" bestFit="1" customWidth="1"/>
    <col min="82" max="82" width="13.5703125" style="55" bestFit="1" customWidth="1"/>
    <col min="83" max="83" width="11.7109375" style="55" customWidth="1"/>
    <col min="84" max="84" width="10.5703125" style="55" customWidth="1"/>
    <col min="85" max="85" width="13.42578125" style="55" customWidth="1"/>
    <col min="86" max="86" width="12" style="55" bestFit="1" customWidth="1"/>
    <col min="87" max="87" width="12.28515625" style="55" customWidth="1"/>
    <col min="88" max="88" width="10.7109375" style="55"/>
    <col min="89" max="89" width="11.140625" style="55" customWidth="1"/>
    <col min="90" max="90" width="11.5703125" style="55" customWidth="1"/>
    <col min="91" max="92" width="11.85546875" style="55" customWidth="1"/>
    <col min="93" max="98" width="2.7109375" style="55" bestFit="1" customWidth="1"/>
    <col min="99" max="100" width="10.7109375" style="55"/>
    <col min="101" max="101" width="15.5703125" style="55" customWidth="1"/>
    <col min="102" max="103" width="13" style="55" bestFit="1" customWidth="1"/>
    <col min="104" max="104" width="22.7109375" style="55" customWidth="1"/>
    <col min="105" max="16384" width="10.7109375" style="55"/>
  </cols>
  <sheetData>
    <row r="1" spans="2:119" ht="51.95" customHeight="1">
      <c r="B1" s="160" t="s">
        <v>343</v>
      </c>
      <c r="Z1" s="162" t="s">
        <v>573</v>
      </c>
      <c r="AG1" s="160" t="s">
        <v>574</v>
      </c>
      <c r="AO1" s="164"/>
      <c r="BE1" s="160" t="s">
        <v>575</v>
      </c>
      <c r="BZ1" s="160" t="s">
        <v>122</v>
      </c>
      <c r="CW1" s="160" t="s">
        <v>576</v>
      </c>
    </row>
    <row r="2" spans="2:119" ht="16.899999999999999">
      <c r="Z2" s="286" t="s">
        <v>125</v>
      </c>
      <c r="AA2" s="286"/>
      <c r="AB2" s="286"/>
      <c r="AG2" s="165"/>
      <c r="AH2" s="165"/>
      <c r="AI2" s="165"/>
      <c r="AJ2" s="400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381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Z2" s="166" t="str">
        <f>D4</f>
        <v>Hiland Office</v>
      </c>
      <c r="CA2" s="167" t="s">
        <v>1</v>
      </c>
      <c r="CB2" s="167" t="s">
        <v>1</v>
      </c>
      <c r="CC2" s="167" t="s">
        <v>1</v>
      </c>
      <c r="CD2" s="167" t="s">
        <v>1</v>
      </c>
      <c r="CE2" s="167" t="s">
        <v>1</v>
      </c>
      <c r="CF2" s="167" t="s">
        <v>1</v>
      </c>
      <c r="CG2" s="167" t="s">
        <v>1</v>
      </c>
      <c r="CH2" s="167" t="s">
        <v>1</v>
      </c>
      <c r="CI2" s="167" t="s">
        <v>1</v>
      </c>
      <c r="CJ2" s="167" t="s">
        <v>1</v>
      </c>
      <c r="CK2" s="167" t="s">
        <v>1</v>
      </c>
      <c r="CL2" s="167" t="s">
        <v>1</v>
      </c>
      <c r="CM2" s="167" t="s">
        <v>1</v>
      </c>
      <c r="CN2" s="167" t="s">
        <v>1</v>
      </c>
      <c r="CO2" s="167" t="s">
        <v>1</v>
      </c>
      <c r="CP2" s="167" t="s">
        <v>1</v>
      </c>
      <c r="CQ2" s="167" t="s">
        <v>1</v>
      </c>
      <c r="CR2" s="167" t="s">
        <v>1</v>
      </c>
      <c r="CS2" s="167" t="s">
        <v>1</v>
      </c>
    </row>
    <row r="3" spans="2:119" ht="34.9">
      <c r="B3" s="837" t="s">
        <v>125</v>
      </c>
      <c r="C3" s="837"/>
      <c r="D3" s="837"/>
      <c r="F3" s="168"/>
      <c r="G3" s="169"/>
      <c r="Z3" s="263" t="s">
        <v>126</v>
      </c>
      <c r="AA3" s="263"/>
      <c r="AB3" s="287">
        <f>(1+D18)*AB12+AB29*D30+D17</f>
        <v>25407936.243000001</v>
      </c>
      <c r="AC3" s="163" t="s">
        <v>127</v>
      </c>
      <c r="AG3" s="170" t="s">
        <v>128</v>
      </c>
      <c r="AH3" s="170"/>
      <c r="AI3" s="170"/>
      <c r="AJ3" s="401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382"/>
      <c r="BB3" s="170"/>
      <c r="BC3" s="170"/>
      <c r="BD3" s="293"/>
      <c r="BE3" s="170" t="s">
        <v>128</v>
      </c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1"/>
      <c r="BZ3" s="330" t="s">
        <v>1</v>
      </c>
      <c r="CA3" s="331" t="s">
        <v>1</v>
      </c>
      <c r="CB3" s="331" t="s">
        <v>1</v>
      </c>
      <c r="CC3" s="173" t="s">
        <v>1</v>
      </c>
      <c r="CD3" s="173" t="s">
        <v>1</v>
      </c>
      <c r="CE3" s="173" t="s">
        <v>1</v>
      </c>
      <c r="CF3" s="173" t="s">
        <v>1</v>
      </c>
      <c r="CG3" s="173" t="s">
        <v>1</v>
      </c>
      <c r="CH3" s="173" t="s">
        <v>1</v>
      </c>
      <c r="CI3" s="173" t="s">
        <v>1</v>
      </c>
      <c r="CJ3" s="173" t="s">
        <v>1</v>
      </c>
      <c r="CK3" s="173" t="s">
        <v>1</v>
      </c>
      <c r="CL3" s="173" t="s">
        <v>1</v>
      </c>
      <c r="CM3" s="173" t="s">
        <v>1</v>
      </c>
      <c r="CN3" s="173" t="s">
        <v>1</v>
      </c>
      <c r="CO3" s="173" t="s">
        <v>1</v>
      </c>
      <c r="CP3" s="173" t="s">
        <v>1</v>
      </c>
      <c r="CQ3" s="173" t="s">
        <v>1</v>
      </c>
      <c r="CR3" s="173" t="s">
        <v>1</v>
      </c>
      <c r="CS3" s="173" t="s">
        <v>1</v>
      </c>
      <c r="CW3" s="231"/>
      <c r="CX3" s="231" t="s">
        <v>46</v>
      </c>
      <c r="CY3" s="231" t="s">
        <v>129</v>
      </c>
      <c r="CZ3" s="248" t="s">
        <v>130</v>
      </c>
      <c r="DA3" s="598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</row>
    <row r="4" spans="2:119" ht="15.75">
      <c r="B4" s="35" t="s">
        <v>131</v>
      </c>
      <c r="C4" s="174"/>
      <c r="D4" s="36" t="s">
        <v>132</v>
      </c>
      <c r="G4" s="175"/>
      <c r="Z4" s="263" t="s">
        <v>133</v>
      </c>
      <c r="AA4" s="263"/>
      <c r="AB4" s="288">
        <f>AB6/AB12</f>
        <v>5.822897199506033E-2</v>
      </c>
      <c r="AC4" s="163" t="s">
        <v>134</v>
      </c>
      <c r="AG4" s="165"/>
      <c r="AH4" s="165"/>
      <c r="AI4" s="165"/>
      <c r="AJ4" s="400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381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Z4" s="359" t="s">
        <v>3</v>
      </c>
      <c r="CA4" s="360" t="s">
        <v>1</v>
      </c>
      <c r="CB4" s="361"/>
      <c r="CC4" s="360" t="s">
        <v>1</v>
      </c>
      <c r="CD4" s="362"/>
      <c r="CE4" s="363"/>
      <c r="CF4" s="363"/>
      <c r="CG4" s="363"/>
      <c r="CH4" s="360" t="s">
        <v>1</v>
      </c>
      <c r="CI4" s="360" t="s">
        <v>1</v>
      </c>
      <c r="CJ4" s="360" t="s">
        <v>1</v>
      </c>
      <c r="CK4" s="360" t="s">
        <v>1</v>
      </c>
      <c r="CL4" s="360" t="s">
        <v>1</v>
      </c>
      <c r="CM4" s="360" t="s">
        <v>1</v>
      </c>
      <c r="CN4" s="360" t="s">
        <v>1</v>
      </c>
      <c r="CO4" s="360" t="s">
        <v>1</v>
      </c>
      <c r="CP4" s="360" t="s">
        <v>1</v>
      </c>
      <c r="CQ4" s="360" t="s">
        <v>1</v>
      </c>
      <c r="CR4" s="364" t="s">
        <v>1</v>
      </c>
      <c r="CS4" s="173" t="s">
        <v>1</v>
      </c>
      <c r="CW4" s="55" t="s">
        <v>135</v>
      </c>
      <c r="CX4" s="441">
        <f>G88</f>
        <v>899180.04</v>
      </c>
      <c r="CY4" s="441">
        <f>I88</f>
        <v>899180.04</v>
      </c>
      <c r="CZ4" s="446">
        <f>K88</f>
        <v>899180.04</v>
      </c>
    </row>
    <row r="5" spans="2:119" ht="23.25">
      <c r="B5" s="35" t="s">
        <v>136</v>
      </c>
      <c r="C5" s="174"/>
      <c r="D5" s="37" t="s">
        <v>137</v>
      </c>
      <c r="G5" s="177"/>
      <c r="Z5" s="263" t="s">
        <v>138</v>
      </c>
      <c r="AA5" s="263"/>
      <c r="AB5" s="289">
        <f>AB12/D16</f>
        <v>490.16924</v>
      </c>
      <c r="AC5" s="163" t="s">
        <v>139</v>
      </c>
      <c r="AG5" s="165"/>
      <c r="AH5" s="165"/>
      <c r="AI5" s="165"/>
      <c r="AJ5" s="400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381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Z5" s="365" t="s">
        <v>5</v>
      </c>
      <c r="CA5" s="173" t="s">
        <v>1</v>
      </c>
      <c r="CB5" s="178"/>
      <c r="CC5" s="332" t="s">
        <v>7</v>
      </c>
      <c r="CD5" s="332"/>
      <c r="CE5" s="332"/>
      <c r="CF5" s="332"/>
      <c r="CG5" s="332"/>
      <c r="CH5" s="173" t="s">
        <v>1</v>
      </c>
      <c r="CI5" s="173" t="s">
        <v>1</v>
      </c>
      <c r="CJ5" s="173" t="s">
        <v>1</v>
      </c>
      <c r="CK5" s="173" t="s">
        <v>1</v>
      </c>
      <c r="CL5" s="173" t="s">
        <v>1</v>
      </c>
      <c r="CM5" s="173" t="s">
        <v>1</v>
      </c>
      <c r="CN5" s="173" t="s">
        <v>1</v>
      </c>
      <c r="CO5" s="173" t="s">
        <v>1</v>
      </c>
      <c r="CP5" s="173" t="s">
        <v>1</v>
      </c>
      <c r="CQ5" s="173" t="s">
        <v>1</v>
      </c>
      <c r="CR5" s="366" t="s">
        <v>1</v>
      </c>
      <c r="CS5" s="173" t="s">
        <v>1</v>
      </c>
      <c r="CW5" s="55" t="s">
        <v>140</v>
      </c>
      <c r="CX5" s="441">
        <f>G89</f>
        <v>448398.96</v>
      </c>
      <c r="CY5" s="441">
        <f>I89</f>
        <v>448398.96</v>
      </c>
      <c r="CZ5" s="446">
        <f>K89</f>
        <v>448398.96</v>
      </c>
    </row>
    <row r="6" spans="2:119" ht="18.399999999999999">
      <c r="B6" s="35"/>
      <c r="C6" s="174"/>
      <c r="D6" s="38"/>
      <c r="Z6" s="263" t="s">
        <v>141</v>
      </c>
      <c r="AA6" s="263"/>
      <c r="AB6" s="290">
        <f>BH23</f>
        <v>1427102.5474400003</v>
      </c>
      <c r="AC6" s="163" t="s">
        <v>142</v>
      </c>
      <c r="AG6" s="179" t="s">
        <v>143</v>
      </c>
      <c r="AH6" s="180"/>
      <c r="AI6" s="180"/>
      <c r="AJ6" s="402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383"/>
      <c r="BB6" s="180"/>
      <c r="BC6" s="180"/>
      <c r="BD6" s="181"/>
      <c r="BE6" s="179" t="str">
        <f>UPPER("Property-Level Cash Flow and Returns")</f>
        <v>PROPERTY-LEVEL CASH FLOW AND RETURNS</v>
      </c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1"/>
      <c r="BZ6" s="367" t="s">
        <v>1</v>
      </c>
      <c r="CA6" s="182" t="s">
        <v>1</v>
      </c>
      <c r="CH6" s="182" t="s">
        <v>1</v>
      </c>
      <c r="CI6" s="182" t="s">
        <v>1</v>
      </c>
      <c r="CJ6" s="182" t="s">
        <v>1</v>
      </c>
      <c r="CK6" s="173" t="s">
        <v>1</v>
      </c>
      <c r="CL6" s="182" t="s">
        <v>1</v>
      </c>
      <c r="CM6" s="182" t="s">
        <v>1</v>
      </c>
      <c r="CN6" s="182" t="s">
        <v>1</v>
      </c>
      <c r="CO6" s="182" t="s">
        <v>1</v>
      </c>
      <c r="CP6" s="182" t="s">
        <v>1</v>
      </c>
      <c r="CQ6" s="182" t="s">
        <v>1</v>
      </c>
      <c r="CR6" s="229" t="s">
        <v>1</v>
      </c>
      <c r="CS6" s="182" t="s">
        <v>1</v>
      </c>
      <c r="CW6" s="55" t="s">
        <v>144</v>
      </c>
      <c r="CX6" s="441">
        <f>G90</f>
        <v>358810.32</v>
      </c>
      <c r="CY6" s="441">
        <f>I90</f>
        <v>358810.32</v>
      </c>
      <c r="CZ6" s="446">
        <f>K90</f>
        <v>358810.32</v>
      </c>
    </row>
    <row r="7" spans="2:119" ht="15.75">
      <c r="B7" s="255" t="s">
        <v>145</v>
      </c>
      <c r="C7" s="183"/>
      <c r="D7" s="37" t="s">
        <v>146</v>
      </c>
      <c r="Z7" s="263" t="s">
        <v>147</v>
      </c>
      <c r="AA7" s="263"/>
      <c r="AB7" s="290">
        <f>BJ23</f>
        <v>1402054.3454400003</v>
      </c>
      <c r="AC7" s="163" t="s">
        <v>142</v>
      </c>
      <c r="AG7" s="184" t="str">
        <f>UPPER(_xlfn.SINGLE(Name))</f>
        <v>HILAND OFFICE</v>
      </c>
      <c r="AH7" s="185"/>
      <c r="AI7" s="185"/>
      <c r="AJ7" s="400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384"/>
      <c r="BB7" s="185"/>
      <c r="BC7" s="185"/>
      <c r="BD7" s="165"/>
      <c r="BE7" s="184" t="str" cm="1">
        <f t="array" ref="BE7">UPPER(Name)</f>
        <v>HILAND OFFICE</v>
      </c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65"/>
      <c r="BZ7" s="368" t="s">
        <v>8</v>
      </c>
      <c r="CA7" s="345" t="s">
        <v>9</v>
      </c>
      <c r="CB7" s="345" t="s">
        <v>10</v>
      </c>
      <c r="CD7" s="168"/>
      <c r="CH7" s="182" t="s">
        <v>1</v>
      </c>
      <c r="CI7" s="182" t="s">
        <v>1</v>
      </c>
      <c r="CJ7" s="182" t="s">
        <v>1</v>
      </c>
      <c r="CK7" s="173" t="s">
        <v>1</v>
      </c>
      <c r="CL7" s="182" t="s">
        <v>1</v>
      </c>
      <c r="CM7" s="182" t="s">
        <v>1</v>
      </c>
      <c r="CN7" s="182" t="s">
        <v>1</v>
      </c>
      <c r="CO7" s="182" t="s">
        <v>1</v>
      </c>
      <c r="CP7" s="182" t="s">
        <v>1</v>
      </c>
      <c r="CQ7" s="182" t="s">
        <v>1</v>
      </c>
      <c r="CR7" s="229" t="s">
        <v>1</v>
      </c>
      <c r="CS7" s="182" t="s">
        <v>1</v>
      </c>
      <c r="CW7" s="55" t="s">
        <v>148</v>
      </c>
      <c r="CX7" s="441">
        <f>G91</f>
        <v>538521.96</v>
      </c>
      <c r="CY7" s="441">
        <f>I91</f>
        <v>538521.96</v>
      </c>
      <c r="CZ7" s="446">
        <f>K91</f>
        <v>538521.96</v>
      </c>
    </row>
    <row r="8" spans="2:119" ht="24.75" customHeight="1">
      <c r="B8" s="35" t="s">
        <v>149</v>
      </c>
      <c r="C8" s="174"/>
      <c r="D8" s="39">
        <v>45839</v>
      </c>
      <c r="E8" s="187"/>
      <c r="Z8" s="263" t="s">
        <v>150</v>
      </c>
      <c r="AA8" s="263"/>
      <c r="AB8" s="288">
        <f>D13+(D10*(D12/10000))</f>
        <v>7.0000000000000007E-2</v>
      </c>
      <c r="AC8" s="163" t="s">
        <v>151</v>
      </c>
      <c r="AG8" s="188" t="s">
        <v>152</v>
      </c>
      <c r="AH8" s="103"/>
      <c r="AI8" s="61"/>
      <c r="AJ8" s="400"/>
      <c r="AK8" s="189"/>
      <c r="AL8" s="190">
        <f>D16</f>
        <v>50000</v>
      </c>
      <c r="AM8" s="58"/>
      <c r="AN8" s="191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385"/>
      <c r="BB8" s="58"/>
      <c r="BC8" s="58"/>
      <c r="BD8" s="165"/>
      <c r="BE8" s="150"/>
      <c r="BF8" s="275"/>
      <c r="BG8" s="308">
        <v>0</v>
      </c>
      <c r="BH8" s="309">
        <f>IF(OR(BG8="",BG8=Analysis_Period+1),"",BG8+1)</f>
        <v>1</v>
      </c>
      <c r="BI8" s="309">
        <f t="shared" ref="BI8:BV8" si="0">IF(OR(BH8="",BH8=_xlfn.SINGLE(Analysis_Period)+1),"",BH8+1)</f>
        <v>2</v>
      </c>
      <c r="BJ8" s="309">
        <f t="shared" si="0"/>
        <v>3</v>
      </c>
      <c r="BK8" s="309">
        <f t="shared" si="0"/>
        <v>4</v>
      </c>
      <c r="BL8" s="309">
        <f t="shared" si="0"/>
        <v>5</v>
      </c>
      <c r="BM8" s="309">
        <f t="shared" si="0"/>
        <v>6</v>
      </c>
      <c r="BN8" s="309">
        <f t="shared" si="0"/>
        <v>7</v>
      </c>
      <c r="BO8" s="309">
        <f t="shared" si="0"/>
        <v>8</v>
      </c>
      <c r="BP8" s="309">
        <f t="shared" si="0"/>
        <v>9</v>
      </c>
      <c r="BQ8" s="309">
        <f t="shared" si="0"/>
        <v>10</v>
      </c>
      <c r="BR8" s="309">
        <f t="shared" si="0"/>
        <v>11</v>
      </c>
      <c r="BS8" s="309" t="str">
        <f t="shared" si="0"/>
        <v/>
      </c>
      <c r="BT8" s="309" t="str">
        <f t="shared" si="0"/>
        <v/>
      </c>
      <c r="BU8" s="309" t="str">
        <f t="shared" si="0"/>
        <v/>
      </c>
      <c r="BV8" s="309" t="str">
        <f t="shared" si="0"/>
        <v/>
      </c>
      <c r="BW8" s="165"/>
      <c r="BZ8" s="367" t="s">
        <v>11</v>
      </c>
      <c r="CA8" s="346">
        <v>0.05</v>
      </c>
      <c r="CB8" s="192">
        <f>CB10*CA8</f>
        <v>104119.32910765042</v>
      </c>
      <c r="CC8" s="182" t="s">
        <v>1</v>
      </c>
      <c r="CD8" s="182" t="s">
        <v>1</v>
      </c>
      <c r="CE8" s="193" t="s">
        <v>1</v>
      </c>
      <c r="CF8" s="182" t="s">
        <v>1</v>
      </c>
      <c r="CG8" s="182" t="s">
        <v>1</v>
      </c>
      <c r="CH8" s="182" t="s">
        <v>1</v>
      </c>
      <c r="CI8" s="347" t="s">
        <v>12</v>
      </c>
      <c r="CJ8" s="348" t="s">
        <v>13</v>
      </c>
      <c r="CK8" s="182" t="s">
        <v>1</v>
      </c>
      <c r="CL8" s="182" t="s">
        <v>1</v>
      </c>
      <c r="CM8" s="182" t="s">
        <v>1</v>
      </c>
      <c r="CN8" s="182" t="s">
        <v>1</v>
      </c>
      <c r="CO8" s="182" t="s">
        <v>1</v>
      </c>
      <c r="CP8" s="182" t="s">
        <v>1</v>
      </c>
      <c r="CQ8" s="182" t="s">
        <v>1</v>
      </c>
      <c r="CR8" s="229" t="s">
        <v>1</v>
      </c>
      <c r="CS8" s="182" t="s">
        <v>1</v>
      </c>
      <c r="CW8" s="55" t="s">
        <v>153</v>
      </c>
      <c r="CX8" s="441"/>
      <c r="CY8" s="441"/>
    </row>
    <row r="9" spans="2:119" ht="10.9" customHeight="1">
      <c r="B9" s="35" t="s">
        <v>154</v>
      </c>
      <c r="C9" s="174"/>
      <c r="D9" s="40" t="s">
        <v>155</v>
      </c>
      <c r="Z9" s="263" t="s">
        <v>156</v>
      </c>
      <c r="AA9" s="263"/>
      <c r="AB9" s="599">
        <f>INDEX(BH32:BV32,1,D10)</f>
        <v>21738919.916191712</v>
      </c>
      <c r="AC9" s="163" t="s">
        <v>157</v>
      </c>
      <c r="AG9" s="194"/>
      <c r="AH9" s="60" t="str">
        <f>IF(AG9="Simple","","See row 45")</f>
        <v>See row 45</v>
      </c>
      <c r="AI9" s="61"/>
      <c r="AJ9" s="403"/>
      <c r="AK9" s="62" t="str">
        <f>C37</f>
        <v>Year 0</v>
      </c>
      <c r="AL9" s="62" t="str">
        <f>D37</f>
        <v>T12</v>
      </c>
      <c r="AM9" s="62" t="s">
        <v>130</v>
      </c>
      <c r="AN9" s="63" t="str">
        <f>"/"&amp;D9</f>
        <v>/SF</v>
      </c>
      <c r="AO9" s="64"/>
      <c r="AP9" s="65">
        <f t="shared" ref="AP9:AZ9" si="1">BH8</f>
        <v>1</v>
      </c>
      <c r="AQ9" s="65">
        <f t="shared" si="1"/>
        <v>2</v>
      </c>
      <c r="AR9" s="65">
        <f t="shared" si="1"/>
        <v>3</v>
      </c>
      <c r="AS9" s="65">
        <f t="shared" si="1"/>
        <v>4</v>
      </c>
      <c r="AT9" s="65">
        <f t="shared" si="1"/>
        <v>5</v>
      </c>
      <c r="AU9" s="65">
        <f t="shared" si="1"/>
        <v>6</v>
      </c>
      <c r="AV9" s="65">
        <f t="shared" si="1"/>
        <v>7</v>
      </c>
      <c r="AW9" s="65">
        <f t="shared" si="1"/>
        <v>8</v>
      </c>
      <c r="AX9" s="65">
        <f t="shared" si="1"/>
        <v>9</v>
      </c>
      <c r="AY9" s="65">
        <f t="shared" si="1"/>
        <v>10</v>
      </c>
      <c r="AZ9" s="65">
        <f t="shared" si="1"/>
        <v>11</v>
      </c>
      <c r="BA9" s="386"/>
      <c r="BB9" s="65"/>
      <c r="BC9" s="65"/>
      <c r="BD9" s="294"/>
      <c r="BE9" s="310" t="s">
        <v>158</v>
      </c>
      <c r="BF9" s="311" t="s">
        <v>75</v>
      </c>
      <c r="BG9" s="312">
        <f>EOMONTH(Analysis_Start,-1)</f>
        <v>45838</v>
      </c>
      <c r="BH9" s="312">
        <f>EOMONTH(Analysis_Start,11)</f>
        <v>46203</v>
      </c>
      <c r="BI9" s="312">
        <f t="shared" ref="BI9:BV9" si="2">_xlfn.SINGLE(IF(BI8="","",EOMONTH(Analysis_Start,(11*BI8)+BH8)))</f>
        <v>46568</v>
      </c>
      <c r="BJ9" s="312">
        <f t="shared" si="2"/>
        <v>46934</v>
      </c>
      <c r="BK9" s="312">
        <f t="shared" si="2"/>
        <v>47299</v>
      </c>
      <c r="BL9" s="312">
        <f t="shared" si="2"/>
        <v>47664</v>
      </c>
      <c r="BM9" s="312">
        <f t="shared" si="2"/>
        <v>48029</v>
      </c>
      <c r="BN9" s="312">
        <f t="shared" si="2"/>
        <v>48395</v>
      </c>
      <c r="BO9" s="312">
        <f t="shared" si="2"/>
        <v>48760</v>
      </c>
      <c r="BP9" s="312">
        <f t="shared" si="2"/>
        <v>49125</v>
      </c>
      <c r="BQ9" s="312">
        <f t="shared" si="2"/>
        <v>49490</v>
      </c>
      <c r="BR9" s="312">
        <f>_xlfn.SINGLE(IF(BR8="","",EOMONTH(Analysis_Start,(11*BR8)+BQ8)))</f>
        <v>49856</v>
      </c>
      <c r="BS9" s="312" t="str">
        <f t="shared" si="2"/>
        <v/>
      </c>
      <c r="BT9" s="312" t="str">
        <f t="shared" si="2"/>
        <v/>
      </c>
      <c r="BU9" s="312" t="str">
        <f t="shared" si="2"/>
        <v/>
      </c>
      <c r="BV9" s="312" t="str">
        <f t="shared" si="2"/>
        <v/>
      </c>
      <c r="BW9" s="165"/>
      <c r="BZ9" s="367" t="s">
        <v>14</v>
      </c>
      <c r="CA9" s="349">
        <f>100%-CA8</f>
        <v>0.95</v>
      </c>
      <c r="CB9" s="350">
        <f>CB10*CA9</f>
        <v>1978267.2530453578</v>
      </c>
      <c r="CC9" s="182" t="s">
        <v>1</v>
      </c>
      <c r="CD9" s="182" t="s">
        <v>1</v>
      </c>
      <c r="CE9" s="193" t="s">
        <v>1</v>
      </c>
      <c r="CF9" s="182" t="s">
        <v>1</v>
      </c>
      <c r="CG9" s="182" t="s">
        <v>1</v>
      </c>
      <c r="CH9" s="182" t="s">
        <v>1</v>
      </c>
      <c r="CI9" s="347" t="s">
        <v>15</v>
      </c>
      <c r="CJ9" s="351" t="e">
        <f>(CB23+CB32)/1000000</f>
        <v>#VALUE!</v>
      </c>
      <c r="CK9" s="182" t="s">
        <v>1</v>
      </c>
      <c r="CL9" s="182" t="s">
        <v>1</v>
      </c>
      <c r="CM9" s="182" t="s">
        <v>1</v>
      </c>
      <c r="CN9" s="182" t="s">
        <v>1</v>
      </c>
      <c r="CO9" s="182" t="s">
        <v>1</v>
      </c>
      <c r="CP9" s="182" t="s">
        <v>1</v>
      </c>
      <c r="CQ9" s="182" t="s">
        <v>1</v>
      </c>
      <c r="CR9" s="229" t="s">
        <v>1</v>
      </c>
      <c r="CS9" s="182" t="s">
        <v>1</v>
      </c>
      <c r="CW9" s="55" t="s">
        <v>159</v>
      </c>
      <c r="CX9" s="441"/>
      <c r="CY9" s="441"/>
    </row>
    <row r="10" spans="2:119">
      <c r="B10" s="35" t="s">
        <v>160</v>
      </c>
      <c r="C10" s="174"/>
      <c r="D10" s="36">
        <v>10</v>
      </c>
      <c r="Z10" s="253"/>
      <c r="AA10" s="253"/>
      <c r="AB10" s="257"/>
      <c r="AG10" s="195">
        <f>_xlfn.RRI(Analysis_Period-1,AP10,INDEX(AP10:BC10,1,Analysis_Period))</f>
        <v>1.0646292707510829E-2</v>
      </c>
      <c r="AH10" s="67" t="s">
        <v>161</v>
      </c>
      <c r="AI10" s="61"/>
      <c r="AJ10" s="399" t="s">
        <v>162</v>
      </c>
      <c r="AK10" s="307">
        <f>CX19</f>
        <v>2244911.2800000003</v>
      </c>
      <c r="AL10" s="307">
        <f t="shared" ref="AK10:AL10" si="3">CY19</f>
        <v>2244911.2800000003</v>
      </c>
      <c r="AM10" s="307">
        <f>CZ19</f>
        <v>2244911.2800000003</v>
      </c>
      <c r="AN10" s="69">
        <f>+AP10/D16</f>
        <v>44.898225600000004</v>
      </c>
      <c r="AO10" s="70"/>
      <c r="AP10" s="71">
        <f>+AM10</f>
        <v>2244911.2800000003</v>
      </c>
      <c r="AQ10" s="72">
        <f t="shared" ref="AQ10:AZ10" si="4">AP10*(1+G67)</f>
        <v>2244911.2800000003</v>
      </c>
      <c r="AR10" s="72">
        <f t="shared" si="4"/>
        <v>2244911.2800000003</v>
      </c>
      <c r="AS10" s="72">
        <f t="shared" si="4"/>
        <v>2244911.2800000003</v>
      </c>
      <c r="AT10" s="72">
        <f t="shared" si="4"/>
        <v>2244911.2800000003</v>
      </c>
      <c r="AU10" s="72">
        <f t="shared" si="4"/>
        <v>2469402.4080000003</v>
      </c>
      <c r="AV10" s="72">
        <f t="shared" si="4"/>
        <v>2469402.4080000003</v>
      </c>
      <c r="AW10" s="72">
        <f t="shared" si="4"/>
        <v>2469402.4080000003</v>
      </c>
      <c r="AX10" s="72">
        <f t="shared" si="4"/>
        <v>2469402.4080000003</v>
      </c>
      <c r="AY10" s="72">
        <f t="shared" si="4"/>
        <v>2469402.4080000003</v>
      </c>
      <c r="AZ10" s="72">
        <f t="shared" si="4"/>
        <v>2716342.6488000005</v>
      </c>
      <c r="BA10" s="380" t="s">
        <v>162</v>
      </c>
      <c r="BB10" s="73"/>
      <c r="BC10" s="73"/>
      <c r="BD10" s="295"/>
      <c r="BE10" s="313" t="s">
        <v>163</v>
      </c>
      <c r="BF10" s="314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315"/>
      <c r="BW10" s="165"/>
      <c r="BZ10" s="367" t="s">
        <v>17</v>
      </c>
      <c r="CA10" s="182" t="s">
        <v>1</v>
      </c>
      <c r="CB10" s="352">
        <f>SUM(CD42:CN42)</f>
        <v>2082386.5821530083</v>
      </c>
      <c r="CC10" s="182" t="s">
        <v>1</v>
      </c>
      <c r="CD10" s="182" t="s">
        <v>1</v>
      </c>
      <c r="CE10" s="193" t="s">
        <v>1</v>
      </c>
      <c r="CF10" s="182" t="s">
        <v>1</v>
      </c>
      <c r="CG10" s="182" t="s">
        <v>1</v>
      </c>
      <c r="CH10" s="182" t="s">
        <v>1</v>
      </c>
      <c r="CI10" s="347" t="s">
        <v>18</v>
      </c>
      <c r="CJ10" s="351">
        <f>SUM(CD38:CN38)/1000000</f>
        <v>3.5900135821530066</v>
      </c>
      <c r="CK10" s="182" t="s">
        <v>1</v>
      </c>
      <c r="CL10" s="182" t="s">
        <v>1</v>
      </c>
      <c r="CM10" s="182" t="s">
        <v>1</v>
      </c>
      <c r="CN10" s="182" t="s">
        <v>1</v>
      </c>
      <c r="CO10" s="182" t="s">
        <v>1</v>
      </c>
      <c r="CP10" s="182" t="s">
        <v>1</v>
      </c>
      <c r="CQ10" s="182" t="s">
        <v>1</v>
      </c>
      <c r="CR10" s="229" t="s">
        <v>1</v>
      </c>
      <c r="CS10" s="182" t="s">
        <v>1</v>
      </c>
      <c r="CW10" s="55" t="s">
        <v>164</v>
      </c>
      <c r="CX10" s="441"/>
      <c r="CY10" s="441"/>
    </row>
    <row r="11" spans="2:119" ht="15.75">
      <c r="B11" s="35" t="s">
        <v>165</v>
      </c>
      <c r="C11" s="174"/>
      <c r="D11" s="41" t="s">
        <v>129</v>
      </c>
      <c r="Z11" s="258" t="s">
        <v>166</v>
      </c>
      <c r="AA11" s="258"/>
      <c r="AB11" s="258"/>
      <c r="AG11" s="195">
        <f>_xlfn.RRI(Analysis_Period-1,AP11,INDEX(AP11:BD11,1,Analysis_Period))</f>
        <v>0</v>
      </c>
      <c r="AH11" s="67" t="s">
        <v>167</v>
      </c>
      <c r="AI11" s="196"/>
      <c r="AJ11" s="399" t="s">
        <v>168</v>
      </c>
      <c r="AK11" s="68">
        <f t="shared" ref="AK11:AM12" si="5">C39</f>
        <v>0</v>
      </c>
      <c r="AL11" s="68">
        <f t="shared" si="5"/>
        <v>0</v>
      </c>
      <c r="AM11" s="307">
        <f t="shared" si="5"/>
        <v>0</v>
      </c>
      <c r="AN11" s="69">
        <f>+AP11/D16</f>
        <v>0</v>
      </c>
      <c r="AO11" s="70"/>
      <c r="AP11" s="71">
        <f>+AM11</f>
        <v>0</v>
      </c>
      <c r="AQ11" s="72">
        <f t="shared" ref="AQ11:AZ11" si="6">AP11*(1+G67)</f>
        <v>0</v>
      </c>
      <c r="AR11" s="72">
        <f t="shared" si="6"/>
        <v>0</v>
      </c>
      <c r="AS11" s="72">
        <f t="shared" si="6"/>
        <v>0</v>
      </c>
      <c r="AT11" s="72">
        <f t="shared" si="6"/>
        <v>0</v>
      </c>
      <c r="AU11" s="72">
        <f t="shared" si="6"/>
        <v>0</v>
      </c>
      <c r="AV11" s="72">
        <f t="shared" si="6"/>
        <v>0</v>
      </c>
      <c r="AW11" s="72">
        <f t="shared" si="6"/>
        <v>0</v>
      </c>
      <c r="AX11" s="72">
        <f t="shared" si="6"/>
        <v>0</v>
      </c>
      <c r="AY11" s="72">
        <f t="shared" si="6"/>
        <v>0</v>
      </c>
      <c r="AZ11" s="72">
        <f t="shared" si="6"/>
        <v>0</v>
      </c>
      <c r="BA11" s="380" t="s">
        <v>168</v>
      </c>
      <c r="BB11" s="73"/>
      <c r="BC11" s="73"/>
      <c r="BD11" s="295"/>
      <c r="BE11" s="316" t="s">
        <v>169</v>
      </c>
      <c r="BF11" s="314"/>
      <c r="BG11" s="317">
        <f>D20</f>
        <v>24508462</v>
      </c>
      <c r="BH11" s="317">
        <f t="shared" ref="BH11:BQ11" si="7">(BH8&lt;=$D$10)*(BH8=0)*$D$20</f>
        <v>0</v>
      </c>
      <c r="BI11" s="317">
        <f t="shared" si="7"/>
        <v>0</v>
      </c>
      <c r="BJ11" s="317">
        <f t="shared" si="7"/>
        <v>0</v>
      </c>
      <c r="BK11" s="317">
        <f t="shared" si="7"/>
        <v>0</v>
      </c>
      <c r="BL11" s="317">
        <f t="shared" si="7"/>
        <v>0</v>
      </c>
      <c r="BM11" s="317">
        <f t="shared" si="7"/>
        <v>0</v>
      </c>
      <c r="BN11" s="317">
        <f t="shared" si="7"/>
        <v>0</v>
      </c>
      <c r="BO11" s="317">
        <f t="shared" si="7"/>
        <v>0</v>
      </c>
      <c r="BP11" s="317">
        <f t="shared" si="7"/>
        <v>0</v>
      </c>
      <c r="BQ11" s="317">
        <f t="shared" si="7"/>
        <v>0</v>
      </c>
      <c r="BR11" s="317" t="str">
        <f>IF(BR8&gt;_xlfn.SINGLE(Analysis_Period),"",(BR8=0)*'[1]Property Cash Flow'!$D$22)</f>
        <v/>
      </c>
      <c r="BS11" s="317" t="str">
        <f>IF(BS8&gt;_xlfn.SINGLE(Analysis_Period),"",(BS8=0)*'[1]Property Cash Flow'!$D$22)</f>
        <v/>
      </c>
      <c r="BT11" s="317" t="str">
        <f>IF(BT8&gt;_xlfn.SINGLE(Analysis_Period),"",(BT8=0)*'[1]Property Cash Flow'!$D$22)</f>
        <v/>
      </c>
      <c r="BU11" s="317" t="str">
        <f>IF(BU8&gt;_xlfn.SINGLE(Analysis_Period),"",(BU8=0)*'[1]Property Cash Flow'!$D$22)</f>
        <v/>
      </c>
      <c r="BV11" s="317" t="str">
        <f>IF(BV8&gt;_xlfn.SINGLE(Analysis_Period),"",(BV8=0)*'[1]Property Cash Flow'!$D$22)</f>
        <v/>
      </c>
      <c r="BW11" s="165"/>
      <c r="BZ11" s="367" t="s">
        <v>1</v>
      </c>
      <c r="CA11" s="182" t="s">
        <v>1</v>
      </c>
      <c r="CB11" s="197" t="s">
        <v>1</v>
      </c>
      <c r="CC11" s="182" t="s">
        <v>1</v>
      </c>
      <c r="CD11" s="182" t="s">
        <v>1</v>
      </c>
      <c r="CE11" s="193" t="s">
        <v>1</v>
      </c>
      <c r="CF11" s="182" t="s">
        <v>1</v>
      </c>
      <c r="CG11" s="182" t="s">
        <v>1</v>
      </c>
      <c r="CH11" s="182" t="s">
        <v>1</v>
      </c>
      <c r="CI11" s="182" t="s">
        <v>1</v>
      </c>
      <c r="CJ11" s="182" t="s">
        <v>1</v>
      </c>
      <c r="CK11" s="182" t="s">
        <v>1</v>
      </c>
      <c r="CL11" s="182" t="s">
        <v>1</v>
      </c>
      <c r="CM11" s="182" t="s">
        <v>1</v>
      </c>
      <c r="CN11" s="182" t="s">
        <v>1</v>
      </c>
      <c r="CO11" s="182" t="s">
        <v>1</v>
      </c>
      <c r="CP11" s="182" t="s">
        <v>1</v>
      </c>
      <c r="CQ11" s="182" t="s">
        <v>1</v>
      </c>
      <c r="CR11" s="229" t="s">
        <v>1</v>
      </c>
      <c r="CS11" s="182" t="s">
        <v>1</v>
      </c>
      <c r="CW11" s="55" t="s">
        <v>170</v>
      </c>
      <c r="CX11" s="441"/>
      <c r="CY11" s="441"/>
    </row>
    <row r="12" spans="2:119" ht="28.15" customHeight="1">
      <c r="B12" s="35" t="s">
        <v>171</v>
      </c>
      <c r="C12" s="174"/>
      <c r="D12" s="42">
        <v>5</v>
      </c>
      <c r="Z12" s="259" t="s">
        <v>169</v>
      </c>
      <c r="AA12" s="259"/>
      <c r="AB12" s="279">
        <f>IF(D7="Manual Input",D20,IF(D7="DCF",AB13,IF(D7="Cap Year 1 NOI",AB6/D13,AB15)))</f>
        <v>24508462</v>
      </c>
      <c r="AC12" s="198" t="s">
        <v>172</v>
      </c>
      <c r="AD12" s="199"/>
      <c r="AG12" s="195">
        <f>_xlfn.RRI(_xlfn.SINGLE(Analysis_Period)-1,AP12,_xlfn.SINGLE(INDEX(AP12:BD12,1,_xlfn.SINGLE(Analysis_Period))))</f>
        <v>1.0646292707510829E-2</v>
      </c>
      <c r="AH12" s="67" t="s">
        <v>173</v>
      </c>
      <c r="AI12" s="61"/>
      <c r="AJ12" s="404" t="s">
        <v>174</v>
      </c>
      <c r="AK12" s="68">
        <f t="shared" si="5"/>
        <v>98751</v>
      </c>
      <c r="AL12" s="68">
        <f t="shared" si="5"/>
        <v>99152</v>
      </c>
      <c r="AM12" s="307">
        <f t="shared" si="5"/>
        <v>100000</v>
      </c>
      <c r="AN12" s="75">
        <f>+AP12/D16</f>
        <v>2</v>
      </c>
      <c r="AO12" s="76"/>
      <c r="AP12" s="77">
        <f>+AM12</f>
        <v>100000</v>
      </c>
      <c r="AQ12" s="72">
        <f t="shared" ref="AQ12:AZ12" si="8">AP12*(1+G67)</f>
        <v>100000</v>
      </c>
      <c r="AR12" s="72">
        <f t="shared" si="8"/>
        <v>100000</v>
      </c>
      <c r="AS12" s="72">
        <f t="shared" si="8"/>
        <v>100000</v>
      </c>
      <c r="AT12" s="72">
        <f t="shared" si="8"/>
        <v>100000</v>
      </c>
      <c r="AU12" s="72">
        <f t="shared" si="8"/>
        <v>110000.00000000001</v>
      </c>
      <c r="AV12" s="72">
        <f t="shared" si="8"/>
        <v>110000.00000000001</v>
      </c>
      <c r="AW12" s="72">
        <f t="shared" si="8"/>
        <v>110000.00000000001</v>
      </c>
      <c r="AX12" s="72">
        <f t="shared" si="8"/>
        <v>110000.00000000001</v>
      </c>
      <c r="AY12" s="72">
        <f t="shared" si="8"/>
        <v>110000.00000000001</v>
      </c>
      <c r="AZ12" s="72">
        <f t="shared" si="8"/>
        <v>121000.00000000003</v>
      </c>
      <c r="BA12" s="387" t="s">
        <v>174</v>
      </c>
      <c r="BB12" s="78"/>
      <c r="BC12" s="78"/>
      <c r="BD12" s="296"/>
      <c r="BE12" s="316" t="s">
        <v>175</v>
      </c>
      <c r="BF12" s="314"/>
      <c r="BG12" s="317">
        <f>D17</f>
        <v>250000</v>
      </c>
      <c r="BH12" s="317">
        <f t="shared" ref="BH12:BQ12" si="9">(BH8&lt;=$D$10)*(BH8=0)*$D$20</f>
        <v>0</v>
      </c>
      <c r="BI12" s="317">
        <f t="shared" si="9"/>
        <v>0</v>
      </c>
      <c r="BJ12" s="317">
        <f t="shared" si="9"/>
        <v>0</v>
      </c>
      <c r="BK12" s="317">
        <f t="shared" si="9"/>
        <v>0</v>
      </c>
      <c r="BL12" s="317">
        <f t="shared" si="9"/>
        <v>0</v>
      </c>
      <c r="BM12" s="317">
        <f t="shared" si="9"/>
        <v>0</v>
      </c>
      <c r="BN12" s="317">
        <f t="shared" si="9"/>
        <v>0</v>
      </c>
      <c r="BO12" s="317">
        <f t="shared" si="9"/>
        <v>0</v>
      </c>
      <c r="BP12" s="317">
        <f t="shared" si="9"/>
        <v>0</v>
      </c>
      <c r="BQ12" s="317">
        <f t="shared" si="9"/>
        <v>0</v>
      </c>
      <c r="BR12" s="317" t="str">
        <f>IF(BR8&gt;_xlfn.SINGLE(Analysis_Period),"",(BR8=0)*'[1]Property Cash Flow'!AC10)</f>
        <v/>
      </c>
      <c r="BS12" s="317" t="str">
        <f>IF(BS8&gt;_xlfn.SINGLE(Analysis_Period),"",(BS8=0)*'[1]Property Cash Flow'!AD10)</f>
        <v/>
      </c>
      <c r="BT12" s="317" t="str">
        <f>IF(BT8&gt;_xlfn.SINGLE(Analysis_Period),"",(BT8=0)*'[1]Property Cash Flow'!AE10)</f>
        <v/>
      </c>
      <c r="BU12" s="317" t="str">
        <f>IF(BU8&gt;_xlfn.SINGLE(Analysis_Period),"",(BU8=0)*'[1]Property Cash Flow'!AF10)</f>
        <v/>
      </c>
      <c r="BV12" s="317" t="str">
        <f>IF(BV8&gt;_xlfn.SINGLE(Analysis_Period),"",(BV8=0)*'[1]Property Cash Flow'!AG10)</f>
        <v/>
      </c>
      <c r="BW12" s="165"/>
      <c r="BZ12" s="369" t="s">
        <v>19</v>
      </c>
      <c r="CA12" s="353" t="s">
        <v>4</v>
      </c>
      <c r="CB12" s="200" t="s">
        <v>1</v>
      </c>
      <c r="CC12" s="200" t="s">
        <v>1</v>
      </c>
      <c r="CD12" s="844" t="s">
        <v>20</v>
      </c>
      <c r="CE12" s="844"/>
      <c r="CF12" s="845" t="s">
        <v>21</v>
      </c>
      <c r="CG12" s="845"/>
      <c r="CH12" s="200" t="s">
        <v>1</v>
      </c>
      <c r="CI12" s="200" t="s">
        <v>1</v>
      </c>
      <c r="CJ12" s="200" t="s">
        <v>1</v>
      </c>
      <c r="CK12" s="200" t="s">
        <v>1</v>
      </c>
      <c r="CL12" s="200" t="s">
        <v>1</v>
      </c>
      <c r="CM12" s="182" t="s">
        <v>1</v>
      </c>
      <c r="CN12" s="182" t="s">
        <v>1</v>
      </c>
      <c r="CO12" s="182" t="s">
        <v>1</v>
      </c>
      <c r="CP12" s="182" t="s">
        <v>1</v>
      </c>
      <c r="CQ12" s="182" t="s">
        <v>1</v>
      </c>
      <c r="CR12" s="229" t="s">
        <v>1</v>
      </c>
      <c r="CS12" s="182" t="s">
        <v>1</v>
      </c>
      <c r="CW12" s="55" t="s">
        <v>176</v>
      </c>
      <c r="CX12" s="441"/>
      <c r="CY12" s="441"/>
    </row>
    <row r="13" spans="2:119" ht="34.9">
      <c r="B13" s="35" t="s">
        <v>177</v>
      </c>
      <c r="C13" s="174"/>
      <c r="D13" s="43">
        <v>6.5000000000000002E-2</v>
      </c>
      <c r="Z13" s="260" t="s">
        <v>178</v>
      </c>
      <c r="AA13" s="260"/>
      <c r="AB13" s="280">
        <f>NPV(D14,BH43:BR43)</f>
        <v>18849396.385320626</v>
      </c>
      <c r="AC13" s="198" t="s">
        <v>179</v>
      </c>
      <c r="AD13" s="199"/>
      <c r="AG13" s="201">
        <f>_xlfn.RRI(_xlfn.SINGLE(Analysis_Period)-1,AP13,_xlfn.SINGLE(INDEX(AP13:BD13,1,_xlfn.SINGLE(Analysis_Period))))</f>
        <v>1.0646292707510829E-2</v>
      </c>
      <c r="AH13" s="106" t="s">
        <v>180</v>
      </c>
      <c r="AI13" s="202"/>
      <c r="AJ13" s="404" t="s">
        <v>181</v>
      </c>
      <c r="AK13" s="79">
        <f>SUM(AK10:AK12)</f>
        <v>2343662.2800000003</v>
      </c>
      <c r="AL13" s="79">
        <f>SUM(AL10:AL12)</f>
        <v>2344063.2800000003</v>
      </c>
      <c r="AM13" s="79">
        <f>SUM(AM10:AM12)</f>
        <v>2344911.2800000003</v>
      </c>
      <c r="AN13" s="80">
        <f>SUM(AN10:AN12)</f>
        <v>46.898225600000004</v>
      </c>
      <c r="AO13" s="81"/>
      <c r="AP13" s="82">
        <f>SUM(AP10:AP12)</f>
        <v>2344911.2800000003</v>
      </c>
      <c r="AQ13" s="82">
        <f>SUM(AQ10:AQ12)</f>
        <v>2344911.2800000003</v>
      </c>
      <c r="AR13" s="82">
        <f>SUM(AR10:AR12)</f>
        <v>2344911.2800000003</v>
      </c>
      <c r="AS13" s="82">
        <f>SUM(AS10:AS12)</f>
        <v>2344911.2800000003</v>
      </c>
      <c r="AT13" s="82">
        <f t="shared" ref="AT13:AZ13" si="10">SUM(AT10:AT12)</f>
        <v>2344911.2800000003</v>
      </c>
      <c r="AU13" s="82">
        <f t="shared" si="10"/>
        <v>2579402.4080000003</v>
      </c>
      <c r="AV13" s="82">
        <f t="shared" si="10"/>
        <v>2579402.4080000003</v>
      </c>
      <c r="AW13" s="82">
        <f t="shared" si="10"/>
        <v>2579402.4080000003</v>
      </c>
      <c r="AX13" s="82">
        <f t="shared" si="10"/>
        <v>2579402.4080000003</v>
      </c>
      <c r="AY13" s="82">
        <f t="shared" si="10"/>
        <v>2579402.4080000003</v>
      </c>
      <c r="AZ13" s="82">
        <f t="shared" si="10"/>
        <v>2837342.6488000005</v>
      </c>
      <c r="BA13" s="387" t="s">
        <v>181</v>
      </c>
      <c r="BB13" s="83"/>
      <c r="BC13" s="83"/>
      <c r="BD13" s="297"/>
      <c r="BE13" s="316" t="s">
        <v>182</v>
      </c>
      <c r="BF13" s="314"/>
      <c r="BG13" s="318">
        <f>D18*D20</f>
        <v>490169.24</v>
      </c>
      <c r="BH13" s="317">
        <f t="shared" ref="BH13:BQ13" si="11">(BH8&lt;=$D$10)*(BH8=0)*$D$20</f>
        <v>0</v>
      </c>
      <c r="BI13" s="317">
        <f t="shared" si="11"/>
        <v>0</v>
      </c>
      <c r="BJ13" s="317">
        <f t="shared" si="11"/>
        <v>0</v>
      </c>
      <c r="BK13" s="317">
        <f t="shared" si="11"/>
        <v>0</v>
      </c>
      <c r="BL13" s="317">
        <f t="shared" si="11"/>
        <v>0</v>
      </c>
      <c r="BM13" s="317">
        <f t="shared" si="11"/>
        <v>0</v>
      </c>
      <c r="BN13" s="317">
        <f t="shared" si="11"/>
        <v>0</v>
      </c>
      <c r="BO13" s="317">
        <f t="shared" si="11"/>
        <v>0</v>
      </c>
      <c r="BP13" s="317">
        <f t="shared" si="11"/>
        <v>0</v>
      </c>
      <c r="BQ13" s="317">
        <f t="shared" si="11"/>
        <v>0</v>
      </c>
      <c r="BR13" s="317" t="str">
        <f>IF(BR8&gt;_xlfn.SINGLE(Analysis_Period),"",(BR9=0)*'[1]Property Cash Flow'!$D$22)</f>
        <v/>
      </c>
      <c r="BS13" s="318" t="str">
        <f>IF(BS8&gt;_xlfn.SINGLE(Analysis_Period),"",(BS8=0)*BS11*'[1]Property Cash Flow'!AD11)</f>
        <v/>
      </c>
      <c r="BT13" s="318" t="str">
        <f>IF(BT8&gt;_xlfn.SINGLE(Analysis_Period),"",(BT8=0)*BT11*'[1]Property Cash Flow'!AE11)</f>
        <v/>
      </c>
      <c r="BU13" s="318" t="str">
        <f>IF(BU8&gt;_xlfn.SINGLE(Analysis_Period),"",(BU8=0)*BU11*'[1]Property Cash Flow'!AF11)</f>
        <v/>
      </c>
      <c r="BV13" s="318" t="str">
        <f>IF(BV8&gt;_xlfn.SINGLE(Analysis_Period),"",(BV8=0)*BV11*'[1]Property Cash Flow'!AG11)</f>
        <v/>
      </c>
      <c r="BW13" s="165"/>
      <c r="BZ13" s="368" t="s">
        <v>22</v>
      </c>
      <c r="CA13" s="200" t="s">
        <v>1</v>
      </c>
      <c r="CB13" s="200" t="s">
        <v>1</v>
      </c>
      <c r="CC13" s="200" t="s">
        <v>1</v>
      </c>
      <c r="CD13" s="844"/>
      <c r="CE13" s="844"/>
      <c r="CF13" s="345" t="s">
        <v>23</v>
      </c>
      <c r="CG13" s="345" t="s">
        <v>24</v>
      </c>
      <c r="CH13" s="345" t="s">
        <v>25</v>
      </c>
      <c r="CI13" s="200" t="s">
        <v>1</v>
      </c>
      <c r="CJ13" s="200" t="s">
        <v>1</v>
      </c>
      <c r="CK13" s="200" t="s">
        <v>1</v>
      </c>
      <c r="CL13" s="200" t="s">
        <v>1</v>
      </c>
      <c r="CM13" s="182" t="s">
        <v>1</v>
      </c>
      <c r="CN13" s="182" t="s">
        <v>1</v>
      </c>
      <c r="CO13" s="182" t="s">
        <v>1</v>
      </c>
      <c r="CP13" s="182" t="s">
        <v>1</v>
      </c>
      <c r="CQ13" s="182" t="s">
        <v>1</v>
      </c>
      <c r="CR13" s="229" t="s">
        <v>1</v>
      </c>
      <c r="CS13" s="182" t="s">
        <v>1</v>
      </c>
      <c r="CW13" s="55" t="s">
        <v>183</v>
      </c>
      <c r="CX13" s="441"/>
      <c r="CY13" s="441"/>
    </row>
    <row r="14" spans="2:119" ht="23.25">
      <c r="B14" s="35" t="s">
        <v>184</v>
      </c>
      <c r="C14" s="174"/>
      <c r="D14" s="43">
        <v>7.4999999999999997E-2</v>
      </c>
      <c r="Z14" s="260" t="s">
        <v>185</v>
      </c>
      <c r="AA14" s="260"/>
      <c r="AB14" s="281">
        <f>D15*D16</f>
        <v>20000000</v>
      </c>
      <c r="AC14" s="198" t="s">
        <v>186</v>
      </c>
      <c r="AD14" s="199"/>
      <c r="AG14" s="58"/>
      <c r="AH14" s="103"/>
      <c r="AI14" s="203"/>
      <c r="AJ14" s="405"/>
      <c r="AK14" s="68"/>
      <c r="AL14" s="68"/>
      <c r="AM14" s="85"/>
      <c r="AN14" s="69"/>
      <c r="AO14" s="70"/>
      <c r="AP14" s="71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388"/>
      <c r="BB14" s="73"/>
      <c r="BC14" s="73"/>
      <c r="BD14" s="295"/>
      <c r="BE14" s="319" t="s">
        <v>187</v>
      </c>
      <c r="BF14" s="314"/>
      <c r="BG14" s="320">
        <f>SUM(BG11:BG13)</f>
        <v>25248631.239999998</v>
      </c>
      <c r="BH14" s="320"/>
      <c r="BI14" s="320">
        <f t="shared" ref="BI14:BR14" si="12">IF(BI8&gt;_xlfn.SINGLE(Analysis_Period),"",SUM(BI11:BI13))</f>
        <v>0</v>
      </c>
      <c r="BJ14" s="320">
        <f t="shared" si="12"/>
        <v>0</v>
      </c>
      <c r="BK14" s="320">
        <f t="shared" si="12"/>
        <v>0</v>
      </c>
      <c r="BL14" s="320">
        <f t="shared" si="12"/>
        <v>0</v>
      </c>
      <c r="BM14" s="320">
        <f t="shared" si="12"/>
        <v>0</v>
      </c>
      <c r="BN14" s="320">
        <f t="shared" si="12"/>
        <v>0</v>
      </c>
      <c r="BO14" s="320">
        <f t="shared" si="12"/>
        <v>0</v>
      </c>
      <c r="BP14" s="320">
        <f t="shared" si="12"/>
        <v>0</v>
      </c>
      <c r="BQ14" s="320">
        <f t="shared" si="12"/>
        <v>0</v>
      </c>
      <c r="BR14" s="320" t="str">
        <f t="shared" si="12"/>
        <v/>
      </c>
      <c r="BS14" s="317" t="str">
        <f t="shared" ref="BS14:BV14" si="13">IF(BS8&gt;_xlfn.SINGLE(Analysis_Period),"",SUM(BS11:BS13))</f>
        <v/>
      </c>
      <c r="BT14" s="317" t="str">
        <f t="shared" si="13"/>
        <v/>
      </c>
      <c r="BU14" s="317" t="str">
        <f t="shared" si="13"/>
        <v/>
      </c>
      <c r="BV14" s="317" t="str">
        <f t="shared" si="13"/>
        <v/>
      </c>
      <c r="BW14" s="165"/>
      <c r="BZ14" s="367" t="s">
        <v>26</v>
      </c>
      <c r="CA14" s="354" t="s">
        <v>27</v>
      </c>
      <c r="CB14" s="355" t="s">
        <v>4</v>
      </c>
      <c r="CC14" s="197" t="str">
        <f t="shared" ref="CC14:CC15" si="14">CB15</f>
        <v>&gt; 8.0% IRR to LP</v>
      </c>
      <c r="CD14" s="356" t="s">
        <v>29</v>
      </c>
      <c r="CE14" s="356"/>
      <c r="CF14" s="175">
        <f>CA8</f>
        <v>0.05</v>
      </c>
      <c r="CG14" s="357">
        <f>1-CF14</f>
        <v>0.95</v>
      </c>
      <c r="CH14" s="846" t="s">
        <v>30</v>
      </c>
      <c r="CI14" s="846"/>
      <c r="CJ14" s="846"/>
      <c r="CK14" s="846"/>
      <c r="CL14" s="846"/>
      <c r="CM14" s="182" t="s">
        <v>1</v>
      </c>
      <c r="CN14" s="182" t="s">
        <v>1</v>
      </c>
      <c r="CO14" s="182" t="s">
        <v>1</v>
      </c>
      <c r="CP14" s="182" t="s">
        <v>1</v>
      </c>
      <c r="CQ14" s="182" t="s">
        <v>1</v>
      </c>
      <c r="CR14" s="229" t="s">
        <v>1</v>
      </c>
      <c r="CS14" s="182" t="s">
        <v>1</v>
      </c>
      <c r="CW14" s="55" t="s">
        <v>188</v>
      </c>
    </row>
    <row r="15" spans="2:119" ht="15.75">
      <c r="B15" s="35" t="s">
        <v>189</v>
      </c>
      <c r="C15" s="174"/>
      <c r="D15" s="44">
        <v>400</v>
      </c>
      <c r="Z15" s="261"/>
      <c r="AA15" s="261"/>
      <c r="AB15" s="282"/>
      <c r="AC15" s="198"/>
      <c r="AD15" s="199"/>
      <c r="AG15" s="205"/>
      <c r="AH15" s="67" t="s">
        <v>190</v>
      </c>
      <c r="AI15" s="206"/>
      <c r="AJ15" s="404" t="s">
        <v>191</v>
      </c>
      <c r="AK15" s="307">
        <f>C43</f>
        <v>-24131.084275599998</v>
      </c>
      <c r="AL15" s="307">
        <f>D43</f>
        <v>-24561.7</v>
      </c>
      <c r="AM15" s="307">
        <v>0</v>
      </c>
      <c r="AN15" s="600">
        <f>+AP15/$D$16</f>
        <v>0</v>
      </c>
      <c r="AO15" s="70"/>
      <c r="AP15" s="71">
        <f>+AM15</f>
        <v>0</v>
      </c>
      <c r="AQ15" s="73" t="str">
        <f t="shared" ref="AQ15:AZ15" si="15">IF(AP$8="","",AP15*(1+AQ$50))</f>
        <v/>
      </c>
      <c r="AR15" s="73" t="str">
        <f t="shared" si="15"/>
        <v/>
      </c>
      <c r="AS15" s="73" t="str">
        <f t="shared" si="15"/>
        <v/>
      </c>
      <c r="AT15" s="73" t="str">
        <f t="shared" si="15"/>
        <v/>
      </c>
      <c r="AU15" s="73" t="str">
        <f t="shared" si="15"/>
        <v/>
      </c>
      <c r="AV15" s="73" t="str">
        <f t="shared" si="15"/>
        <v/>
      </c>
      <c r="AW15" s="73" t="str">
        <f t="shared" si="15"/>
        <v/>
      </c>
      <c r="AX15" s="73" t="str">
        <f t="shared" si="15"/>
        <v/>
      </c>
      <c r="AY15" s="73" t="str">
        <f t="shared" si="15"/>
        <v/>
      </c>
      <c r="AZ15" s="73" t="str">
        <f t="shared" si="15"/>
        <v/>
      </c>
      <c r="BA15" s="387" t="s">
        <v>191</v>
      </c>
      <c r="BB15" s="73"/>
      <c r="BC15" s="73"/>
      <c r="BD15" s="295"/>
      <c r="BE15" s="319"/>
      <c r="BF15" s="314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317"/>
      <c r="BW15" s="165"/>
      <c r="BZ15" s="367" t="s">
        <v>31</v>
      </c>
      <c r="CA15" s="332" t="s">
        <v>32</v>
      </c>
      <c r="CB15" s="176" t="s">
        <v>33</v>
      </c>
      <c r="CC15" s="197" t="str">
        <f t="shared" si="14"/>
        <v>&gt; 12.0% IRR to LP</v>
      </c>
      <c r="CD15" s="175">
        <v>0.2</v>
      </c>
      <c r="CE15" s="182" t="s">
        <v>1</v>
      </c>
      <c r="CF15" s="358">
        <f>1-($CA$9*(1-CD15))</f>
        <v>0.24</v>
      </c>
      <c r="CG15" s="357">
        <f>1-CF15</f>
        <v>0.76</v>
      </c>
      <c r="CH15" s="846" t="s">
        <v>35</v>
      </c>
      <c r="CI15" s="846"/>
      <c r="CJ15" s="846"/>
      <c r="CK15" s="846"/>
      <c r="CL15" s="846"/>
      <c r="CM15" s="182" t="s">
        <v>1</v>
      </c>
      <c r="CN15" s="182" t="s">
        <v>1</v>
      </c>
      <c r="CO15" s="182" t="s">
        <v>1</v>
      </c>
      <c r="CP15" s="182" t="s">
        <v>1</v>
      </c>
      <c r="CQ15" s="182" t="s">
        <v>1</v>
      </c>
      <c r="CR15" s="229" t="s">
        <v>1</v>
      </c>
      <c r="CS15" s="182" t="s">
        <v>1</v>
      </c>
      <c r="CW15" s="55" t="s">
        <v>192</v>
      </c>
    </row>
    <row r="16" spans="2:119">
      <c r="B16" s="255" t="str">
        <f>"Net Rentable Area ("&amp;D9 &amp;")"</f>
        <v>Net Rentable Area (SF)</v>
      </c>
      <c r="C16" s="183"/>
      <c r="D16" s="45">
        <v>50000</v>
      </c>
      <c r="Z16" s="260" t="s">
        <v>193</v>
      </c>
      <c r="AA16" s="260"/>
      <c r="AB16" s="283">
        <f>BG47</f>
        <v>3.6418443341966977E-2</v>
      </c>
      <c r="AC16" s="198" t="s">
        <v>142</v>
      </c>
      <c r="AD16" s="199"/>
      <c r="AG16" s="207"/>
      <c r="AH16" s="67" t="s">
        <v>194</v>
      </c>
      <c r="AI16" s="601"/>
      <c r="AJ16" s="405" t="s">
        <v>195</v>
      </c>
      <c r="AK16" s="113">
        <f>-AK13*C33</f>
        <v>-234366.22800000003</v>
      </c>
      <c r="AL16" s="113">
        <f>-AL13*$C$33</f>
        <v>-234406.32800000004</v>
      </c>
      <c r="AM16" s="113">
        <f>-AM13*$C$33</f>
        <v>-234491.12800000003</v>
      </c>
      <c r="AN16" s="600">
        <f>+AP16/$D$16</f>
        <v>-4.6898225600000005</v>
      </c>
      <c r="AO16" s="70"/>
      <c r="AP16" s="71">
        <f>+AM16</f>
        <v>-234491.12800000003</v>
      </c>
      <c r="AQ16" s="72">
        <f t="shared" ref="AQ16:AZ16" si="16">-AQ13*G66</f>
        <v>-234491.12800000003</v>
      </c>
      <c r="AR16" s="72">
        <f t="shared" si="16"/>
        <v>-234491.12800000003</v>
      </c>
      <c r="AS16" s="72">
        <f t="shared" si="16"/>
        <v>-234491.12800000003</v>
      </c>
      <c r="AT16" s="72">
        <f t="shared" si="16"/>
        <v>-234491.12800000003</v>
      </c>
      <c r="AU16" s="72">
        <f t="shared" si="16"/>
        <v>-257940.24080000003</v>
      </c>
      <c r="AV16" s="72">
        <f t="shared" si="16"/>
        <v>-257940.24080000003</v>
      </c>
      <c r="AW16" s="72">
        <f t="shared" si="16"/>
        <v>-257940.24080000003</v>
      </c>
      <c r="AX16" s="72">
        <f t="shared" si="16"/>
        <v>-257940.24080000003</v>
      </c>
      <c r="AY16" s="72">
        <f t="shared" si="16"/>
        <v>-257940.24080000003</v>
      </c>
      <c r="AZ16" s="72">
        <f t="shared" si="16"/>
        <v>-283734.26488000009</v>
      </c>
      <c r="BA16" s="388" t="s">
        <v>195</v>
      </c>
      <c r="BB16" s="73"/>
      <c r="BC16" s="73"/>
      <c r="BD16" s="295"/>
      <c r="BE16" s="319" t="s">
        <v>196</v>
      </c>
      <c r="BF16" s="314"/>
      <c r="BG16" s="317">
        <f>D20*D29</f>
        <v>15930500.300000001</v>
      </c>
      <c r="BH16" s="317">
        <f t="shared" ref="BH16:BV16" si="17">IF(BH8&gt;_xlfn.SINGLE(Analysis_Period),"",(BH8=0)*_xlfn.SINGLE(Debt))</f>
        <v>0</v>
      </c>
      <c r="BI16" s="317">
        <f t="shared" si="17"/>
        <v>0</v>
      </c>
      <c r="BJ16" s="317">
        <f>IF(BJ8&gt;_xlfn.SINGLE(Analysis_Period),"",(BJ8=0)*_xlfn.SINGLE(Debt))</f>
        <v>0</v>
      </c>
      <c r="BK16" s="317">
        <f t="shared" si="17"/>
        <v>0</v>
      </c>
      <c r="BL16" s="317">
        <f t="shared" si="17"/>
        <v>0</v>
      </c>
      <c r="BM16" s="317">
        <f t="shared" si="17"/>
        <v>0</v>
      </c>
      <c r="BN16" s="317">
        <f t="shared" si="17"/>
        <v>0</v>
      </c>
      <c r="BO16" s="317">
        <f t="shared" si="17"/>
        <v>0</v>
      </c>
      <c r="BP16" s="317">
        <f t="shared" si="17"/>
        <v>0</v>
      </c>
      <c r="BQ16" s="317">
        <f t="shared" si="17"/>
        <v>0</v>
      </c>
      <c r="BR16" s="317" t="str">
        <f t="shared" si="17"/>
        <v/>
      </c>
      <c r="BS16" s="317" t="str">
        <f t="shared" si="17"/>
        <v/>
      </c>
      <c r="BT16" s="317" t="str">
        <f t="shared" si="17"/>
        <v/>
      </c>
      <c r="BU16" s="317" t="str">
        <f t="shared" si="17"/>
        <v/>
      </c>
      <c r="BV16" s="317" t="str">
        <f t="shared" si="17"/>
        <v/>
      </c>
      <c r="BW16" s="165"/>
      <c r="BZ16" s="367" t="s">
        <v>36</v>
      </c>
      <c r="CA16" s="332" t="s">
        <v>37</v>
      </c>
      <c r="CB16" s="176" t="s">
        <v>38</v>
      </c>
      <c r="CC16" s="197" t="str">
        <f>CB17</f>
        <v>&gt; 15.0% IRR to LP</v>
      </c>
      <c r="CD16" s="175">
        <v>0.3</v>
      </c>
      <c r="CE16" s="182" t="s">
        <v>1</v>
      </c>
      <c r="CF16" s="358">
        <f>1-($CA$9*(1-CD16))</f>
        <v>0.33500000000000008</v>
      </c>
      <c r="CG16" s="357">
        <f>1-CF16</f>
        <v>0.66499999999999992</v>
      </c>
      <c r="CH16" s="846" t="s">
        <v>40</v>
      </c>
      <c r="CI16" s="846"/>
      <c r="CJ16" s="846"/>
      <c r="CK16" s="846"/>
      <c r="CL16" s="846"/>
      <c r="CM16" s="182" t="s">
        <v>1</v>
      </c>
      <c r="CN16" s="182" t="s">
        <v>1</v>
      </c>
      <c r="CO16" s="182" t="s">
        <v>1</v>
      </c>
      <c r="CP16" s="182" t="s">
        <v>1</v>
      </c>
      <c r="CQ16" s="182" t="s">
        <v>1</v>
      </c>
      <c r="CR16" s="229" t="s">
        <v>1</v>
      </c>
      <c r="CS16" s="182" t="s">
        <v>1</v>
      </c>
      <c r="CW16" s="55" t="s">
        <v>197</v>
      </c>
    </row>
    <row r="17" spans="2:104" ht="16.5">
      <c r="B17" s="255" t="s">
        <v>175</v>
      </c>
      <c r="C17" s="183"/>
      <c r="D17" s="45">
        <v>250000</v>
      </c>
      <c r="Z17" s="260" t="s">
        <v>199</v>
      </c>
      <c r="AA17" s="260"/>
      <c r="AB17" s="284">
        <f>BG48</f>
        <v>1.3441862414115693</v>
      </c>
      <c r="AC17" s="198" t="s">
        <v>142</v>
      </c>
      <c r="AD17" s="199"/>
      <c r="AG17" s="58"/>
      <c r="AH17" s="67" t="s">
        <v>200</v>
      </c>
      <c r="AI17" s="61"/>
      <c r="AJ17" s="406"/>
      <c r="AK17" s="86">
        <v>0</v>
      </c>
      <c r="AL17" s="86">
        <v>0</v>
      </c>
      <c r="AM17" s="86">
        <v>0</v>
      </c>
      <c r="AN17" s="600">
        <f>+AP17/$D$16</f>
        <v>0</v>
      </c>
      <c r="AO17" s="87"/>
      <c r="AP17" s="77">
        <f>+AM17</f>
        <v>0</v>
      </c>
      <c r="AQ17" s="88">
        <v>0</v>
      </c>
      <c r="AR17" s="88">
        <v>0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8">
        <v>0</v>
      </c>
      <c r="AY17" s="88">
        <v>0</v>
      </c>
      <c r="AZ17" s="88">
        <v>0</v>
      </c>
      <c r="BA17" s="389"/>
      <c r="BB17" s="88"/>
      <c r="BC17" s="88"/>
      <c r="BD17" s="298"/>
      <c r="BE17" s="321" t="s">
        <v>201</v>
      </c>
      <c r="BF17" s="314"/>
      <c r="BG17" s="318">
        <f>(BG16*D30)*-1</f>
        <v>-159305.003</v>
      </c>
      <c r="BH17" s="318"/>
      <c r="BI17" s="318">
        <f>IF(BI8&gt;_xlfn.SINGLE(Analysis_Period),"",(BI8=0)*BI16*-'[1]Property Cash Flow'!T32)</f>
        <v>0</v>
      </c>
      <c r="BJ17" s="318">
        <f>IF(BJ8&gt;_xlfn.SINGLE(Analysis_Period),"",(BJ8=0)*BJ16*-'[1]Property Cash Flow'!U32)</f>
        <v>0</v>
      </c>
      <c r="BK17" s="318">
        <f>IF(BK8&gt;_xlfn.SINGLE(Analysis_Period),"",(BK8=0)*BK16*-'[1]Property Cash Flow'!V32)</f>
        <v>0</v>
      </c>
      <c r="BL17" s="318">
        <f>IF(BL8&gt;_xlfn.SINGLE(Analysis_Period),"",(BL8=0)*BL16*-'[1]Property Cash Flow'!W32)</f>
        <v>0</v>
      </c>
      <c r="BM17" s="318">
        <f>IF(BM8&gt;_xlfn.SINGLE(Analysis_Period),"",(BM8=0)*BM16*-'[1]Property Cash Flow'!X32)</f>
        <v>0</v>
      </c>
      <c r="BN17" s="318">
        <f>IF(BN8&gt;_xlfn.SINGLE(Analysis_Period),"",(BN8=0)*BN16*-'[1]Property Cash Flow'!Y32)</f>
        <v>0</v>
      </c>
      <c r="BO17" s="318">
        <f>IF(BO8&gt;_xlfn.SINGLE(Analysis_Period),"",(BO8=0)*BO16*-'[1]Property Cash Flow'!Z32)</f>
        <v>0</v>
      </c>
      <c r="BP17" s="318">
        <f>IF(BP8&gt;_xlfn.SINGLE(Analysis_Period),"",(BP8=0)*BP16*-'[1]Property Cash Flow'!AA32)</f>
        <v>0</v>
      </c>
      <c r="BQ17" s="318">
        <f>IF(BQ8&gt;_xlfn.SINGLE(Analysis_Period),"",(BQ8=0)*BQ16*-'[1]Property Cash Flow'!AB32)</f>
        <v>0</v>
      </c>
      <c r="BR17" s="318" t="str">
        <f>IF(BR8&gt;_xlfn.SINGLE(Analysis_Period),"",(BR8=0)*BR16*-'[1]Property Cash Flow'!AC32)</f>
        <v/>
      </c>
      <c r="BS17" s="318" t="str">
        <f>IF(BS8&gt;_xlfn.SINGLE(Analysis_Period),"",(BS8=0)*BS16*-'[1]Property Cash Flow'!AD32)</f>
        <v/>
      </c>
      <c r="BT17" s="318" t="str">
        <f>IF(BT8&gt;_xlfn.SINGLE(Analysis_Period),"",(BT8=0)*BT16*-'[1]Property Cash Flow'!AE32)</f>
        <v/>
      </c>
      <c r="BU17" s="318" t="str">
        <f>IF(BU8&gt;_xlfn.SINGLE(Analysis_Period),"",(BU8=0)*BU16*-'[1]Property Cash Flow'!AF32)</f>
        <v/>
      </c>
      <c r="BV17" s="318" t="str">
        <f>IF(BV8&gt;_xlfn.SINGLE(Analysis_Period),"",(BV8=0)*BV16*-'[1]Property Cash Flow'!AG32)</f>
        <v/>
      </c>
      <c r="BW17" s="165"/>
      <c r="BZ17" s="370" t="s">
        <v>41</v>
      </c>
      <c r="CA17" s="371" t="s">
        <v>42</v>
      </c>
      <c r="CB17" s="372" t="s">
        <v>43</v>
      </c>
      <c r="CC17" s="373" t="s">
        <v>1</v>
      </c>
      <c r="CD17" s="374">
        <v>0.4</v>
      </c>
      <c r="CE17" s="375" t="s">
        <v>1</v>
      </c>
      <c r="CF17" s="376">
        <f>1-($CA$9*(1-CD17))</f>
        <v>0.43000000000000005</v>
      </c>
      <c r="CG17" s="377">
        <f>1-CF17</f>
        <v>0.56999999999999995</v>
      </c>
      <c r="CH17" s="842" t="s">
        <v>44</v>
      </c>
      <c r="CI17" s="842"/>
      <c r="CJ17" s="842"/>
      <c r="CK17" s="842"/>
      <c r="CL17" s="842"/>
      <c r="CM17" s="375" t="s">
        <v>1</v>
      </c>
      <c r="CN17" s="375" t="s">
        <v>1</v>
      </c>
      <c r="CO17" s="375" t="s">
        <v>1</v>
      </c>
      <c r="CP17" s="375" t="s">
        <v>1</v>
      </c>
      <c r="CQ17" s="375" t="s">
        <v>1</v>
      </c>
      <c r="CR17" s="378" t="s">
        <v>1</v>
      </c>
      <c r="CS17" s="182" t="s">
        <v>1</v>
      </c>
      <c r="CW17" s="55" t="s">
        <v>202</v>
      </c>
    </row>
    <row r="18" spans="2:104" ht="34.9">
      <c r="B18" s="255" t="s">
        <v>203</v>
      </c>
      <c r="C18" s="183"/>
      <c r="D18" s="43">
        <v>0.02</v>
      </c>
      <c r="Z18" s="260" t="s">
        <v>205</v>
      </c>
      <c r="AA18" s="260"/>
      <c r="AB18" s="283" cm="1">
        <f t="array" ref="AB18">INDEX(BH46:BR46,1,D10)</f>
        <v>5.022848301809206E-2</v>
      </c>
      <c r="AC18" s="198" t="s">
        <v>206</v>
      </c>
      <c r="AD18" s="199"/>
      <c r="AG18" s="201">
        <f>_xlfn.RRI(_xlfn.SINGLE(Analysis_Period)-1,AP18,_xlfn.SINGLE(INDEX(AP18:BD18,1,_xlfn.SINGLE(Analysis_Period))))</f>
        <v>1.0646292707510829E-2</v>
      </c>
      <c r="AH18" s="89" t="s">
        <v>207</v>
      </c>
      <c r="AI18" s="202"/>
      <c r="AJ18" s="405" t="s">
        <v>208</v>
      </c>
      <c r="AK18" s="91">
        <f>SUM(AK13:AK17)</f>
        <v>2085164.9677244001</v>
      </c>
      <c r="AL18" s="91">
        <f>SUM(AL13:AL17)</f>
        <v>2085095.2520000001</v>
      </c>
      <c r="AM18" s="91">
        <f>SUM(AM13:AM17)</f>
        <v>2110420.1520000002</v>
      </c>
      <c r="AN18" s="600">
        <f>+AP18/$D$16</f>
        <v>42.208403040000007</v>
      </c>
      <c r="AO18" s="90"/>
      <c r="AP18" s="83">
        <f>SUM(AP13:AP17)</f>
        <v>2110420.1520000002</v>
      </c>
      <c r="AQ18" s="83">
        <f>SUM(AQ13:AQ17)</f>
        <v>2110420.1520000002</v>
      </c>
      <c r="AR18" s="83">
        <f t="shared" ref="AR18:AZ18" si="18">SUM(AR13:AR17)</f>
        <v>2110420.1520000002</v>
      </c>
      <c r="AS18" s="83">
        <f>SUM(AS13:AS17)</f>
        <v>2110420.1520000002</v>
      </c>
      <c r="AT18" s="83">
        <f t="shared" si="18"/>
        <v>2110420.1520000002</v>
      </c>
      <c r="AU18" s="83">
        <f t="shared" si="18"/>
        <v>2321462.1672</v>
      </c>
      <c r="AV18" s="83">
        <f t="shared" si="18"/>
        <v>2321462.1672</v>
      </c>
      <c r="AW18" s="83">
        <f t="shared" si="18"/>
        <v>2321462.1672</v>
      </c>
      <c r="AX18" s="83">
        <f t="shared" si="18"/>
        <v>2321462.1672</v>
      </c>
      <c r="AY18" s="83">
        <f t="shared" si="18"/>
        <v>2321462.1672</v>
      </c>
      <c r="AZ18" s="83">
        <f t="shared" si="18"/>
        <v>2553608.3839200004</v>
      </c>
      <c r="BA18" s="388" t="s">
        <v>208</v>
      </c>
      <c r="BB18" s="91"/>
      <c r="BC18" s="91"/>
      <c r="BD18" s="299"/>
      <c r="BE18" s="319" t="s">
        <v>209</v>
      </c>
      <c r="BF18" s="314"/>
      <c r="BG18" s="317">
        <f>BG16+BG17</f>
        <v>15771195.297</v>
      </c>
      <c r="BH18" s="320">
        <f>IF(BH8&gt;_xlfn.SINGLE(Analysis_Period),"",SUM(BH16:BH17))</f>
        <v>0</v>
      </c>
      <c r="BI18" s="317">
        <f t="shared" ref="BI18:BV18" si="19">IF(BI8&gt;_xlfn.SINGLE(Analysis_Period),"",SUM(BI16:BI17))</f>
        <v>0</v>
      </c>
      <c r="BJ18" s="317">
        <f t="shared" si="19"/>
        <v>0</v>
      </c>
      <c r="BK18" s="317">
        <f t="shared" si="19"/>
        <v>0</v>
      </c>
      <c r="BL18" s="317">
        <f t="shared" si="19"/>
        <v>0</v>
      </c>
      <c r="BM18" s="317">
        <f t="shared" si="19"/>
        <v>0</v>
      </c>
      <c r="BN18" s="317">
        <f t="shared" si="19"/>
        <v>0</v>
      </c>
      <c r="BO18" s="317">
        <f t="shared" si="19"/>
        <v>0</v>
      </c>
      <c r="BP18" s="317">
        <f t="shared" si="19"/>
        <v>0</v>
      </c>
      <c r="BQ18" s="320">
        <f t="shared" si="19"/>
        <v>0</v>
      </c>
      <c r="BR18" s="320" t="str">
        <f t="shared" si="19"/>
        <v/>
      </c>
      <c r="BS18" s="317" t="str">
        <f t="shared" si="19"/>
        <v/>
      </c>
      <c r="BT18" s="317" t="str">
        <f t="shared" si="19"/>
        <v/>
      </c>
      <c r="BU18" s="317" t="str">
        <f t="shared" si="19"/>
        <v/>
      </c>
      <c r="BV18" s="317" t="str">
        <f t="shared" si="19"/>
        <v/>
      </c>
      <c r="BW18" s="165"/>
      <c r="BZ18" s="182" t="s">
        <v>1</v>
      </c>
      <c r="CA18" s="182" t="s">
        <v>1</v>
      </c>
      <c r="CB18" s="193" t="s">
        <v>1</v>
      </c>
      <c r="CC18" s="197" t="s">
        <v>1</v>
      </c>
      <c r="CD18" s="193" t="s">
        <v>1</v>
      </c>
      <c r="CE18" s="197" t="s">
        <v>1</v>
      </c>
      <c r="CF18" s="182" t="s">
        <v>1</v>
      </c>
      <c r="CG18" s="182" t="s">
        <v>1</v>
      </c>
      <c r="CH18" s="182" t="s">
        <v>1</v>
      </c>
      <c r="CI18" s="182" t="s">
        <v>1</v>
      </c>
      <c r="CJ18" s="182" t="s">
        <v>1</v>
      </c>
      <c r="CK18" s="182" t="s">
        <v>1</v>
      </c>
      <c r="CL18" s="182" t="s">
        <v>1</v>
      </c>
      <c r="CM18" s="182" t="s">
        <v>1</v>
      </c>
      <c r="CN18" s="182" t="s">
        <v>1</v>
      </c>
      <c r="CO18" s="182" t="s">
        <v>1</v>
      </c>
      <c r="CP18" s="182" t="s">
        <v>1</v>
      </c>
      <c r="CQ18" s="182" t="s">
        <v>1</v>
      </c>
      <c r="CR18" s="182" t="s">
        <v>1</v>
      </c>
      <c r="CS18" s="182" t="s">
        <v>1</v>
      </c>
    </row>
    <row r="19" spans="2:104" ht="15.75">
      <c r="B19" s="255" t="s">
        <v>210</v>
      </c>
      <c r="C19" s="183"/>
      <c r="D19" s="43">
        <v>0.02</v>
      </c>
      <c r="Z19" s="260"/>
      <c r="AA19" s="260"/>
      <c r="AB19" s="285"/>
      <c r="AC19" s="198"/>
      <c r="AD19" s="199"/>
      <c r="AG19" s="58"/>
      <c r="AH19" s="103"/>
      <c r="AI19" s="61"/>
      <c r="AJ19" s="405"/>
      <c r="AK19" s="85"/>
      <c r="AL19" s="85"/>
      <c r="AM19" s="85"/>
      <c r="AN19" s="600"/>
      <c r="AO19" s="70"/>
      <c r="AP19" s="71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388"/>
      <c r="BB19" s="73"/>
      <c r="BC19" s="73"/>
      <c r="BD19" s="295"/>
      <c r="BE19" s="319"/>
      <c r="BF19" s="314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317"/>
      <c r="BW19" s="165"/>
      <c r="BX19" s="436" t="s">
        <v>211</v>
      </c>
      <c r="BZ19" s="186" t="s">
        <v>45</v>
      </c>
      <c r="CA19" s="200" t="s">
        <v>1</v>
      </c>
      <c r="CB19" s="209" t="s">
        <v>1</v>
      </c>
      <c r="CC19" s="210" t="s">
        <v>1</v>
      </c>
      <c r="CD19" s="328">
        <f>BG8</f>
        <v>0</v>
      </c>
      <c r="CE19" s="328">
        <f t="shared" ref="CE19:CN19" si="20">BH8</f>
        <v>1</v>
      </c>
      <c r="CF19" s="328">
        <f t="shared" si="20"/>
        <v>2</v>
      </c>
      <c r="CG19" s="328">
        <f t="shared" si="20"/>
        <v>3</v>
      </c>
      <c r="CH19" s="328">
        <f t="shared" si="20"/>
        <v>4</v>
      </c>
      <c r="CI19" s="328">
        <f t="shared" si="20"/>
        <v>5</v>
      </c>
      <c r="CJ19" s="328">
        <f t="shared" si="20"/>
        <v>6</v>
      </c>
      <c r="CK19" s="328">
        <f t="shared" si="20"/>
        <v>7</v>
      </c>
      <c r="CL19" s="328">
        <f t="shared" si="20"/>
        <v>8</v>
      </c>
      <c r="CM19" s="328">
        <f t="shared" si="20"/>
        <v>9</v>
      </c>
      <c r="CN19" s="328">
        <f t="shared" si="20"/>
        <v>10</v>
      </c>
      <c r="CO19" s="200" t="s">
        <v>1</v>
      </c>
      <c r="CP19" s="200" t="s">
        <v>1</v>
      </c>
      <c r="CQ19" s="200" t="s">
        <v>1</v>
      </c>
      <c r="CR19" s="200" t="s">
        <v>1</v>
      </c>
      <c r="CS19" s="200" t="s">
        <v>1</v>
      </c>
      <c r="CW19" s="55" t="s">
        <v>212</v>
      </c>
      <c r="CX19" s="446">
        <f t="shared" ref="CX19:CY19" si="21">SUM(CX4:CX7)</f>
        <v>2244911.2800000003</v>
      </c>
      <c r="CY19" s="446">
        <f t="shared" si="21"/>
        <v>2244911.2800000003</v>
      </c>
      <c r="CZ19" s="446">
        <f>SUM(CZ4:CZ7)</f>
        <v>2244911.2800000003</v>
      </c>
    </row>
    <row r="20" spans="2:104">
      <c r="B20" s="255" t="s">
        <v>213</v>
      </c>
      <c r="C20" s="456"/>
      <c r="D20" s="508">
        <v>24508462</v>
      </c>
      <c r="Z20" s="260" t="s">
        <v>81</v>
      </c>
      <c r="AA20" s="260"/>
      <c r="AB20" s="283">
        <f>BG58</f>
        <v>3.7141068414942913E-2</v>
      </c>
      <c r="AC20" s="198" t="s">
        <v>142</v>
      </c>
      <c r="AD20" s="199"/>
      <c r="AG20" s="211"/>
      <c r="AH20" s="67" t="s">
        <v>214</v>
      </c>
      <c r="AI20" s="61"/>
      <c r="AJ20" s="405" t="s">
        <v>215</v>
      </c>
      <c r="AK20" s="307">
        <f t="shared" ref="AK20:AM24" si="22">C47</f>
        <v>14478.65056536</v>
      </c>
      <c r="AL20" s="307">
        <f t="shared" si="22"/>
        <v>14737.02</v>
      </c>
      <c r="AM20" s="307">
        <f t="shared" si="22"/>
        <v>15000</v>
      </c>
      <c r="AN20" s="600">
        <f t="shared" ref="AN20:AN26" si="23">+AP20/$D$16</f>
        <v>0.3</v>
      </c>
      <c r="AO20" s="70"/>
      <c r="AP20" s="71">
        <f>+AM20</f>
        <v>15000</v>
      </c>
      <c r="AQ20" s="73">
        <f t="shared" ref="AQ20:AZ24" si="24">AP20*(1+G$68)</f>
        <v>15300</v>
      </c>
      <c r="AR20" s="73">
        <f t="shared" si="24"/>
        <v>15606</v>
      </c>
      <c r="AS20" s="73">
        <f t="shared" si="24"/>
        <v>15918.12</v>
      </c>
      <c r="AT20" s="73">
        <f t="shared" si="24"/>
        <v>16236.482400000001</v>
      </c>
      <c r="AU20" s="73">
        <f t="shared" si="24"/>
        <v>16561.212048000001</v>
      </c>
      <c r="AV20" s="73">
        <f t="shared" si="24"/>
        <v>16892.436288960002</v>
      </c>
      <c r="AW20" s="73">
        <f t="shared" si="24"/>
        <v>17230.285014739202</v>
      </c>
      <c r="AX20" s="73">
        <f t="shared" si="24"/>
        <v>17574.890715033987</v>
      </c>
      <c r="AY20" s="73">
        <f t="shared" si="24"/>
        <v>17926.388529334668</v>
      </c>
      <c r="AZ20" s="73">
        <f t="shared" si="24"/>
        <v>18284.916299921362</v>
      </c>
      <c r="BA20" s="388" t="s">
        <v>215</v>
      </c>
      <c r="BB20" s="73"/>
      <c r="BC20" s="73"/>
      <c r="BD20" s="295"/>
      <c r="BE20" s="313" t="s">
        <v>216</v>
      </c>
      <c r="BF20" s="314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165"/>
      <c r="BZ20" s="425" t="s">
        <v>57</v>
      </c>
      <c r="CA20" s="182" t="s">
        <v>1</v>
      </c>
      <c r="CB20" s="212"/>
      <c r="CC20" s="197" t="s">
        <v>1</v>
      </c>
      <c r="CD20" s="213"/>
      <c r="CE20" s="214"/>
      <c r="CF20" s="215"/>
      <c r="CG20" s="215"/>
      <c r="CH20" s="216"/>
      <c r="CI20" s="216"/>
      <c r="CJ20" s="216"/>
      <c r="CK20" s="216"/>
      <c r="CL20" s="216"/>
      <c r="CM20" s="216"/>
      <c r="CN20" s="216"/>
      <c r="CO20" s="182" t="s">
        <v>1</v>
      </c>
      <c r="CP20" s="182" t="s">
        <v>1</v>
      </c>
      <c r="CQ20" s="182" t="s">
        <v>1</v>
      </c>
      <c r="CR20" s="182" t="s">
        <v>1</v>
      </c>
      <c r="CS20" s="182" t="s">
        <v>1</v>
      </c>
    </row>
    <row r="21" spans="2:104">
      <c r="Z21" s="260" t="s">
        <v>217</v>
      </c>
      <c r="AA21" s="260"/>
      <c r="AB21" s="284">
        <f>BG52</f>
        <v>0</v>
      </c>
      <c r="AC21" s="198" t="s">
        <v>142</v>
      </c>
      <c r="AD21" s="199"/>
      <c r="AG21" s="205"/>
      <c r="AH21" s="67" t="s">
        <v>218</v>
      </c>
      <c r="AI21" s="61"/>
      <c r="AJ21" s="404" t="s">
        <v>219</v>
      </c>
      <c r="AK21" s="307">
        <f t="shared" si="22"/>
        <v>62740.81911656</v>
      </c>
      <c r="AL21" s="307">
        <f t="shared" si="22"/>
        <v>63860.42</v>
      </c>
      <c r="AM21" s="307">
        <f t="shared" si="22"/>
        <v>65000</v>
      </c>
      <c r="AN21" s="600">
        <f t="shared" si="23"/>
        <v>1.3</v>
      </c>
      <c r="AO21" s="70"/>
      <c r="AP21" s="71">
        <f t="shared" ref="AP21:AP28" si="25">+AM21</f>
        <v>65000</v>
      </c>
      <c r="AQ21" s="73">
        <f t="shared" si="24"/>
        <v>66300</v>
      </c>
      <c r="AR21" s="73">
        <f t="shared" si="24"/>
        <v>67626</v>
      </c>
      <c r="AS21" s="73">
        <f t="shared" si="24"/>
        <v>68978.52</v>
      </c>
      <c r="AT21" s="73">
        <f t="shared" si="24"/>
        <v>70358.090400000001</v>
      </c>
      <c r="AU21" s="73">
        <f t="shared" si="24"/>
        <v>71765.252208000005</v>
      </c>
      <c r="AV21" s="73">
        <f t="shared" si="24"/>
        <v>73200.557252160012</v>
      </c>
      <c r="AW21" s="73">
        <f t="shared" si="24"/>
        <v>74664.568397203213</v>
      </c>
      <c r="AX21" s="73">
        <f t="shared" si="24"/>
        <v>76157.859765147281</v>
      </c>
      <c r="AY21" s="73">
        <f t="shared" si="24"/>
        <v>77681.01696045023</v>
      </c>
      <c r="AZ21" s="73">
        <f t="shared" si="24"/>
        <v>79234.63729965924</v>
      </c>
      <c r="BA21" s="387" t="s">
        <v>219</v>
      </c>
      <c r="BB21" s="73"/>
      <c r="BC21" s="73"/>
      <c r="BD21" s="295"/>
      <c r="BE21" s="150" t="s">
        <v>207</v>
      </c>
      <c r="BF21" s="322"/>
      <c r="BG21" s="317"/>
      <c r="BH21" s="317">
        <f t="shared" ref="BH21:BR21" si="26">AP18</f>
        <v>2110420.1520000002</v>
      </c>
      <c r="BI21" s="317">
        <f t="shared" si="26"/>
        <v>2110420.1520000002</v>
      </c>
      <c r="BJ21" s="317">
        <f t="shared" si="26"/>
        <v>2110420.1520000002</v>
      </c>
      <c r="BK21" s="317">
        <f t="shared" si="26"/>
        <v>2110420.1520000002</v>
      </c>
      <c r="BL21" s="317">
        <f t="shared" si="26"/>
        <v>2110420.1520000002</v>
      </c>
      <c r="BM21" s="317">
        <f t="shared" si="26"/>
        <v>2321462.1672</v>
      </c>
      <c r="BN21" s="317">
        <f t="shared" si="26"/>
        <v>2321462.1672</v>
      </c>
      <c r="BO21" s="317">
        <f t="shared" si="26"/>
        <v>2321462.1672</v>
      </c>
      <c r="BP21" s="317">
        <f t="shared" si="26"/>
        <v>2321462.1672</v>
      </c>
      <c r="BQ21" s="317">
        <f t="shared" si="26"/>
        <v>2321462.1672</v>
      </c>
      <c r="BR21" s="317">
        <f t="shared" si="26"/>
        <v>2553608.3839200004</v>
      </c>
      <c r="BS21" s="317">
        <f>'[1]Property Cash Flow'!AU18</f>
        <v>0</v>
      </c>
      <c r="BT21" s="317">
        <f>'[1]Property Cash Flow'!AV18</f>
        <v>0</v>
      </c>
      <c r="BU21" s="317">
        <f>'[1]Property Cash Flow'!AW18</f>
        <v>0</v>
      </c>
      <c r="BV21" s="317">
        <f>'[1]Property Cash Flow'!AX18</f>
        <v>0</v>
      </c>
      <c r="BW21" s="165"/>
      <c r="BZ21" s="426" t="s">
        <v>58</v>
      </c>
      <c r="CA21" s="182"/>
      <c r="CB21" s="217" t="e">
        <f>SUM(CD21:CN21)</f>
        <v>#VALUE!</v>
      </c>
      <c r="CC21" s="197"/>
      <c r="CD21" s="217" t="e">
        <f>(CD19&lt;&gt;"") * (CD55 + CD73 + CD88 + CD100)</f>
        <v>#VALUE!</v>
      </c>
      <c r="CE21" s="217" t="e">
        <f t="shared" ref="CE21:CN21" si="27">(CE19&lt;&gt;"") * (CE55 + CE73 + CE88 + CE100)</f>
        <v>#VALUE!</v>
      </c>
      <c r="CF21" s="217" t="e">
        <f t="shared" si="27"/>
        <v>#VALUE!</v>
      </c>
      <c r="CG21" s="217" t="e">
        <f t="shared" si="27"/>
        <v>#VALUE!</v>
      </c>
      <c r="CH21" s="217" t="e">
        <f t="shared" si="27"/>
        <v>#VALUE!</v>
      </c>
      <c r="CI21" s="217" t="e">
        <f t="shared" si="27"/>
        <v>#VALUE!</v>
      </c>
      <c r="CJ21" s="217" t="e">
        <f t="shared" si="27"/>
        <v>#VALUE!</v>
      </c>
      <c r="CK21" s="217" t="e">
        <f t="shared" si="27"/>
        <v>#VALUE!</v>
      </c>
      <c r="CL21" s="217" t="e">
        <f t="shared" si="27"/>
        <v>#VALUE!</v>
      </c>
      <c r="CM21" s="217" t="e">
        <f t="shared" si="27"/>
        <v>#VALUE!</v>
      </c>
      <c r="CN21" s="217" t="e">
        <f t="shared" si="27"/>
        <v>#VALUE!</v>
      </c>
      <c r="CO21" s="197" t="s">
        <v>61</v>
      </c>
      <c r="CP21" s="197" t="s">
        <v>61</v>
      </c>
      <c r="CQ21" s="197" t="s">
        <v>61</v>
      </c>
      <c r="CR21" s="197" t="s">
        <v>61</v>
      </c>
      <c r="CS21" s="197" t="s">
        <v>61</v>
      </c>
    </row>
    <row r="22" spans="2:104" ht="34.9">
      <c r="B22" s="109" t="s">
        <v>220</v>
      </c>
      <c r="C22" s="109"/>
      <c r="D22" s="109"/>
      <c r="Z22" s="260" t="s">
        <v>221</v>
      </c>
      <c r="AA22" s="260"/>
      <c r="AB22" s="283">
        <f>INDEX(BH57:BV57,1,D27)</f>
        <v>4.3237397105157241E-2</v>
      </c>
      <c r="AC22" s="198" t="s">
        <v>222</v>
      </c>
      <c r="AD22" s="199"/>
      <c r="AG22" s="205"/>
      <c r="AH22" s="67" t="s">
        <v>223</v>
      </c>
      <c r="AI22" s="61"/>
      <c r="AJ22" s="405" t="s">
        <v>94</v>
      </c>
      <c r="AK22" s="307">
        <f t="shared" si="22"/>
        <v>72393.252826800002</v>
      </c>
      <c r="AL22" s="307">
        <f t="shared" si="22"/>
        <v>73685.100000000006</v>
      </c>
      <c r="AM22" s="307">
        <f t="shared" si="22"/>
        <v>75000</v>
      </c>
      <c r="AN22" s="600">
        <f t="shared" si="23"/>
        <v>1.5</v>
      </c>
      <c r="AO22" s="70"/>
      <c r="AP22" s="71">
        <f t="shared" si="25"/>
        <v>75000</v>
      </c>
      <c r="AQ22" s="73">
        <f t="shared" si="24"/>
        <v>76500</v>
      </c>
      <c r="AR22" s="73">
        <f t="shared" si="24"/>
        <v>78030</v>
      </c>
      <c r="AS22" s="73">
        <f t="shared" si="24"/>
        <v>79590.600000000006</v>
      </c>
      <c r="AT22" s="73">
        <f t="shared" si="24"/>
        <v>81182.412000000011</v>
      </c>
      <c r="AU22" s="73">
        <f t="shared" si="24"/>
        <v>82806.060240000006</v>
      </c>
      <c r="AV22" s="73">
        <f t="shared" si="24"/>
        <v>84462.181444800008</v>
      </c>
      <c r="AW22" s="73">
        <f t="shared" si="24"/>
        <v>86151.425073696009</v>
      </c>
      <c r="AX22" s="73">
        <f t="shared" si="24"/>
        <v>87874.45357516993</v>
      </c>
      <c r="AY22" s="73">
        <f t="shared" si="24"/>
        <v>89631.942646673328</v>
      </c>
      <c r="AZ22" s="73">
        <f t="shared" si="24"/>
        <v>91424.581499606793</v>
      </c>
      <c r="BA22" s="388" t="s">
        <v>94</v>
      </c>
      <c r="BB22" s="73"/>
      <c r="BC22" s="73"/>
      <c r="BD22" s="295"/>
      <c r="BE22" s="110" t="s">
        <v>224</v>
      </c>
      <c r="BF22" s="323"/>
      <c r="BG22" s="318"/>
      <c r="BH22" s="318">
        <f t="shared" ref="BH22:BR22" si="28">AP29</f>
        <v>683317.60456000001</v>
      </c>
      <c r="BI22" s="318">
        <f t="shared" si="28"/>
        <v>695717.70455999998</v>
      </c>
      <c r="BJ22" s="318">
        <f t="shared" si="28"/>
        <v>708365.80656000006</v>
      </c>
      <c r="BK22" s="318">
        <f t="shared" si="28"/>
        <v>721266.87060000002</v>
      </c>
      <c r="BL22" s="318">
        <f t="shared" si="28"/>
        <v>734425.9559208001</v>
      </c>
      <c r="BM22" s="318">
        <f t="shared" si="28"/>
        <v>754179.48340401612</v>
      </c>
      <c r="BN22" s="318">
        <f t="shared" si="28"/>
        <v>767870.19577177637</v>
      </c>
      <c r="BO22" s="318">
        <f t="shared" si="28"/>
        <v>781834.72238689195</v>
      </c>
      <c r="BP22" s="318">
        <f t="shared" si="28"/>
        <v>796078.53953430988</v>
      </c>
      <c r="BQ22" s="318">
        <f t="shared" si="28"/>
        <v>810607.23302467598</v>
      </c>
      <c r="BR22" s="318">
        <f t="shared" si="28"/>
        <v>832390.88688644941</v>
      </c>
      <c r="BS22" s="318">
        <f>'[1]Property Cash Flow'!AU28</f>
        <v>0</v>
      </c>
      <c r="BT22" s="318">
        <f>'[1]Property Cash Flow'!AV28</f>
        <v>0</v>
      </c>
      <c r="BU22" s="318">
        <f>'[1]Property Cash Flow'!AW28</f>
        <v>0</v>
      </c>
      <c r="BV22" s="318">
        <f>'[1]Property Cash Flow'!AX28</f>
        <v>0</v>
      </c>
      <c r="BW22" s="165"/>
      <c r="BZ22" s="426" t="s">
        <v>62</v>
      </c>
      <c r="CA22" s="182"/>
      <c r="CB22" s="217">
        <f>SUM(CD22:CN22)</f>
        <v>9352809.7958499976</v>
      </c>
      <c r="CC22" s="197"/>
      <c r="CD22" s="192">
        <f>CD51</f>
        <v>9352809.7958499976</v>
      </c>
      <c r="CE22" s="192">
        <f t="shared" ref="CE22:CN22" si="29">CE51</f>
        <v>0</v>
      </c>
      <c r="CF22" s="192">
        <f t="shared" si="29"/>
        <v>0</v>
      </c>
      <c r="CG22" s="192">
        <f t="shared" si="29"/>
        <v>0</v>
      </c>
      <c r="CH22" s="192">
        <f t="shared" si="29"/>
        <v>0</v>
      </c>
      <c r="CI22" s="192">
        <f t="shared" si="29"/>
        <v>0</v>
      </c>
      <c r="CJ22" s="192">
        <f t="shared" si="29"/>
        <v>0</v>
      </c>
      <c r="CK22" s="192">
        <f t="shared" si="29"/>
        <v>0</v>
      </c>
      <c r="CL22" s="192">
        <f t="shared" si="29"/>
        <v>0</v>
      </c>
      <c r="CM22" s="192">
        <f t="shared" si="29"/>
        <v>0</v>
      </c>
      <c r="CN22" s="192">
        <f t="shared" si="29"/>
        <v>0</v>
      </c>
      <c r="CO22" s="197" t="s">
        <v>61</v>
      </c>
      <c r="CP22" s="197" t="s">
        <v>61</v>
      </c>
      <c r="CQ22" s="197" t="s">
        <v>61</v>
      </c>
      <c r="CR22" s="197" t="s">
        <v>61</v>
      </c>
      <c r="CS22" s="197" t="s">
        <v>61</v>
      </c>
    </row>
    <row r="23" spans="2:104" ht="15.75">
      <c r="B23" s="218"/>
      <c r="C23" s="218"/>
      <c r="D23" s="93"/>
      <c r="Z23" s="260"/>
      <c r="AA23" s="260"/>
      <c r="AB23" s="285"/>
      <c r="AC23" s="198"/>
      <c r="AD23" s="199"/>
      <c r="AG23" s="205"/>
      <c r="AH23" s="67" t="s">
        <v>225</v>
      </c>
      <c r="AI23" s="61"/>
      <c r="AJ23" s="405" t="s">
        <v>226</v>
      </c>
      <c r="AK23" s="307">
        <f t="shared" si="22"/>
        <v>91698.120247280007</v>
      </c>
      <c r="AL23" s="307">
        <f t="shared" si="22"/>
        <v>93334.46</v>
      </c>
      <c r="AM23" s="307">
        <f t="shared" si="22"/>
        <v>95000</v>
      </c>
      <c r="AN23" s="600">
        <f t="shared" si="23"/>
        <v>1.9</v>
      </c>
      <c r="AO23" s="70"/>
      <c r="AP23" s="71">
        <f t="shared" si="25"/>
        <v>95000</v>
      </c>
      <c r="AQ23" s="73">
        <f t="shared" si="24"/>
        <v>96900</v>
      </c>
      <c r="AR23" s="73">
        <f t="shared" si="24"/>
        <v>98838</v>
      </c>
      <c r="AS23" s="73">
        <f t="shared" si="24"/>
        <v>100814.76</v>
      </c>
      <c r="AT23" s="73">
        <f t="shared" si="24"/>
        <v>102831.0552</v>
      </c>
      <c r="AU23" s="73">
        <f t="shared" si="24"/>
        <v>104887.67630400001</v>
      </c>
      <c r="AV23" s="73">
        <f t="shared" si="24"/>
        <v>106985.42983008001</v>
      </c>
      <c r="AW23" s="73">
        <f t="shared" si="24"/>
        <v>109125.13842668162</v>
      </c>
      <c r="AX23" s="73">
        <f t="shared" si="24"/>
        <v>111307.64119521526</v>
      </c>
      <c r="AY23" s="73">
        <f t="shared" si="24"/>
        <v>113533.79401911957</v>
      </c>
      <c r="AZ23" s="73">
        <f t="shared" si="24"/>
        <v>115804.46989950196</v>
      </c>
      <c r="BA23" s="388" t="s">
        <v>226</v>
      </c>
      <c r="BB23" s="73"/>
      <c r="BC23" s="73"/>
      <c r="BD23" s="295"/>
      <c r="BE23" s="150" t="s">
        <v>227</v>
      </c>
      <c r="BF23" s="323"/>
      <c r="BG23" s="317"/>
      <c r="BH23" s="317">
        <f t="shared" ref="BH23:BQ23" si="30">BH21-BH22</f>
        <v>1427102.5474400003</v>
      </c>
      <c r="BI23" s="317">
        <f t="shared" si="30"/>
        <v>1414702.4474400003</v>
      </c>
      <c r="BJ23" s="317">
        <f t="shared" si="30"/>
        <v>1402054.3454400003</v>
      </c>
      <c r="BK23" s="317">
        <f t="shared" si="30"/>
        <v>1389153.2814000002</v>
      </c>
      <c r="BL23" s="317">
        <f t="shared" si="30"/>
        <v>1375994.1960792001</v>
      </c>
      <c r="BM23" s="317">
        <f t="shared" si="30"/>
        <v>1567282.6837959839</v>
      </c>
      <c r="BN23" s="317">
        <f t="shared" si="30"/>
        <v>1553591.9714282237</v>
      </c>
      <c r="BO23" s="317">
        <f t="shared" si="30"/>
        <v>1539627.4448131081</v>
      </c>
      <c r="BP23" s="317">
        <f t="shared" si="30"/>
        <v>1525383.6276656901</v>
      </c>
      <c r="BQ23" s="317">
        <f t="shared" si="30"/>
        <v>1510854.9341753242</v>
      </c>
      <c r="BR23" s="317">
        <f>BR21-BR22</f>
        <v>1721217.4970335509</v>
      </c>
      <c r="BS23" s="317" t="str">
        <f t="shared" ref="BS23:BV23" si="31">IF(BS8="","",BS21-BS22)</f>
        <v/>
      </c>
      <c r="BT23" s="317" t="str">
        <f t="shared" si="31"/>
        <v/>
      </c>
      <c r="BU23" s="317" t="str">
        <f t="shared" si="31"/>
        <v/>
      </c>
      <c r="BV23" s="317" t="str">
        <f t="shared" si="31"/>
        <v/>
      </c>
      <c r="BW23" s="165"/>
      <c r="BZ23" s="426" t="s">
        <v>63</v>
      </c>
      <c r="CA23" s="182"/>
      <c r="CB23" s="217" t="e">
        <f>CB21-CB22</f>
        <v>#VALUE!</v>
      </c>
      <c r="CC23" s="197"/>
      <c r="CD23" s="219"/>
      <c r="CE23" s="197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 t="s">
        <v>1</v>
      </c>
      <c r="CP23" s="182" t="s">
        <v>1</v>
      </c>
      <c r="CQ23" s="182" t="s">
        <v>1</v>
      </c>
      <c r="CR23" s="182" t="s">
        <v>1</v>
      </c>
      <c r="CS23" s="182" t="s">
        <v>1</v>
      </c>
      <c r="CZ23" s="446"/>
    </row>
    <row r="24" spans="2:104" ht="21" customHeight="1">
      <c r="B24" s="150" t="s">
        <v>228</v>
      </c>
      <c r="C24" s="220"/>
      <c r="D24" s="94">
        <v>3.5000000000000003E-2</v>
      </c>
      <c r="Z24" s="260" t="s">
        <v>229</v>
      </c>
      <c r="AA24" s="260"/>
      <c r="AB24" s="284">
        <f>MIN(BH61:BR61)</f>
        <v>1.6029367201102787</v>
      </c>
      <c r="AC24" s="198" t="s">
        <v>230</v>
      </c>
      <c r="AD24" s="199"/>
      <c r="AG24" s="205"/>
      <c r="AH24" s="67" t="s">
        <v>231</v>
      </c>
      <c r="AI24" s="61"/>
      <c r="AJ24" s="405" t="s">
        <v>232</v>
      </c>
      <c r="AK24" s="307">
        <f t="shared" si="22"/>
        <v>82045.686537040005</v>
      </c>
      <c r="AL24" s="307">
        <f t="shared" si="22"/>
        <v>83509.78</v>
      </c>
      <c r="AM24" s="307">
        <f t="shared" si="22"/>
        <v>85000</v>
      </c>
      <c r="AN24" s="600">
        <f t="shared" si="23"/>
        <v>1.7</v>
      </c>
      <c r="AO24" s="70"/>
      <c r="AP24" s="71">
        <f t="shared" si="25"/>
        <v>85000</v>
      </c>
      <c r="AQ24" s="73">
        <f t="shared" si="24"/>
        <v>86700</v>
      </c>
      <c r="AR24" s="73">
        <f t="shared" si="24"/>
        <v>88434</v>
      </c>
      <c r="AS24" s="73">
        <f t="shared" si="24"/>
        <v>90202.680000000008</v>
      </c>
      <c r="AT24" s="73">
        <f t="shared" si="24"/>
        <v>92006.733600000007</v>
      </c>
      <c r="AU24" s="73">
        <f t="shared" si="24"/>
        <v>93846.868272000007</v>
      </c>
      <c r="AV24" s="73">
        <f t="shared" si="24"/>
        <v>95723.805637440004</v>
      </c>
      <c r="AW24" s="73">
        <f t="shared" si="24"/>
        <v>97638.281750188806</v>
      </c>
      <c r="AX24" s="73">
        <f t="shared" si="24"/>
        <v>99591.047385192578</v>
      </c>
      <c r="AY24" s="73">
        <f t="shared" si="24"/>
        <v>101582.86833289643</v>
      </c>
      <c r="AZ24" s="73">
        <f t="shared" si="24"/>
        <v>103614.52569955436</v>
      </c>
      <c r="BA24" s="388" t="s">
        <v>232</v>
      </c>
      <c r="BB24" s="73"/>
      <c r="BC24" s="73"/>
      <c r="BD24" s="295"/>
      <c r="BE24" s="110" t="s">
        <v>233</v>
      </c>
      <c r="BF24" s="323"/>
      <c r="BG24" s="318"/>
      <c r="BH24" s="318">
        <f t="shared" ref="BH24:BQ24" si="32">AP37</f>
        <v>25000</v>
      </c>
      <c r="BI24" s="318">
        <f t="shared" si="32"/>
        <v>25500</v>
      </c>
      <c r="BJ24" s="318">
        <f t="shared" si="32"/>
        <v>276010</v>
      </c>
      <c r="BK24" s="318">
        <f t="shared" si="32"/>
        <v>1526530.2</v>
      </c>
      <c r="BL24" s="318">
        <f t="shared" si="32"/>
        <v>27060.804</v>
      </c>
      <c r="BM24" s="318">
        <f t="shared" si="32"/>
        <v>27602.020080000002</v>
      </c>
      <c r="BN24" s="318">
        <f t="shared" si="32"/>
        <v>28154.060481600001</v>
      </c>
      <c r="BO24" s="318">
        <f t="shared" si="32"/>
        <v>28717.141691232002</v>
      </c>
      <c r="BP24" s="318">
        <f t="shared" si="32"/>
        <v>29291.484525056643</v>
      </c>
      <c r="BQ24" s="318">
        <f t="shared" si="32"/>
        <v>29877.314215557777</v>
      </c>
      <c r="BR24" s="318"/>
      <c r="BS24" s="318" t="str">
        <f>IF(BT8="","",'[1]Property Cash Flow'!AU36)</f>
        <v/>
      </c>
      <c r="BT24" s="318" t="str">
        <f>IF(BU8="","",'[1]Property Cash Flow'!AV36)</f>
        <v/>
      </c>
      <c r="BU24" s="318" t="str">
        <f>IF(BV8="","",'[1]Property Cash Flow'!AW36)</f>
        <v/>
      </c>
      <c r="BV24" s="318" t="str">
        <f>IF(BW8="","",'[1]Property Cash Flow'!AX36)</f>
        <v/>
      </c>
      <c r="BW24" s="165"/>
      <c r="BZ24" s="426" t="s">
        <v>64</v>
      </c>
      <c r="CA24" s="182"/>
      <c r="CB24" s="214" t="e">
        <f>IRR(CD24:CN24)</f>
        <v>#VALUE!</v>
      </c>
      <c r="CC24" s="197"/>
      <c r="CD24" s="217" t="e">
        <f>(CD19&lt;&gt;"") * (-CD22 + CD21)</f>
        <v>#VALUE!</v>
      </c>
      <c r="CE24" s="217" t="e">
        <f t="shared" ref="CE24:CN24" si="33">(CE19&lt;&gt;"") * (-CE22 + CE21)</f>
        <v>#VALUE!</v>
      </c>
      <c r="CF24" s="217" t="e">
        <f t="shared" si="33"/>
        <v>#VALUE!</v>
      </c>
      <c r="CG24" s="217" t="e">
        <f t="shared" si="33"/>
        <v>#VALUE!</v>
      </c>
      <c r="CH24" s="217" t="e">
        <f t="shared" si="33"/>
        <v>#VALUE!</v>
      </c>
      <c r="CI24" s="217" t="e">
        <f t="shared" si="33"/>
        <v>#VALUE!</v>
      </c>
      <c r="CJ24" s="217" t="e">
        <f t="shared" si="33"/>
        <v>#VALUE!</v>
      </c>
      <c r="CK24" s="217" t="e">
        <f t="shared" si="33"/>
        <v>#VALUE!</v>
      </c>
      <c r="CL24" s="217" t="e">
        <f t="shared" si="33"/>
        <v>#VALUE!</v>
      </c>
      <c r="CM24" s="217" t="e">
        <f t="shared" si="33"/>
        <v>#VALUE!</v>
      </c>
      <c r="CN24" s="217" t="e">
        <f t="shared" si="33"/>
        <v>#VALUE!</v>
      </c>
      <c r="CO24" s="217"/>
      <c r="CP24" s="217"/>
      <c r="CQ24" s="217"/>
      <c r="CR24" s="217"/>
      <c r="CS24" s="217"/>
      <c r="CT24" s="217"/>
    </row>
    <row r="25" spans="2:104" ht="21" customHeight="1">
      <c r="B25" s="150" t="s">
        <v>234</v>
      </c>
      <c r="C25" s="220"/>
      <c r="D25" s="95">
        <v>0</v>
      </c>
      <c r="Z25" s="260" t="s">
        <v>235</v>
      </c>
      <c r="AA25" s="260"/>
      <c r="AB25" s="283">
        <f>MIN(BH62:BR62)</f>
        <v>9.1335886410595465E-2</v>
      </c>
      <c r="AC25" s="198" t="s">
        <v>230</v>
      </c>
      <c r="AD25" s="199"/>
      <c r="AG25" s="205"/>
      <c r="AH25" s="67" t="s">
        <v>236</v>
      </c>
      <c r="AI25" s="601"/>
      <c r="AJ25" s="407"/>
      <c r="AK25" s="307">
        <f>AK18*$C34</f>
        <v>62554.949031732001</v>
      </c>
      <c r="AL25" s="307">
        <f>AL18*$C34</f>
        <v>62552.857560000004</v>
      </c>
      <c r="AM25" s="307">
        <f>AM18*$C34</f>
        <v>63312.604560000007</v>
      </c>
      <c r="AN25" s="600">
        <f t="shared" si="23"/>
        <v>1.2662520912000002</v>
      </c>
      <c r="AO25" s="96"/>
      <c r="AP25" s="71">
        <f>+AM25</f>
        <v>63312.604560000007</v>
      </c>
      <c r="AQ25" s="73">
        <f t="shared" ref="AQ25:AZ25" si="34">AQ18*$C$34</f>
        <v>63312.604560000007</v>
      </c>
      <c r="AR25" s="73">
        <f t="shared" si="34"/>
        <v>63312.604560000007</v>
      </c>
      <c r="AS25" s="73">
        <f t="shared" si="34"/>
        <v>63312.604560000007</v>
      </c>
      <c r="AT25" s="73">
        <f t="shared" si="34"/>
        <v>63312.604560000007</v>
      </c>
      <c r="AU25" s="73">
        <f t="shared" si="34"/>
        <v>69643.865015999996</v>
      </c>
      <c r="AV25" s="73">
        <f t="shared" si="34"/>
        <v>69643.865015999996</v>
      </c>
      <c r="AW25" s="73">
        <f t="shared" si="34"/>
        <v>69643.865015999996</v>
      </c>
      <c r="AX25" s="73">
        <f t="shared" si="34"/>
        <v>69643.865015999996</v>
      </c>
      <c r="AY25" s="73">
        <f t="shared" si="34"/>
        <v>69643.865015999996</v>
      </c>
      <c r="AZ25" s="73">
        <f t="shared" si="34"/>
        <v>76608.251517600016</v>
      </c>
      <c r="BA25" s="390"/>
      <c r="BB25" s="71"/>
      <c r="BC25" s="71"/>
      <c r="BD25" s="300"/>
      <c r="BE25" s="150" t="s">
        <v>237</v>
      </c>
      <c r="BF25" s="324"/>
      <c r="BG25" s="317"/>
      <c r="BH25" s="320">
        <f>BH23-BH24</f>
        <v>1402102.5474400003</v>
      </c>
      <c r="BI25" s="325">
        <f>BI23-BI24</f>
        <v>1389202.4474400003</v>
      </c>
      <c r="BJ25" s="320">
        <f t="shared" ref="BJ25:BQ25" si="35">BJ23-BJ24</f>
        <v>1126044.3454400003</v>
      </c>
      <c r="BK25" s="320">
        <f t="shared" si="35"/>
        <v>-137376.91859999974</v>
      </c>
      <c r="BL25" s="320">
        <f t="shared" si="35"/>
        <v>1348933.3920792001</v>
      </c>
      <c r="BM25" s="320">
        <f t="shared" si="35"/>
        <v>1539680.663715984</v>
      </c>
      <c r="BN25" s="320">
        <f t="shared" si="35"/>
        <v>1525437.9109466237</v>
      </c>
      <c r="BO25" s="320">
        <f t="shared" si="35"/>
        <v>1510910.303121876</v>
      </c>
      <c r="BP25" s="320">
        <f t="shared" si="35"/>
        <v>1496092.1431406336</v>
      </c>
      <c r="BQ25" s="320">
        <f t="shared" si="35"/>
        <v>1480977.6199597663</v>
      </c>
      <c r="BR25" s="320"/>
      <c r="BS25" s="317" t="str">
        <f t="shared" ref="BS25:BV25" si="36">IF(BT8="","",BS23-BS24)</f>
        <v/>
      </c>
      <c r="BT25" s="317" t="str">
        <f t="shared" si="36"/>
        <v/>
      </c>
      <c r="BU25" s="317" t="str">
        <f t="shared" si="36"/>
        <v/>
      </c>
      <c r="BV25" s="317" t="str">
        <f t="shared" si="36"/>
        <v/>
      </c>
      <c r="BW25" s="165"/>
      <c r="BZ25" s="426" t="s">
        <v>65</v>
      </c>
      <c r="CA25" s="182"/>
      <c r="CB25" s="221" t="e">
        <f>CB21/CB22</f>
        <v>#VALUE!</v>
      </c>
      <c r="CC25" s="197"/>
      <c r="CD25" s="219"/>
      <c r="CE25" s="197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 t="s">
        <v>1</v>
      </c>
      <c r="CP25" s="182" t="s">
        <v>1</v>
      </c>
      <c r="CQ25" s="182" t="s">
        <v>1</v>
      </c>
      <c r="CR25" s="182" t="s">
        <v>1</v>
      </c>
      <c r="CS25" s="182" t="s">
        <v>1</v>
      </c>
    </row>
    <row r="26" spans="2:104">
      <c r="B26" s="150" t="s">
        <v>238</v>
      </c>
      <c r="C26" s="220"/>
      <c r="D26" s="97">
        <v>30</v>
      </c>
      <c r="Z26" s="260"/>
      <c r="AA26" s="260"/>
      <c r="AB26" s="285"/>
      <c r="AC26" s="198"/>
      <c r="AD26" s="199"/>
      <c r="AG26" s="205"/>
      <c r="AH26" s="67" t="s">
        <v>239</v>
      </c>
      <c r="AI26" s="61"/>
      <c r="AJ26" s="405" t="s">
        <v>240</v>
      </c>
      <c r="AK26" s="307">
        <f>C53</f>
        <v>33783.517985840001</v>
      </c>
      <c r="AL26" s="307">
        <f>D53</f>
        <v>34386.379999999997</v>
      </c>
      <c r="AM26" s="307">
        <f>E53</f>
        <v>35000</v>
      </c>
      <c r="AN26" s="600">
        <f t="shared" si="23"/>
        <v>0.7</v>
      </c>
      <c r="AO26" s="70"/>
      <c r="AP26" s="71">
        <f t="shared" si="25"/>
        <v>35000</v>
      </c>
      <c r="AQ26" s="73">
        <f t="shared" ref="AQ26:AZ28" si="37">AP26*(1+G$68)</f>
        <v>35700</v>
      </c>
      <c r="AR26" s="73">
        <f t="shared" si="37"/>
        <v>36414</v>
      </c>
      <c r="AS26" s="73">
        <f t="shared" si="37"/>
        <v>37142.28</v>
      </c>
      <c r="AT26" s="73">
        <f t="shared" si="37"/>
        <v>37885.125599999999</v>
      </c>
      <c r="AU26" s="73">
        <f t="shared" si="37"/>
        <v>38642.828112000003</v>
      </c>
      <c r="AV26" s="73">
        <f t="shared" si="37"/>
        <v>39415.684674240001</v>
      </c>
      <c r="AW26" s="73">
        <f t="shared" si="37"/>
        <v>40203.998367724802</v>
      </c>
      <c r="AX26" s="73">
        <f t="shared" si="37"/>
        <v>41008.078335079299</v>
      </c>
      <c r="AY26" s="73">
        <f t="shared" si="37"/>
        <v>41828.239901780886</v>
      </c>
      <c r="AZ26" s="73">
        <f t="shared" si="37"/>
        <v>42664.804699816501</v>
      </c>
      <c r="BA26" s="388" t="s">
        <v>240</v>
      </c>
      <c r="BB26" s="73"/>
      <c r="BC26" s="73"/>
      <c r="BD26" s="295"/>
      <c r="BE26" s="110" t="s">
        <v>241</v>
      </c>
      <c r="BF26" s="323"/>
      <c r="BG26" s="318"/>
      <c r="BH26" s="318">
        <f t="shared" ref="BH26:BQ26" si="38">(($D$20*$D$29)*$D$24)/(1-(1+$D$24/12)^-($D$26*12))</f>
        <v>858420.78406222712</v>
      </c>
      <c r="BI26" s="326">
        <f t="shared" si="38"/>
        <v>858420.78406222712</v>
      </c>
      <c r="BJ26" s="318">
        <f t="shared" si="38"/>
        <v>858420.78406222712</v>
      </c>
      <c r="BK26" s="318">
        <f t="shared" si="38"/>
        <v>858420.78406222712</v>
      </c>
      <c r="BL26" s="318">
        <f t="shared" si="38"/>
        <v>858420.78406222712</v>
      </c>
      <c r="BM26" s="318">
        <f t="shared" si="38"/>
        <v>858420.78406222712</v>
      </c>
      <c r="BN26" s="318">
        <f t="shared" si="38"/>
        <v>858420.78406222712</v>
      </c>
      <c r="BO26" s="318">
        <f t="shared" si="38"/>
        <v>858420.78406222712</v>
      </c>
      <c r="BP26" s="318">
        <f t="shared" si="38"/>
        <v>858420.78406222712</v>
      </c>
      <c r="BQ26" s="318">
        <f t="shared" si="38"/>
        <v>858420.78406222712</v>
      </c>
      <c r="BR26" s="318"/>
      <c r="BS26" s="318" t="str">
        <f>IF(BT8="","",IF(BS8&lt;='[1]Property Cash Flow'!$H$27,'[1]Property Cash Flow'!$H$34,'[1]Property Cash Flow'!$H$33))</f>
        <v/>
      </c>
      <c r="BT26" s="318" t="str">
        <f>IF(BU8="","",IF(BT8&lt;='[1]Property Cash Flow'!$H$27,'[1]Property Cash Flow'!$H$34,'[1]Property Cash Flow'!$H$33))</f>
        <v/>
      </c>
      <c r="BU26" s="318" t="str">
        <f>IF(BV8="","",IF(BU8&lt;='[1]Property Cash Flow'!$H$27,'[1]Property Cash Flow'!$H$34,'[1]Property Cash Flow'!$H$33))</f>
        <v/>
      </c>
      <c r="BV26" s="318" t="str">
        <f>IF(BW8="","",IF(BV8&lt;='[1]Property Cash Flow'!$H$27,'[1]Property Cash Flow'!$H$34,'[1]Property Cash Flow'!$H$33))</f>
        <v/>
      </c>
      <c r="BW26" s="165"/>
      <c r="BZ26" s="426" t="s">
        <v>1</v>
      </c>
      <c r="CA26" s="182"/>
      <c r="CB26" s="212"/>
      <c r="CC26" s="197"/>
      <c r="CD26" s="219"/>
      <c r="CE26" s="197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 t="s">
        <v>1</v>
      </c>
      <c r="CP26" s="182" t="s">
        <v>1</v>
      </c>
      <c r="CQ26" s="182" t="s">
        <v>1</v>
      </c>
      <c r="CR26" s="182" t="s">
        <v>1</v>
      </c>
      <c r="CS26" s="182" t="s">
        <v>1</v>
      </c>
    </row>
    <row r="27" spans="2:104">
      <c r="B27" s="150" t="s">
        <v>242</v>
      </c>
      <c r="C27" s="220"/>
      <c r="D27" s="95">
        <f>Analysis_Period</f>
        <v>10</v>
      </c>
      <c r="Z27" s="253"/>
      <c r="AA27" s="253"/>
      <c r="AB27" s="253"/>
      <c r="AG27" s="205"/>
      <c r="AH27" s="67"/>
      <c r="AI27" s="61"/>
      <c r="AJ27" s="405"/>
      <c r="AK27" s="307"/>
      <c r="AL27" s="307"/>
      <c r="AM27" s="307"/>
      <c r="AN27" s="69"/>
      <c r="AO27" s="70"/>
      <c r="AP27" s="71"/>
      <c r="AQ27" s="73">
        <f t="shared" si="37"/>
        <v>0</v>
      </c>
      <c r="AR27" s="73">
        <f t="shared" si="37"/>
        <v>0</v>
      </c>
      <c r="AS27" s="73">
        <f t="shared" si="37"/>
        <v>0</v>
      </c>
      <c r="AT27" s="73">
        <f t="shared" si="37"/>
        <v>0</v>
      </c>
      <c r="AU27" s="73">
        <f t="shared" si="37"/>
        <v>0</v>
      </c>
      <c r="AV27" s="73">
        <f t="shared" si="37"/>
        <v>0</v>
      </c>
      <c r="AW27" s="73">
        <f t="shared" si="37"/>
        <v>0</v>
      </c>
      <c r="AX27" s="73">
        <f t="shared" si="37"/>
        <v>0</v>
      </c>
      <c r="AY27" s="73">
        <f t="shared" si="37"/>
        <v>0</v>
      </c>
      <c r="AZ27" s="73">
        <f t="shared" si="37"/>
        <v>0</v>
      </c>
      <c r="BA27" s="388"/>
      <c r="BB27" s="73"/>
      <c r="BC27" s="73"/>
      <c r="BD27" s="295"/>
      <c r="BE27" s="110"/>
      <c r="BF27" s="323"/>
      <c r="BG27" s="318"/>
      <c r="BH27" s="318"/>
      <c r="BI27" s="326"/>
      <c r="BJ27" s="326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165"/>
      <c r="BZ27" s="426"/>
      <c r="CA27" s="182"/>
      <c r="CB27" s="212"/>
      <c r="CC27" s="197"/>
      <c r="CD27" s="219"/>
      <c r="CE27" s="197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</row>
    <row r="28" spans="2:104" ht="15.75">
      <c r="B28" s="150"/>
      <c r="C28" s="220"/>
      <c r="D28" s="95"/>
      <c r="Z28" s="843" t="s">
        <v>220</v>
      </c>
      <c r="AA28" s="843"/>
      <c r="AB28" s="843"/>
      <c r="AG28" s="211"/>
      <c r="AH28" s="67" t="s">
        <v>244</v>
      </c>
      <c r="AI28" s="61"/>
      <c r="AJ28" s="408" t="s">
        <v>245</v>
      </c>
      <c r="AK28" s="98">
        <f>C54</f>
        <v>241315.668972855</v>
      </c>
      <c r="AL28" s="98">
        <f>D54</f>
        <v>245621.91234000001</v>
      </c>
      <c r="AM28" s="98">
        <f>E54</f>
        <v>250005</v>
      </c>
      <c r="AN28" s="99">
        <f>+AP28/D16</f>
        <v>5.0000999999999998</v>
      </c>
      <c r="AO28" s="100"/>
      <c r="AP28" s="101">
        <f t="shared" si="25"/>
        <v>250005</v>
      </c>
      <c r="AQ28" s="73">
        <f t="shared" si="37"/>
        <v>255005.1</v>
      </c>
      <c r="AR28" s="73">
        <f t="shared" si="37"/>
        <v>260105.20200000002</v>
      </c>
      <c r="AS28" s="73">
        <f t="shared" si="37"/>
        <v>265307.30604</v>
      </c>
      <c r="AT28" s="73">
        <f t="shared" si="37"/>
        <v>270613.45216079999</v>
      </c>
      <c r="AU28" s="73">
        <f t="shared" si="37"/>
        <v>276025.72120401601</v>
      </c>
      <c r="AV28" s="73">
        <f t="shared" si="37"/>
        <v>281546.23562809633</v>
      </c>
      <c r="AW28" s="73">
        <f t="shared" si="37"/>
        <v>287177.16034065827</v>
      </c>
      <c r="AX28" s="73">
        <f t="shared" si="37"/>
        <v>292920.70354747144</v>
      </c>
      <c r="AY28" s="73">
        <f t="shared" si="37"/>
        <v>298779.11761842086</v>
      </c>
      <c r="AZ28" s="73">
        <f t="shared" si="37"/>
        <v>304754.69997078925</v>
      </c>
      <c r="BA28" s="391" t="s">
        <v>245</v>
      </c>
      <c r="BB28" s="102"/>
      <c r="BC28" s="102"/>
      <c r="BD28" s="301"/>
      <c r="BE28" s="150" t="s">
        <v>246</v>
      </c>
      <c r="BF28" s="327"/>
      <c r="BG28" s="317"/>
      <c r="BH28" s="320">
        <f>BH25-BH26+BH27</f>
        <v>543681.76337777323</v>
      </c>
      <c r="BI28" s="320">
        <f>BI25-BI26+BI27</f>
        <v>530781.66337777313</v>
      </c>
      <c r="BJ28" s="320">
        <f>BJ25-BJ26+BJ27</f>
        <v>267623.56137777318</v>
      </c>
      <c r="BK28" s="320">
        <f>BK25-BK26</f>
        <v>-995797.70266222686</v>
      </c>
      <c r="BL28" s="320">
        <f t="shared" ref="BL28:BP28" si="39">BL25-BL26</f>
        <v>490512.60801697301</v>
      </c>
      <c r="BM28" s="320">
        <f t="shared" si="39"/>
        <v>681259.87965375686</v>
      </c>
      <c r="BN28" s="320">
        <f t="shared" si="39"/>
        <v>667017.12688439654</v>
      </c>
      <c r="BO28" s="320">
        <f t="shared" si="39"/>
        <v>652489.51905964885</v>
      </c>
      <c r="BP28" s="320">
        <f t="shared" si="39"/>
        <v>637671.35907840647</v>
      </c>
      <c r="BQ28" s="320">
        <f>BQ25-BQ26</f>
        <v>622556.83589753916</v>
      </c>
      <c r="BR28" s="320"/>
      <c r="BS28" s="317" t="str">
        <f t="shared" ref="BS28:BV28" si="40">IF(BT8="","",BS25-BS26)</f>
        <v/>
      </c>
      <c r="BT28" s="317"/>
      <c r="BU28" s="317" t="str">
        <f t="shared" si="40"/>
        <v/>
      </c>
      <c r="BV28" s="317" t="str">
        <f t="shared" si="40"/>
        <v/>
      </c>
      <c r="BW28" s="165"/>
      <c r="BZ28" s="425" t="s">
        <v>67</v>
      </c>
      <c r="CA28" s="182"/>
      <c r="CB28" s="217"/>
      <c r="CC28" s="197"/>
      <c r="CD28" s="217"/>
      <c r="CE28" s="223"/>
      <c r="CF28" s="224"/>
      <c r="CG28" s="224"/>
      <c r="CH28" s="217"/>
      <c r="CI28" s="224"/>
      <c r="CJ28" s="224"/>
      <c r="CK28" s="224"/>
      <c r="CL28" s="224"/>
      <c r="CM28" s="224"/>
      <c r="CN28" s="224"/>
      <c r="CO28" s="182" t="s">
        <v>1</v>
      </c>
      <c r="CP28" s="182" t="s">
        <v>1</v>
      </c>
      <c r="CQ28" s="182" t="s">
        <v>1</v>
      </c>
      <c r="CR28" s="182" t="s">
        <v>1</v>
      </c>
      <c r="CS28" s="182" t="s">
        <v>1</v>
      </c>
    </row>
    <row r="29" spans="2:104">
      <c r="B29" s="150" t="s">
        <v>247</v>
      </c>
      <c r="C29" s="220"/>
      <c r="D29" s="94">
        <v>0.65</v>
      </c>
      <c r="Z29" s="262" t="s">
        <v>196</v>
      </c>
      <c r="AA29" s="262" t="s">
        <v>1</v>
      </c>
      <c r="AB29" s="277">
        <f>AB12*D29</f>
        <v>15930500.300000001</v>
      </c>
      <c r="AC29" s="163" t="s">
        <v>248</v>
      </c>
      <c r="AG29" s="201">
        <f>_xlfn.RRI(_xlfn.SINGLE(Analysis_Period)-1,AP29,_xlfn.SINGLE(INDEX(AP29:BD29,1,_xlfn.SINGLE(Analysis_Period))))</f>
        <v>1.916170362276115E-2</v>
      </c>
      <c r="AH29" s="103" t="s">
        <v>224</v>
      </c>
      <c r="AI29" s="204"/>
      <c r="AJ29" s="405" t="s">
        <v>249</v>
      </c>
      <c r="AK29" s="137">
        <f>SUM(AK20:AK28)</f>
        <v>661010.66528346692</v>
      </c>
      <c r="AL29" s="137">
        <f>SUM(AL20:AL28)</f>
        <v>671687.9299000001</v>
      </c>
      <c r="AM29" s="137">
        <f>SUM(AM20:AM28)</f>
        <v>683317.60456000001</v>
      </c>
      <c r="AN29" s="69">
        <f>AP29/D16</f>
        <v>13.6663520912</v>
      </c>
      <c r="AO29" s="70"/>
      <c r="AP29" s="104">
        <f>IF(AP9="","",SUM(AP20:AP28))</f>
        <v>683317.60456000001</v>
      </c>
      <c r="AQ29" s="105">
        <f>SUM(AQ20:AQ28)</f>
        <v>695717.70455999998</v>
      </c>
      <c r="AR29" s="105">
        <f t="shared" ref="AR29:AZ29" si="41">SUM(AR20:AR28)</f>
        <v>708365.80656000006</v>
      </c>
      <c r="AS29" s="105">
        <f t="shared" si="41"/>
        <v>721266.87060000002</v>
      </c>
      <c r="AT29" s="105">
        <f t="shared" si="41"/>
        <v>734425.9559208001</v>
      </c>
      <c r="AU29" s="105">
        <f t="shared" si="41"/>
        <v>754179.48340401612</v>
      </c>
      <c r="AV29" s="105">
        <f t="shared" si="41"/>
        <v>767870.19577177637</v>
      </c>
      <c r="AW29" s="105">
        <f t="shared" si="41"/>
        <v>781834.72238689195</v>
      </c>
      <c r="AX29" s="105">
        <f t="shared" si="41"/>
        <v>796078.53953430988</v>
      </c>
      <c r="AY29" s="105">
        <f t="shared" si="41"/>
        <v>810607.23302467598</v>
      </c>
      <c r="AZ29" s="105">
        <f t="shared" si="41"/>
        <v>832390.88688644941</v>
      </c>
      <c r="BA29" s="388" t="s">
        <v>249</v>
      </c>
      <c r="BB29" s="73"/>
      <c r="BC29" s="73"/>
      <c r="BD29" s="295"/>
      <c r="BE29" s="150"/>
      <c r="BF29" s="32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165"/>
      <c r="BZ29" s="426" t="s">
        <v>68</v>
      </c>
      <c r="CA29" s="182"/>
      <c r="CB29" s="217" t="e">
        <f>SUM(CD29:CS29)</f>
        <v>#VALUE!</v>
      </c>
      <c r="CC29" s="197"/>
      <c r="CD29" s="217" t="e">
        <f>(CD19&lt;&gt;"") * (CD60 + CD78 + CD93 + CD100)</f>
        <v>#VALUE!</v>
      </c>
      <c r="CE29" s="217" t="e">
        <f t="shared" ref="CE29:CN29" si="42">(CE19&lt;&gt;"") * (CE60 + CE78 + CE93 + CE100)</f>
        <v>#VALUE!</v>
      </c>
      <c r="CF29" s="217" t="e">
        <f t="shared" si="42"/>
        <v>#VALUE!</v>
      </c>
      <c r="CG29" s="217" t="e">
        <f t="shared" si="42"/>
        <v>#VALUE!</v>
      </c>
      <c r="CH29" s="217" t="e">
        <f t="shared" si="42"/>
        <v>#VALUE!</v>
      </c>
      <c r="CI29" s="217" t="e">
        <f t="shared" si="42"/>
        <v>#VALUE!</v>
      </c>
      <c r="CJ29" s="217" t="e">
        <f t="shared" si="42"/>
        <v>#VALUE!</v>
      </c>
      <c r="CK29" s="217" t="e">
        <f t="shared" si="42"/>
        <v>#VALUE!</v>
      </c>
      <c r="CL29" s="217" t="e">
        <f t="shared" si="42"/>
        <v>#VALUE!</v>
      </c>
      <c r="CM29" s="217" t="e">
        <f t="shared" si="42"/>
        <v>#VALUE!</v>
      </c>
      <c r="CN29" s="217" t="e">
        <f t="shared" si="42"/>
        <v>#VALUE!</v>
      </c>
      <c r="CO29" s="197" t="s">
        <v>61</v>
      </c>
      <c r="CP29" s="197" t="s">
        <v>61</v>
      </c>
      <c r="CQ29" s="197" t="s">
        <v>61</v>
      </c>
      <c r="CR29" s="197" t="s">
        <v>61</v>
      </c>
      <c r="CS29" s="197" t="s">
        <v>61</v>
      </c>
    </row>
    <row r="30" spans="2:104">
      <c r="B30" s="150" t="s">
        <v>250</v>
      </c>
      <c r="C30" s="220"/>
      <c r="D30" s="94">
        <v>0.01</v>
      </c>
      <c r="Z30" s="262" t="s">
        <v>251</v>
      </c>
      <c r="AA30" s="262" t="s">
        <v>1</v>
      </c>
      <c r="AB30" s="277">
        <f>AB29*D30</f>
        <v>159305.003</v>
      </c>
      <c r="AC30" s="163" t="s">
        <v>252</v>
      </c>
      <c r="AG30" s="58"/>
      <c r="AH30" s="103"/>
      <c r="AI30" s="61"/>
      <c r="AJ30" s="405"/>
      <c r="AK30" s="137"/>
      <c r="AL30" s="137"/>
      <c r="AM30" s="137"/>
      <c r="AN30" s="69"/>
      <c r="AO30" s="70"/>
      <c r="AP30" s="71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388"/>
      <c r="BB30" s="73"/>
      <c r="BC30" s="73"/>
      <c r="BD30" s="295"/>
      <c r="BE30" s="106" t="s">
        <v>253</v>
      </c>
      <c r="BF30" s="292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165"/>
      <c r="BZ30" s="426" t="s">
        <v>69</v>
      </c>
      <c r="CA30" s="182"/>
      <c r="CB30" s="217">
        <f>SUM(CD30:CS30)</f>
        <v>1507627</v>
      </c>
      <c r="CC30" s="197"/>
      <c r="CD30" s="217">
        <f>((CD19&lt;&gt;"") * SUM(CD39:CD40))</f>
        <v>367627</v>
      </c>
      <c r="CE30" s="217">
        <f t="shared" ref="CE30:CN30" si="43">((CE19&lt;&gt;"") * SUM(CE39:CE40))</f>
        <v>114000</v>
      </c>
      <c r="CF30" s="217">
        <f t="shared" si="43"/>
        <v>114000</v>
      </c>
      <c r="CG30" s="217">
        <f t="shared" si="43"/>
        <v>114000</v>
      </c>
      <c r="CH30" s="217">
        <f t="shared" si="43"/>
        <v>114000</v>
      </c>
      <c r="CI30" s="217">
        <f t="shared" si="43"/>
        <v>114000</v>
      </c>
      <c r="CJ30" s="217">
        <f t="shared" si="43"/>
        <v>114000</v>
      </c>
      <c r="CK30" s="217">
        <f t="shared" si="43"/>
        <v>114000</v>
      </c>
      <c r="CL30" s="217">
        <f t="shared" si="43"/>
        <v>114000</v>
      </c>
      <c r="CM30" s="217">
        <f t="shared" si="43"/>
        <v>114000</v>
      </c>
      <c r="CN30" s="217">
        <f t="shared" si="43"/>
        <v>114000</v>
      </c>
      <c r="CO30" s="197" t="s">
        <v>61</v>
      </c>
      <c r="CP30" s="197" t="s">
        <v>61</v>
      </c>
      <c r="CQ30" s="197" t="s">
        <v>61</v>
      </c>
      <c r="CR30" s="197" t="s">
        <v>61</v>
      </c>
      <c r="CS30" s="197" t="s">
        <v>61</v>
      </c>
    </row>
    <row r="31" spans="2:104">
      <c r="Z31" s="262" t="s">
        <v>254</v>
      </c>
      <c r="AA31" s="262" t="s">
        <v>1</v>
      </c>
      <c r="AB31" s="277">
        <f>AB3-AB29</f>
        <v>9477435.943</v>
      </c>
      <c r="AC31" s="163" t="s">
        <v>255</v>
      </c>
      <c r="AG31" s="201">
        <f>_xlfn.RRI(_xlfn.SINGLE(Analysis_Period)-1,AP31,_xlfn.SINGLE(INDEX(AP31:BD31,1,_xlfn.SINGLE(Analysis_Period))))</f>
        <v>6.3567269977438112E-3</v>
      </c>
      <c r="AH31" s="106" t="s">
        <v>227</v>
      </c>
      <c r="AI31" s="208"/>
      <c r="AJ31" s="405" t="s">
        <v>256</v>
      </c>
      <c r="AK31" s="107">
        <f>AK18-AK29</f>
        <v>1424154.3024409332</v>
      </c>
      <c r="AL31" s="107">
        <f>AL18-AL29</f>
        <v>1413407.3221</v>
      </c>
      <c r="AM31" s="107">
        <f>AM18-AM29</f>
        <v>1427102.5474400003</v>
      </c>
      <c r="AN31" s="107">
        <f>AN18-AN29</f>
        <v>28.542050948800007</v>
      </c>
      <c r="AO31" s="90"/>
      <c r="AP31" s="83">
        <f>AP18-AP29</f>
        <v>1427102.5474400003</v>
      </c>
      <c r="AQ31" s="83">
        <f t="shared" ref="AQ31:AZ31" si="44">AQ18-AQ29</f>
        <v>1414702.4474400003</v>
      </c>
      <c r="AR31" s="83">
        <f>AR18-AR29</f>
        <v>1402054.3454400003</v>
      </c>
      <c r="AS31" s="83">
        <f t="shared" si="44"/>
        <v>1389153.2814000002</v>
      </c>
      <c r="AT31" s="83">
        <f t="shared" si="44"/>
        <v>1375994.1960792001</v>
      </c>
      <c r="AU31" s="83">
        <f t="shared" si="44"/>
        <v>1567282.6837959839</v>
      </c>
      <c r="AV31" s="83">
        <f t="shared" si="44"/>
        <v>1553591.9714282237</v>
      </c>
      <c r="AW31" s="83">
        <f t="shared" si="44"/>
        <v>1539627.4448131081</v>
      </c>
      <c r="AX31" s="83">
        <f t="shared" si="44"/>
        <v>1525383.6276656901</v>
      </c>
      <c r="AY31" s="83">
        <f t="shared" si="44"/>
        <v>1510854.9341753242</v>
      </c>
      <c r="AZ31" s="83">
        <f t="shared" si="44"/>
        <v>1721217.4970335509</v>
      </c>
      <c r="BA31" s="388" t="s">
        <v>256</v>
      </c>
      <c r="BB31" s="91"/>
      <c r="BC31" s="91"/>
      <c r="BD31" s="299"/>
      <c r="BE31" s="103" t="s">
        <v>258</v>
      </c>
      <c r="BF31" s="292"/>
      <c r="BG31" s="84"/>
      <c r="BH31" s="108">
        <f>_xlfn.SINGLE(Exit_Cap_Yr_1)</f>
        <v>6.5000000000000002E-2</v>
      </c>
      <c r="BI31" s="108">
        <f t="shared" ref="BI31:BP31" si="45">BH31+($D$12/10000)</f>
        <v>6.5500000000000003E-2</v>
      </c>
      <c r="BJ31" s="108">
        <f t="shared" si="45"/>
        <v>6.6000000000000003E-2</v>
      </c>
      <c r="BK31" s="108">
        <f t="shared" si="45"/>
        <v>6.6500000000000004E-2</v>
      </c>
      <c r="BL31" s="108">
        <f t="shared" si="45"/>
        <v>6.7000000000000004E-2</v>
      </c>
      <c r="BM31" s="108">
        <f t="shared" si="45"/>
        <v>6.7500000000000004E-2</v>
      </c>
      <c r="BN31" s="108">
        <f t="shared" si="45"/>
        <v>6.8000000000000005E-2</v>
      </c>
      <c r="BO31" s="108">
        <f t="shared" si="45"/>
        <v>6.8500000000000005E-2</v>
      </c>
      <c r="BP31" s="108">
        <f t="shared" si="45"/>
        <v>6.9000000000000006E-2</v>
      </c>
      <c r="BQ31" s="108">
        <f>BP31+($D$12/10000)</f>
        <v>6.9500000000000006E-2</v>
      </c>
      <c r="BR31" s="108"/>
      <c r="BS31" s="108"/>
      <c r="BT31" s="108"/>
      <c r="BU31" s="108"/>
      <c r="BV31" s="108" t="str">
        <f>IF(BV21="","",IF(BV8&gt;_xlfn.SINGLE(Analysis_Period),"",BU31+'[1]Property Cash Flow'!$D$15/10000))</f>
        <v/>
      </c>
      <c r="BW31" s="165"/>
      <c r="BZ31" s="426" t="s">
        <v>70</v>
      </c>
      <c r="CA31" s="182"/>
      <c r="CB31" s="217">
        <f>SUM(CD31:CS31)</f>
        <v>1602050.8498122273</v>
      </c>
      <c r="CC31" s="197"/>
      <c r="CD31" s="437">
        <f>(CD19&lt;&gt;"") * ( -((CD42*(CD42&lt;0)) + CD51) )</f>
        <v>492253.14715000056</v>
      </c>
      <c r="CE31" s="437">
        <f t="shared" ref="CE31:CN31" si="46">(CE19&lt;&gt;"") * ( -((CE42*(CE42&lt;0)) + CE51) )</f>
        <v>0</v>
      </c>
      <c r="CF31" s="437">
        <f t="shared" si="46"/>
        <v>0</v>
      </c>
      <c r="CG31" s="437">
        <f t="shared" si="46"/>
        <v>0</v>
      </c>
      <c r="CH31" s="437">
        <f>(CH19&lt;&gt;"") * ( -((CH42*(CH42&lt;0)) + CH51) )</f>
        <v>1109797.7026622267</v>
      </c>
      <c r="CI31" s="437">
        <f t="shared" si="46"/>
        <v>0</v>
      </c>
      <c r="CJ31" s="437">
        <f t="shared" si="46"/>
        <v>0</v>
      </c>
      <c r="CK31" s="437">
        <f t="shared" si="46"/>
        <v>0</v>
      </c>
      <c r="CL31" s="437">
        <f t="shared" si="46"/>
        <v>0</v>
      </c>
      <c r="CM31" s="437">
        <f t="shared" si="46"/>
        <v>0</v>
      </c>
      <c r="CN31" s="437">
        <f t="shared" si="46"/>
        <v>0</v>
      </c>
      <c r="CO31" s="197" t="s">
        <v>61</v>
      </c>
      <c r="CP31" s="197" t="s">
        <v>61</v>
      </c>
      <c r="CQ31" s="197" t="s">
        <v>61</v>
      </c>
      <c r="CR31" s="197" t="s">
        <v>61</v>
      </c>
      <c r="CS31" s="197" t="s">
        <v>61</v>
      </c>
    </row>
    <row r="32" spans="2:104" ht="15.75">
      <c r="B32" s="109" t="s">
        <v>259</v>
      </c>
      <c r="C32" s="109"/>
      <c r="D32" s="109"/>
      <c r="F32" s="222"/>
      <c r="Z32" s="253"/>
      <c r="AA32" s="253"/>
      <c r="AB32" s="276"/>
      <c r="AG32" s="58"/>
      <c r="AH32" s="103"/>
      <c r="AI32" s="61"/>
      <c r="AJ32" s="405"/>
      <c r="AK32" s="85"/>
      <c r="AL32" s="85"/>
      <c r="AM32" s="85"/>
      <c r="AN32" s="69"/>
      <c r="AO32" s="70"/>
      <c r="AP32" s="71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388"/>
      <c r="BB32" s="73"/>
      <c r="BC32" s="73"/>
      <c r="BD32" s="295"/>
      <c r="BE32" s="103" t="s">
        <v>260</v>
      </c>
      <c r="BF32" s="292"/>
      <c r="BG32" s="84"/>
      <c r="BH32" s="74">
        <f>BH23/BH31</f>
        <v>21955423.806769237</v>
      </c>
      <c r="BI32" s="74">
        <f t="shared" ref="BI32:BQ32" si="47">BI23/BI31</f>
        <v>21598510.647938933</v>
      </c>
      <c r="BJ32" s="74">
        <f t="shared" si="47"/>
        <v>21243247.65818182</v>
      </c>
      <c r="BK32" s="74">
        <f t="shared" si="47"/>
        <v>20889523.028571431</v>
      </c>
      <c r="BL32" s="74">
        <f t="shared" si="47"/>
        <v>20537226.807152238</v>
      </c>
      <c r="BM32" s="74">
        <f t="shared" si="47"/>
        <v>23219002.722903464</v>
      </c>
      <c r="BN32" s="74">
        <f t="shared" si="47"/>
        <v>22846940.756297406</v>
      </c>
      <c r="BO32" s="74">
        <f t="shared" si="47"/>
        <v>22476313.06296508</v>
      </c>
      <c r="BP32" s="74">
        <f t="shared" si="47"/>
        <v>22107009.096604202</v>
      </c>
      <c r="BQ32" s="74">
        <f t="shared" si="47"/>
        <v>21738919.916191712</v>
      </c>
      <c r="BR32" s="74"/>
      <c r="BS32" s="74"/>
      <c r="BT32" s="74"/>
      <c r="BU32" s="74"/>
      <c r="BV32" s="74" t="str">
        <f t="shared" ref="BV32" si="48">IF(BV8&gt;_xlfn.SINGLE(Analysis_Period),"",OR(BV8=15,_xlfn.SINGLE(Cap_Year)="T12")*(BV23/BV31)+AND(BV8&lt;&gt;15,_xlfn.SINGLE(Cap_Year)="Forward 12")*(BW23/BV31))</f>
        <v/>
      </c>
      <c r="BW32" s="165"/>
      <c r="BZ32" s="426" t="s">
        <v>71</v>
      </c>
      <c r="CA32" s="182"/>
      <c r="CB32" s="217" t="e">
        <f>+CB29+CB30-CB31</f>
        <v>#VALUE!</v>
      </c>
      <c r="CC32" s="197"/>
      <c r="CD32" s="438"/>
      <c r="CE32" s="439"/>
      <c r="CF32" s="439"/>
      <c r="CG32" s="439"/>
      <c r="CH32" s="439"/>
      <c r="CI32" s="439"/>
      <c r="CJ32" s="439"/>
      <c r="CK32" s="439"/>
      <c r="CL32" s="439"/>
      <c r="CM32" s="439"/>
      <c r="CN32" s="440"/>
      <c r="CO32" s="182" t="s">
        <v>1</v>
      </c>
      <c r="CP32" s="182" t="s">
        <v>1</v>
      </c>
      <c r="CQ32" s="182" t="s">
        <v>1</v>
      </c>
      <c r="CR32" s="182" t="s">
        <v>1</v>
      </c>
      <c r="CS32" s="182" t="s">
        <v>1</v>
      </c>
    </row>
    <row r="33" spans="2:97" ht="34.9">
      <c r="B33" s="110" t="s">
        <v>577</v>
      </c>
      <c r="C33" s="269">
        <v>0.1</v>
      </c>
      <c r="D33" s="225"/>
      <c r="F33" s="222"/>
      <c r="Z33" s="262" t="s">
        <v>261</v>
      </c>
      <c r="AA33" s="262" t="s">
        <v>1</v>
      </c>
      <c r="AB33" s="278">
        <f>PMT(D24/12,D26*12,-AB29)*12</f>
        <v>858420.78406222619</v>
      </c>
      <c r="AC33" s="163" t="s">
        <v>262</v>
      </c>
      <c r="AG33" s="211"/>
      <c r="AH33" s="67" t="s">
        <v>263</v>
      </c>
      <c r="AI33" s="61"/>
      <c r="AJ33" s="404" t="s">
        <v>264</v>
      </c>
      <c r="AK33" s="307">
        <f t="shared" ref="AK33:AM36" si="49">C59</f>
        <v>0</v>
      </c>
      <c r="AL33" s="307">
        <f t="shared" si="49"/>
        <v>0</v>
      </c>
      <c r="AM33" s="307">
        <f t="shared" si="49"/>
        <v>0</v>
      </c>
      <c r="AN33" s="602">
        <f>+AP33/$D$16</f>
        <v>0</v>
      </c>
      <c r="AO33" s="111">
        <f>I75</f>
        <v>0</v>
      </c>
      <c r="AP33" s="112"/>
      <c r="AQ33" s="112">
        <f t="shared" ref="AQ33:AZ34" si="50">G59</f>
        <v>0</v>
      </c>
      <c r="AR33" s="112">
        <f t="shared" si="50"/>
        <v>0</v>
      </c>
      <c r="AS33" s="112">
        <f t="shared" si="50"/>
        <v>1250000</v>
      </c>
      <c r="AT33" s="112">
        <f t="shared" si="50"/>
        <v>0</v>
      </c>
      <c r="AU33" s="112">
        <f t="shared" si="50"/>
        <v>0</v>
      </c>
      <c r="AV33" s="112">
        <f t="shared" si="50"/>
        <v>0</v>
      </c>
      <c r="AW33" s="112">
        <f t="shared" si="50"/>
        <v>0</v>
      </c>
      <c r="AX33" s="112">
        <f t="shared" si="50"/>
        <v>0</v>
      </c>
      <c r="AY33" s="112">
        <f t="shared" si="50"/>
        <v>0</v>
      </c>
      <c r="AZ33" s="112">
        <f t="shared" si="50"/>
        <v>0</v>
      </c>
      <c r="BA33" s="379" t="s">
        <v>264</v>
      </c>
      <c r="BB33" s="112"/>
      <c r="BC33" s="112"/>
      <c r="BD33" s="152"/>
      <c r="BE33" s="92" t="s">
        <v>265</v>
      </c>
      <c r="BF33" s="292"/>
      <c r="BG33" s="84"/>
      <c r="BH33" s="84">
        <f>BH32*$D$19</f>
        <v>439108.47613538476</v>
      </c>
      <c r="BI33" s="84">
        <f t="shared" ref="BI33:BQ33" si="51">BI32*$D$19</f>
        <v>431970.21295877866</v>
      </c>
      <c r="BJ33" s="84">
        <f t="shared" si="51"/>
        <v>424864.95316363638</v>
      </c>
      <c r="BK33" s="84">
        <f t="shared" si="51"/>
        <v>417790.46057142864</v>
      </c>
      <c r="BL33" s="84">
        <f t="shared" si="51"/>
        <v>410744.53614304477</v>
      </c>
      <c r="BM33" s="84">
        <f t="shared" si="51"/>
        <v>464380.05445806927</v>
      </c>
      <c r="BN33" s="84">
        <f t="shared" si="51"/>
        <v>456938.81512594811</v>
      </c>
      <c r="BO33" s="84">
        <f t="shared" si="51"/>
        <v>449526.26125930162</v>
      </c>
      <c r="BP33" s="84">
        <f t="shared" si="51"/>
        <v>442140.18193208403</v>
      </c>
      <c r="BQ33" s="84">
        <f t="shared" si="51"/>
        <v>434778.39832383423</v>
      </c>
      <c r="BR33" s="84"/>
      <c r="BS33" s="84"/>
      <c r="BT33" s="84"/>
      <c r="BU33" s="84"/>
      <c r="BV33" s="84" t="str">
        <f>IF(BV8&gt;_xlfn.SINGLE(Analysis_Period),"",BV32*'[1]Property Cash Flow'!$H$18)</f>
        <v/>
      </c>
      <c r="BW33" s="165"/>
      <c r="BZ33" s="426" t="s">
        <v>72</v>
      </c>
      <c r="CA33" s="182"/>
      <c r="CB33" s="221" t="e">
        <f>IRR(CD33:CS33)</f>
        <v>#VALUE!</v>
      </c>
      <c r="CC33" s="197"/>
      <c r="CD33" s="217" t="e">
        <f>(CD19&lt;&gt;"") * ((-CD31)+CD29+CD30)</f>
        <v>#VALUE!</v>
      </c>
      <c r="CE33" s="217" t="e">
        <f t="shared" ref="CE33:CN33" si="52">(CE19&lt;&gt;"") * ((-CE31)+CE29+CE30)</f>
        <v>#VALUE!</v>
      </c>
      <c r="CF33" s="217" t="e">
        <f t="shared" si="52"/>
        <v>#VALUE!</v>
      </c>
      <c r="CG33" s="217" t="e">
        <f t="shared" si="52"/>
        <v>#VALUE!</v>
      </c>
      <c r="CH33" s="217" t="e">
        <f t="shared" si="52"/>
        <v>#VALUE!</v>
      </c>
      <c r="CI33" s="217" t="e">
        <f t="shared" si="52"/>
        <v>#VALUE!</v>
      </c>
      <c r="CJ33" s="217" t="e">
        <f t="shared" si="52"/>
        <v>#VALUE!</v>
      </c>
      <c r="CK33" s="217" t="e">
        <f t="shared" si="52"/>
        <v>#VALUE!</v>
      </c>
      <c r="CL33" s="217" t="e">
        <f t="shared" si="52"/>
        <v>#VALUE!</v>
      </c>
      <c r="CM33" s="217" t="e">
        <f t="shared" si="52"/>
        <v>#VALUE!</v>
      </c>
      <c r="CN33" s="217" t="e">
        <f t="shared" si="52"/>
        <v>#VALUE!</v>
      </c>
      <c r="CO33" s="197" t="s">
        <v>61</v>
      </c>
      <c r="CP33" s="197" t="s">
        <v>61</v>
      </c>
      <c r="CQ33" s="197" t="s">
        <v>61</v>
      </c>
      <c r="CR33" s="197" t="s">
        <v>61</v>
      </c>
      <c r="CS33" s="197" t="s">
        <v>61</v>
      </c>
    </row>
    <row r="34" spans="2:97">
      <c r="B34" s="110" t="s">
        <v>266</v>
      </c>
      <c r="C34" s="269">
        <v>0.03</v>
      </c>
      <c r="D34" s="225"/>
      <c r="F34" s="222"/>
      <c r="Z34" s="262" t="s">
        <v>267</v>
      </c>
      <c r="AA34" s="262" t="s">
        <v>1</v>
      </c>
      <c r="AB34" s="278">
        <f>AB29*D24</f>
        <v>557567.51050000009</v>
      </c>
      <c r="AC34" s="163" t="s">
        <v>268</v>
      </c>
      <c r="AG34" s="211"/>
      <c r="AH34" s="67" t="s">
        <v>269</v>
      </c>
      <c r="AI34" s="226"/>
      <c r="AJ34" s="404" t="s">
        <v>270</v>
      </c>
      <c r="AK34" s="307">
        <f t="shared" si="49"/>
        <v>0</v>
      </c>
      <c r="AL34" s="307">
        <f t="shared" si="49"/>
        <v>0</v>
      </c>
      <c r="AM34" s="307">
        <f t="shared" si="49"/>
        <v>0</v>
      </c>
      <c r="AN34" s="602">
        <f t="shared" ref="AN34" si="53">+AP34/$D$16</f>
        <v>0</v>
      </c>
      <c r="AO34" s="111"/>
      <c r="AP34" s="112">
        <f>+AM34</f>
        <v>0</v>
      </c>
      <c r="AQ34" s="112">
        <f t="shared" si="50"/>
        <v>0</v>
      </c>
      <c r="AR34" s="112">
        <f t="shared" si="50"/>
        <v>0</v>
      </c>
      <c r="AS34" s="112">
        <f t="shared" si="50"/>
        <v>250000</v>
      </c>
      <c r="AT34" s="112">
        <f t="shared" si="50"/>
        <v>0</v>
      </c>
      <c r="AU34" s="112">
        <f t="shared" si="50"/>
        <v>0</v>
      </c>
      <c r="AV34" s="112">
        <f t="shared" si="50"/>
        <v>0</v>
      </c>
      <c r="AW34" s="112">
        <f t="shared" si="50"/>
        <v>0</v>
      </c>
      <c r="AX34" s="112">
        <f t="shared" si="50"/>
        <v>0</v>
      </c>
      <c r="AY34" s="112">
        <f t="shared" si="50"/>
        <v>0</v>
      </c>
      <c r="AZ34" s="112">
        <f t="shared" si="50"/>
        <v>0</v>
      </c>
      <c r="BA34" s="379" t="s">
        <v>270</v>
      </c>
      <c r="BB34" s="112"/>
      <c r="BC34" s="112"/>
      <c r="BD34" s="152"/>
      <c r="BE34" s="103" t="s">
        <v>271</v>
      </c>
      <c r="BF34" s="292"/>
      <c r="BG34" s="74"/>
      <c r="BH34" s="74">
        <f>BH32-BH33</f>
        <v>21516315.330633853</v>
      </c>
      <c r="BI34" s="74">
        <f>BI32-BI33</f>
        <v>21166540.434980154</v>
      </c>
      <c r="BJ34" s="74">
        <f>BJ32-BJ33</f>
        <v>20818382.705018185</v>
      </c>
      <c r="BK34" s="74">
        <f t="shared" ref="BK34:BQ34" si="54">BK32-BK33</f>
        <v>20471732.568000004</v>
      </c>
      <c r="BL34" s="74">
        <f t="shared" si="54"/>
        <v>20126482.271009192</v>
      </c>
      <c r="BM34" s="74">
        <f t="shared" si="54"/>
        <v>22754622.668445393</v>
      </c>
      <c r="BN34" s="74">
        <f t="shared" si="54"/>
        <v>22390001.941171456</v>
      </c>
      <c r="BO34" s="74">
        <f t="shared" si="54"/>
        <v>22026786.801705778</v>
      </c>
      <c r="BP34" s="74">
        <f t="shared" si="54"/>
        <v>21664868.914672118</v>
      </c>
      <c r="BQ34" s="74">
        <f t="shared" si="54"/>
        <v>21304141.517867878</v>
      </c>
      <c r="BR34" s="74"/>
      <c r="BS34" s="74"/>
      <c r="BT34" s="74"/>
      <c r="BU34" s="74"/>
      <c r="BV34" s="74" t="str">
        <f t="shared" ref="BV34" si="55">IF(BV33="","",BV32-BV33)</f>
        <v/>
      </c>
      <c r="BW34" s="165"/>
      <c r="BZ34" s="426" t="s">
        <v>73</v>
      </c>
      <c r="CA34" s="182"/>
      <c r="CB34" s="221">
        <v>1.5642666586810077</v>
      </c>
      <c r="CC34" s="19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182"/>
      <c r="CQ34" s="182" t="s">
        <v>1</v>
      </c>
      <c r="CR34" s="182" t="s">
        <v>1</v>
      </c>
      <c r="CS34" s="182" t="s">
        <v>1</v>
      </c>
    </row>
    <row r="35" spans="2:97">
      <c r="B35" s="222"/>
      <c r="C35" s="227"/>
      <c r="E35" s="176"/>
      <c r="F35" s="222"/>
      <c r="Z35" s="253"/>
      <c r="AA35" s="253"/>
      <c r="AB35" s="253"/>
      <c r="AG35" s="211"/>
      <c r="AH35" s="67" t="s">
        <v>272</v>
      </c>
      <c r="AI35" s="203"/>
      <c r="AJ35" s="404" t="s">
        <v>273</v>
      </c>
      <c r="AK35" s="307">
        <f t="shared" si="49"/>
        <v>24131.084275599998</v>
      </c>
      <c r="AL35" s="307">
        <f t="shared" si="49"/>
        <v>24561.7</v>
      </c>
      <c r="AM35" s="307">
        <f t="shared" si="49"/>
        <v>25000</v>
      </c>
      <c r="AN35" s="602">
        <f>+AP35/$D$16</f>
        <v>0.5</v>
      </c>
      <c r="AO35" s="96"/>
      <c r="AP35" s="113">
        <f>+AM35</f>
        <v>25000</v>
      </c>
      <c r="AQ35" s="113">
        <f t="shared" ref="AQ35:AZ35" si="56">AP35*(1+G70)</f>
        <v>25500</v>
      </c>
      <c r="AR35" s="113">
        <f t="shared" si="56"/>
        <v>26010</v>
      </c>
      <c r="AS35" s="113">
        <f t="shared" si="56"/>
        <v>26530.2</v>
      </c>
      <c r="AT35" s="113">
        <f t="shared" si="56"/>
        <v>27060.804</v>
      </c>
      <c r="AU35" s="113">
        <f t="shared" si="56"/>
        <v>27602.020080000002</v>
      </c>
      <c r="AV35" s="113">
        <f t="shared" si="56"/>
        <v>28154.060481600001</v>
      </c>
      <c r="AW35" s="113">
        <f t="shared" si="56"/>
        <v>28717.141691232002</v>
      </c>
      <c r="AX35" s="113">
        <f t="shared" si="56"/>
        <v>29291.484525056643</v>
      </c>
      <c r="AY35" s="113">
        <f t="shared" si="56"/>
        <v>29877.314215557777</v>
      </c>
      <c r="AZ35" s="113">
        <f t="shared" si="56"/>
        <v>30474.860499868933</v>
      </c>
      <c r="BA35" s="379" t="s">
        <v>273</v>
      </c>
      <c r="BB35" s="71"/>
      <c r="BC35" s="71"/>
      <c r="BD35" s="300"/>
      <c r="BE35" s="103" t="s">
        <v>274</v>
      </c>
      <c r="BF35" s="291"/>
      <c r="BG35" s="114"/>
      <c r="BH35" s="115">
        <f>BH32/D16</f>
        <v>439.10847613538476</v>
      </c>
      <c r="BI35" s="115">
        <f t="shared" ref="BI35:BQ35" si="57">BI32/_xlfn.SINGLE(Property_SF)</f>
        <v>431.97021295877869</v>
      </c>
      <c r="BJ35" s="115">
        <f t="shared" si="57"/>
        <v>424.86495316363641</v>
      </c>
      <c r="BK35" s="115">
        <f t="shared" si="57"/>
        <v>417.79046057142864</v>
      </c>
      <c r="BL35" s="115">
        <f t="shared" si="57"/>
        <v>410.74453614304474</v>
      </c>
      <c r="BM35" s="115">
        <f t="shared" si="57"/>
        <v>464.38005445806925</v>
      </c>
      <c r="BN35" s="115">
        <f t="shared" si="57"/>
        <v>456.93881512594811</v>
      </c>
      <c r="BO35" s="115">
        <f t="shared" si="57"/>
        <v>449.52626125930158</v>
      </c>
      <c r="BP35" s="115">
        <f t="shared" si="57"/>
        <v>442.14018193208403</v>
      </c>
      <c r="BQ35" s="115">
        <f t="shared" si="57"/>
        <v>434.77839832383427</v>
      </c>
      <c r="BR35" s="115"/>
      <c r="BS35" s="115"/>
      <c r="BT35" s="115"/>
      <c r="BU35" s="115"/>
      <c r="BV35" s="115" t="str">
        <f t="shared" ref="BV35" si="58">IFERROR(BV32/_xlfn.SINGLE(Property_SF),"")</f>
        <v/>
      </c>
      <c r="BW35" s="165"/>
      <c r="BZ35" s="427" t="s">
        <v>1</v>
      </c>
      <c r="CA35" s="228" t="s">
        <v>1</v>
      </c>
      <c r="CB35" s="228"/>
      <c r="CC35" s="182" t="s">
        <v>1</v>
      </c>
      <c r="CD35" s="182" t="s">
        <v>1</v>
      </c>
      <c r="CE35" s="182" t="s">
        <v>1</v>
      </c>
      <c r="CF35" s="182" t="s">
        <v>1</v>
      </c>
      <c r="CG35" s="182" t="s">
        <v>1</v>
      </c>
      <c r="CH35" s="182" t="s">
        <v>1</v>
      </c>
      <c r="CI35" s="182" t="s">
        <v>1</v>
      </c>
      <c r="CJ35" s="182" t="s">
        <v>1</v>
      </c>
      <c r="CK35" s="182" t="s">
        <v>1</v>
      </c>
      <c r="CL35" s="182" t="s">
        <v>1</v>
      </c>
      <c r="CM35" s="182" t="s">
        <v>1</v>
      </c>
      <c r="CN35" s="182" t="s">
        <v>1</v>
      </c>
      <c r="CO35" s="182" t="s">
        <v>1</v>
      </c>
      <c r="CP35" s="182" t="s">
        <v>1</v>
      </c>
      <c r="CQ35" s="182" t="s">
        <v>1</v>
      </c>
      <c r="CR35" s="182" t="s">
        <v>1</v>
      </c>
      <c r="CS35" s="182" t="s">
        <v>1</v>
      </c>
    </row>
    <row r="36" spans="2:97" ht="15.75">
      <c r="B36" s="230" t="s">
        <v>275</v>
      </c>
      <c r="C36" s="230"/>
      <c r="D36" s="230"/>
      <c r="E36" s="231"/>
      <c r="Z36" s="253"/>
      <c r="AA36" s="253"/>
      <c r="AB36" s="253"/>
      <c r="AG36" s="211"/>
      <c r="AH36" s="67" t="s">
        <v>276</v>
      </c>
      <c r="AI36" s="226"/>
      <c r="AJ36" s="404" t="s">
        <v>277</v>
      </c>
      <c r="AK36" s="116">
        <f t="shared" si="49"/>
        <v>0</v>
      </c>
      <c r="AL36" s="116">
        <f t="shared" si="49"/>
        <v>0</v>
      </c>
      <c r="AM36" s="116">
        <f t="shared" si="49"/>
        <v>0</v>
      </c>
      <c r="AN36" s="117">
        <f>+AP36/$D$16</f>
        <v>0</v>
      </c>
      <c r="AO36" s="87"/>
      <c r="AP36" s="112">
        <f>+AM36</f>
        <v>0</v>
      </c>
      <c r="AQ36" s="112">
        <f t="shared" ref="AQ36:AZ36" si="59">G62</f>
        <v>0</v>
      </c>
      <c r="AR36" s="112">
        <f t="shared" si="59"/>
        <v>250000</v>
      </c>
      <c r="AS36" s="112">
        <f t="shared" si="59"/>
        <v>0</v>
      </c>
      <c r="AT36" s="112">
        <f t="shared" si="59"/>
        <v>0</v>
      </c>
      <c r="AU36" s="112">
        <f t="shared" si="59"/>
        <v>0</v>
      </c>
      <c r="AV36" s="112">
        <f t="shared" si="59"/>
        <v>0</v>
      </c>
      <c r="AW36" s="112">
        <f t="shared" si="59"/>
        <v>0</v>
      </c>
      <c r="AX36" s="112">
        <f t="shared" si="59"/>
        <v>0</v>
      </c>
      <c r="AY36" s="112">
        <f t="shared" si="59"/>
        <v>0</v>
      </c>
      <c r="AZ36" s="112">
        <f t="shared" si="59"/>
        <v>0</v>
      </c>
      <c r="BA36" s="379" t="s">
        <v>277</v>
      </c>
      <c r="BB36" s="88"/>
      <c r="BC36" s="88"/>
      <c r="BD36" s="298"/>
      <c r="BE36" s="103"/>
      <c r="BF36" s="292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9"/>
      <c r="BT36" s="119"/>
      <c r="BU36" s="119"/>
      <c r="BV36" s="119"/>
      <c r="BW36" s="165"/>
      <c r="BY36" s="55" t="s">
        <v>278</v>
      </c>
      <c r="BZ36" s="186" t="s">
        <v>74</v>
      </c>
      <c r="CA36" s="200" t="s">
        <v>1</v>
      </c>
      <c r="CB36" s="200" t="s">
        <v>1</v>
      </c>
      <c r="CC36" s="200" t="s">
        <v>1</v>
      </c>
      <c r="CD36" s="240" t="s">
        <v>46</v>
      </c>
      <c r="CE36" s="240" t="s">
        <v>47</v>
      </c>
      <c r="CF36" s="240" t="s">
        <v>48</v>
      </c>
      <c r="CG36" s="240" t="s">
        <v>49</v>
      </c>
      <c r="CH36" s="240" t="s">
        <v>50</v>
      </c>
      <c r="CI36" s="240" t="s">
        <v>51</v>
      </c>
      <c r="CJ36" s="240" t="s">
        <v>52</v>
      </c>
      <c r="CK36" s="240" t="s">
        <v>53</v>
      </c>
      <c r="CL36" s="240" t="s">
        <v>54</v>
      </c>
      <c r="CM36" s="240" t="s">
        <v>55</v>
      </c>
      <c r="CN36" s="240" t="s">
        <v>56</v>
      </c>
      <c r="CO36" s="200" t="s">
        <v>1</v>
      </c>
      <c r="CP36" s="200" t="s">
        <v>1</v>
      </c>
      <c r="CQ36" s="200" t="s">
        <v>1</v>
      </c>
      <c r="CR36" s="200" t="s">
        <v>1</v>
      </c>
      <c r="CS36" s="200" t="s">
        <v>1</v>
      </c>
    </row>
    <row r="37" spans="2:97">
      <c r="B37" s="225"/>
      <c r="C37" s="120" t="s">
        <v>46</v>
      </c>
      <c r="D37" s="120" t="s">
        <v>129</v>
      </c>
      <c r="E37" s="121" t="s">
        <v>130</v>
      </c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Z37" s="840"/>
      <c r="AA37" s="840"/>
      <c r="AB37" s="840"/>
      <c r="AD37" s="233"/>
      <c r="AG37" s="201">
        <f>_xlfn.RRI(_xlfn.SINGLE(Analysis_Period)-1,AP37,_xlfn.SINGLE(INDEX(AP37:BD37,1,_xlfn.SINGLE(Analysis_Period))))</f>
        <v>2.0000000000000018E-2</v>
      </c>
      <c r="AH37" s="103" t="s">
        <v>233</v>
      </c>
      <c r="AI37" s="61"/>
      <c r="AJ37" s="405" t="s">
        <v>279</v>
      </c>
      <c r="AK37" s="306">
        <f>SUM(AK33:AK36)</f>
        <v>24131.084275599998</v>
      </c>
      <c r="AL37" s="306">
        <f>SUM(AL33:AL36)</f>
        <v>24561.7</v>
      </c>
      <c r="AM37" s="306">
        <f>SUM(AM33:AM36)</f>
        <v>25000</v>
      </c>
      <c r="AN37" s="122">
        <f>SUM(AN33:AN36)</f>
        <v>0.5</v>
      </c>
      <c r="AO37" s="70"/>
      <c r="AP37" s="123">
        <f>SUM(AP33:AP36)</f>
        <v>25000</v>
      </c>
      <c r="AQ37" s="123">
        <f>SUM(AQ33:AQ36)</f>
        <v>25500</v>
      </c>
      <c r="AR37" s="123">
        <f>SUM(AR33:AR36)</f>
        <v>276010</v>
      </c>
      <c r="AS37" s="123">
        <f>SUM(AS33:AS36)</f>
        <v>1526530.2</v>
      </c>
      <c r="AT37" s="123">
        <f t="shared" ref="AT37:AZ37" si="60">SUM(AT33:AT36)</f>
        <v>27060.804</v>
      </c>
      <c r="AU37" s="123">
        <f>SUM(AU33:AU36)</f>
        <v>27602.020080000002</v>
      </c>
      <c r="AV37" s="123">
        <f t="shared" si="60"/>
        <v>28154.060481600001</v>
      </c>
      <c r="AW37" s="123">
        <f t="shared" si="60"/>
        <v>28717.141691232002</v>
      </c>
      <c r="AX37" s="123">
        <f t="shared" si="60"/>
        <v>29291.484525056643</v>
      </c>
      <c r="AY37" s="123">
        <f t="shared" si="60"/>
        <v>29877.314215557777</v>
      </c>
      <c r="AZ37" s="123">
        <f t="shared" si="60"/>
        <v>30474.860499868933</v>
      </c>
      <c r="BA37" s="388"/>
      <c r="BB37" s="73"/>
      <c r="BC37" s="73"/>
      <c r="BD37" s="295"/>
      <c r="BE37" s="103" t="s">
        <v>280</v>
      </c>
      <c r="BF37" s="292"/>
      <c r="BG37" s="84"/>
      <c r="BH37" s="118">
        <f>-PV($D$24/12,($D$26-BH8)*12,BH26/12)</f>
        <v>15624773.607873462</v>
      </c>
      <c r="BI37" s="118">
        <f t="shared" ref="BI37:BQ37" si="61">-PV($D$24/12,($D$26-BI8)*12,BI26/12)</f>
        <v>15308173.14887373</v>
      </c>
      <c r="BJ37" s="118">
        <f t="shared" si="61"/>
        <v>14980312.176246081</v>
      </c>
      <c r="BK37" s="118">
        <f t="shared" si="61"/>
        <v>14640790.187832166</v>
      </c>
      <c r="BL37" s="118">
        <f t="shared" si="61"/>
        <v>14289192.43683221</v>
      </c>
      <c r="BM37" s="118">
        <f t="shared" si="61"/>
        <v>13925089.425166529</v>
      </c>
      <c r="BN37" s="118">
        <f t="shared" si="61"/>
        <v>13548036.378817448</v>
      </c>
      <c r="BO37" s="118">
        <f t="shared" si="61"/>
        <v>13157572.704510739</v>
      </c>
      <c r="BP37" s="118">
        <f t="shared" si="61"/>
        <v>12753221.427072851</v>
      </c>
      <c r="BQ37" s="118">
        <f t="shared" si="61"/>
        <v>12334488.606776685</v>
      </c>
      <c r="BR37" s="118"/>
      <c r="BS37" s="118"/>
      <c r="BT37" s="118"/>
      <c r="BU37" s="118"/>
      <c r="BV37" s="118" t="str">
        <f>IF(BW8="","",(BV8&lt;='[1]Property Cash Flow'!$H$27)*_xlfn.SINGLE(Debt)+('[1]Property Cash Flow'!$H$27&lt;BV8)*-PV('[1]Property Cash Flow'!$H$26/12,('[1]Property Cash Flow'!$H$28+'[1]Property Cash Flow'!$H$27-BV8)*12,'[1]Property Cash Flow'!$H$33/12))</f>
        <v/>
      </c>
      <c r="BW37" s="165"/>
      <c r="BZ37" s="55" t="s">
        <v>1</v>
      </c>
      <c r="CA37" s="55" t="s">
        <v>1</v>
      </c>
      <c r="CB37" s="55" t="s">
        <v>1</v>
      </c>
      <c r="CC37" s="55" t="s">
        <v>75</v>
      </c>
      <c r="CD37" s="415">
        <v>46203</v>
      </c>
      <c r="CE37" s="416">
        <v>46568</v>
      </c>
      <c r="CF37" s="416">
        <v>46934</v>
      </c>
      <c r="CG37" s="416">
        <v>47299</v>
      </c>
      <c r="CH37" s="416">
        <v>11139</v>
      </c>
      <c r="CI37" s="416">
        <v>11504</v>
      </c>
      <c r="CJ37" s="416">
        <v>11870</v>
      </c>
      <c r="CK37" s="416">
        <v>12235</v>
      </c>
      <c r="CL37" s="416">
        <v>12600</v>
      </c>
      <c r="CM37" s="416">
        <v>12965</v>
      </c>
      <c r="CN37" s="416">
        <v>13331</v>
      </c>
      <c r="CO37" s="55" t="s">
        <v>1</v>
      </c>
      <c r="CP37" s="55" t="s">
        <v>1</v>
      </c>
      <c r="CQ37" s="55" t="s">
        <v>1</v>
      </c>
      <c r="CR37" s="55" t="s">
        <v>1</v>
      </c>
      <c r="CS37" s="55" t="s">
        <v>1</v>
      </c>
    </row>
    <row r="38" spans="2:97" ht="15.75">
      <c r="B38" s="110"/>
      <c r="C38" s="124"/>
      <c r="D38" s="124"/>
      <c r="E38" s="125"/>
      <c r="F38" s="234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Z38" s="450" t="s">
        <v>281</v>
      </c>
      <c r="AA38" s="450" t="s">
        <v>1</v>
      </c>
      <c r="AB38" s="451" t="s">
        <v>11</v>
      </c>
      <c r="AG38" s="236"/>
      <c r="AH38" s="103"/>
      <c r="AI38" s="61"/>
      <c r="AJ38" s="405"/>
      <c r="AK38" s="85"/>
      <c r="AL38" s="85"/>
      <c r="AM38" s="85"/>
      <c r="AN38" s="69"/>
      <c r="AO38" s="70"/>
      <c r="AP38" s="71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388"/>
      <c r="BB38" s="73"/>
      <c r="BC38" s="73"/>
      <c r="BD38" s="295"/>
      <c r="BE38" s="103"/>
      <c r="BF38" s="292"/>
      <c r="BG38" s="118"/>
      <c r="BH38" s="118"/>
      <c r="BI38" s="118"/>
      <c r="BJ38" s="118"/>
      <c r="BK38" s="285"/>
      <c r="BL38" s="118"/>
      <c r="BM38" s="118"/>
      <c r="BN38" s="118"/>
      <c r="BO38" s="118"/>
      <c r="BP38" s="118"/>
      <c r="BQ38" s="118"/>
      <c r="BR38" s="118"/>
      <c r="BS38" s="119"/>
      <c r="BT38" s="119"/>
      <c r="BU38" s="119"/>
      <c r="BV38" s="119"/>
      <c r="BW38" s="165"/>
      <c r="BZ38" s="423" t="s">
        <v>76</v>
      </c>
      <c r="CA38" s="55" t="s">
        <v>1</v>
      </c>
      <c r="CB38" s="55" t="s">
        <v>1</v>
      </c>
      <c r="CC38" s="55" t="s">
        <v>1</v>
      </c>
      <c r="CD38" s="417">
        <f t="shared" ref="CD38:CN38" si="62">BG54</f>
        <v>-9477435.9429999981</v>
      </c>
      <c r="CE38" s="417">
        <f t="shared" si="62"/>
        <v>543681.76337777323</v>
      </c>
      <c r="CF38" s="417">
        <f t="shared" si="62"/>
        <v>530781.66337777313</v>
      </c>
      <c r="CG38" s="417">
        <f t="shared" si="62"/>
        <v>267623.56137777318</v>
      </c>
      <c r="CH38" s="417">
        <f t="shared" si="62"/>
        <v>-995797.70266222686</v>
      </c>
      <c r="CI38" s="417">
        <f t="shared" si="62"/>
        <v>490512.60801697301</v>
      </c>
      <c r="CJ38" s="417">
        <f t="shared" si="62"/>
        <v>681259.87965375686</v>
      </c>
      <c r="CK38" s="417">
        <f t="shared" si="62"/>
        <v>667017.12688439654</v>
      </c>
      <c r="CL38" s="417">
        <f t="shared" si="62"/>
        <v>652489.51905964885</v>
      </c>
      <c r="CM38" s="417">
        <f t="shared" si="62"/>
        <v>637671.35907840647</v>
      </c>
      <c r="CN38" s="417">
        <f t="shared" si="62"/>
        <v>9592209.7469887324</v>
      </c>
      <c r="CO38" s="418"/>
      <c r="CP38" s="418" t="s">
        <v>61</v>
      </c>
      <c r="CQ38" s="418" t="s">
        <v>61</v>
      </c>
      <c r="CR38" s="418" t="s">
        <v>61</v>
      </c>
      <c r="CS38" s="418" t="s">
        <v>61</v>
      </c>
    </row>
    <row r="39" spans="2:97" ht="16.149999999999999">
      <c r="B39" s="110" t="s">
        <v>167</v>
      </c>
      <c r="C39" s="124">
        <v>0</v>
      </c>
      <c r="D39" s="124">
        <v>0</v>
      </c>
      <c r="E39" s="125">
        <v>0</v>
      </c>
      <c r="F39" s="234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Z39" s="452" t="s">
        <v>4</v>
      </c>
      <c r="AA39" s="452" t="s">
        <v>1</v>
      </c>
      <c r="AB39" s="453">
        <f>D132</f>
        <v>1.2206999999999999</v>
      </c>
      <c r="AG39" s="201">
        <f>_xlfn.RRI(_xlfn.SINGLE(Analysis_Period)-1,AP39,_xlfn.SINGLE(INDEX(AP39:BD39,1,_xlfn.SINGLE(Analysis_Period))))</f>
        <v>6.099582051872332E-3</v>
      </c>
      <c r="AH39" s="106" t="s">
        <v>237</v>
      </c>
      <c r="AI39" s="202"/>
      <c r="AJ39" s="409" t="s">
        <v>282</v>
      </c>
      <c r="AK39" s="107">
        <f>AK31-AK37</f>
        <v>1400023.2181653331</v>
      </c>
      <c r="AL39" s="107">
        <f>AL31-AL37</f>
        <v>1388845.6221</v>
      </c>
      <c r="AM39" s="107">
        <f t="shared" ref="AM39" si="63">AM31-AM37</f>
        <v>1402102.5474400003</v>
      </c>
      <c r="AN39" s="107">
        <f>AN31-AN37</f>
        <v>28.042050948800007</v>
      </c>
      <c r="AO39" s="90"/>
      <c r="AP39" s="83">
        <f>AP31-AP37</f>
        <v>1402102.5474400003</v>
      </c>
      <c r="AQ39" s="83">
        <f t="shared" ref="AQ39:AZ39" si="64">AQ31-AQ37</f>
        <v>1389202.4474400003</v>
      </c>
      <c r="AR39" s="83">
        <f t="shared" si="64"/>
        <v>1126044.3454400003</v>
      </c>
      <c r="AS39" s="83">
        <f>AS31-AS37</f>
        <v>-137376.91859999974</v>
      </c>
      <c r="AT39" s="83">
        <f t="shared" si="64"/>
        <v>1348933.3920792001</v>
      </c>
      <c r="AU39" s="83">
        <f t="shared" si="64"/>
        <v>1539680.663715984</v>
      </c>
      <c r="AV39" s="83">
        <f t="shared" si="64"/>
        <v>1525437.9109466237</v>
      </c>
      <c r="AW39" s="83">
        <f t="shared" si="64"/>
        <v>1510910.303121876</v>
      </c>
      <c r="AX39" s="83">
        <f t="shared" si="64"/>
        <v>1496092.1431406336</v>
      </c>
      <c r="AY39" s="83">
        <f t="shared" si="64"/>
        <v>1480977.6199597663</v>
      </c>
      <c r="AZ39" s="83">
        <f t="shared" si="64"/>
        <v>1690742.636533682</v>
      </c>
      <c r="BA39" s="392"/>
      <c r="BB39" s="91"/>
      <c r="BC39" s="91"/>
      <c r="BD39" s="299"/>
      <c r="BE39" s="106" t="s">
        <v>283</v>
      </c>
      <c r="BF39" s="292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9"/>
      <c r="BT39" s="119"/>
      <c r="BU39" s="119"/>
      <c r="BV39" s="119"/>
      <c r="BW39" s="165"/>
      <c r="BZ39" s="424" t="s">
        <v>77</v>
      </c>
      <c r="CA39" s="55" t="s">
        <v>1</v>
      </c>
      <c r="CB39" s="55" t="s">
        <v>1</v>
      </c>
      <c r="CC39" s="55" t="s">
        <v>1</v>
      </c>
      <c r="CD39" s="227">
        <v>0</v>
      </c>
      <c r="CE39" s="227">
        <f t="shared" ref="CE39:CN39" si="65">$C$126</f>
        <v>114000</v>
      </c>
      <c r="CF39" s="227">
        <f t="shared" si="65"/>
        <v>114000</v>
      </c>
      <c r="CG39" s="227">
        <f t="shared" si="65"/>
        <v>114000</v>
      </c>
      <c r="CH39" s="227">
        <f t="shared" si="65"/>
        <v>114000</v>
      </c>
      <c r="CI39" s="227">
        <f t="shared" si="65"/>
        <v>114000</v>
      </c>
      <c r="CJ39" s="227">
        <f t="shared" si="65"/>
        <v>114000</v>
      </c>
      <c r="CK39" s="227">
        <f t="shared" si="65"/>
        <v>114000</v>
      </c>
      <c r="CL39" s="227">
        <f t="shared" si="65"/>
        <v>114000</v>
      </c>
      <c r="CM39" s="227">
        <f t="shared" si="65"/>
        <v>114000</v>
      </c>
      <c r="CN39" s="227">
        <f t="shared" si="65"/>
        <v>114000</v>
      </c>
      <c r="CO39" s="176" t="s">
        <v>284</v>
      </c>
      <c r="CP39" s="176" t="s">
        <v>285</v>
      </c>
      <c r="CQ39" s="176" t="s">
        <v>285</v>
      </c>
      <c r="CR39" s="176" t="s">
        <v>284</v>
      </c>
      <c r="CS39" s="176" t="s">
        <v>284</v>
      </c>
    </row>
    <row r="40" spans="2:97" ht="16.5">
      <c r="B40" s="110" t="s">
        <v>173</v>
      </c>
      <c r="C40" s="126">
        <v>98751</v>
      </c>
      <c r="D40" s="126">
        <v>99152</v>
      </c>
      <c r="E40" s="127">
        <v>100000</v>
      </c>
      <c r="F40" s="237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Z40" s="452" t="s">
        <v>286</v>
      </c>
      <c r="AA40" s="452" t="s">
        <v>1</v>
      </c>
      <c r="AB40" s="454">
        <f>D134</f>
        <v>539446</v>
      </c>
      <c r="AG40" s="58"/>
      <c r="AH40" s="103"/>
      <c r="AI40" s="61"/>
      <c r="AJ40" s="405"/>
      <c r="AK40" s="85"/>
      <c r="AL40" s="85"/>
      <c r="AM40" s="85"/>
      <c r="AN40" s="56"/>
      <c r="AO40" s="57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388"/>
      <c r="BB40" s="73"/>
      <c r="BC40" s="73"/>
      <c r="BD40" s="295"/>
      <c r="BE40" s="92" t="s">
        <v>163</v>
      </c>
      <c r="BF40" s="292"/>
      <c r="BG40" s="74">
        <f t="shared" ref="BG40:BQ40" si="66">BG14</f>
        <v>25248631.239999998</v>
      </c>
      <c r="BH40" s="74">
        <f t="shared" si="66"/>
        <v>0</v>
      </c>
      <c r="BI40" s="74">
        <f t="shared" si="66"/>
        <v>0</v>
      </c>
      <c r="BJ40" s="74">
        <f>BJ14</f>
        <v>0</v>
      </c>
      <c r="BK40" s="74">
        <f t="shared" si="66"/>
        <v>0</v>
      </c>
      <c r="BL40" s="74">
        <f t="shared" si="66"/>
        <v>0</v>
      </c>
      <c r="BM40" s="74">
        <f t="shared" si="66"/>
        <v>0</v>
      </c>
      <c r="BN40" s="74">
        <f t="shared" si="66"/>
        <v>0</v>
      </c>
      <c r="BO40" s="74">
        <f t="shared" si="66"/>
        <v>0</v>
      </c>
      <c r="BP40" s="74">
        <f t="shared" si="66"/>
        <v>0</v>
      </c>
      <c r="BQ40" s="74">
        <f t="shared" si="66"/>
        <v>0</v>
      </c>
      <c r="BR40" s="74" t="str">
        <f t="shared" ref="BR40:BV40" si="67">IF(BR8&gt;_xlfn.SINGLE(Analysis_Period),"",BR14)</f>
        <v/>
      </c>
      <c r="BS40" s="74" t="str">
        <f t="shared" si="67"/>
        <v/>
      </c>
      <c r="BT40" s="74" t="str">
        <f t="shared" si="67"/>
        <v/>
      </c>
      <c r="BU40" s="74" t="str">
        <f t="shared" si="67"/>
        <v/>
      </c>
      <c r="BV40" s="74" t="str">
        <f t="shared" si="67"/>
        <v/>
      </c>
      <c r="BW40" s="165"/>
      <c r="BZ40" s="424" t="s">
        <v>79</v>
      </c>
      <c r="CA40" s="55" t="s">
        <v>1</v>
      </c>
      <c r="CB40" s="55" t="s">
        <v>1</v>
      </c>
      <c r="CC40" s="55" t="s">
        <v>1</v>
      </c>
      <c r="CD40" s="227">
        <f>C127</f>
        <v>367627</v>
      </c>
      <c r="CE40" s="227">
        <v>0</v>
      </c>
      <c r="CF40" s="227">
        <v>0</v>
      </c>
      <c r="CG40" s="227">
        <v>0</v>
      </c>
      <c r="CH40" s="227">
        <v>0</v>
      </c>
      <c r="CI40" s="227">
        <v>0</v>
      </c>
      <c r="CJ40" s="227">
        <v>0</v>
      </c>
      <c r="CK40" s="227">
        <v>0</v>
      </c>
      <c r="CL40" s="227">
        <v>0</v>
      </c>
      <c r="CM40" s="227">
        <v>0</v>
      </c>
      <c r="CN40" s="227">
        <v>0</v>
      </c>
      <c r="CO40" s="176" t="s">
        <v>284</v>
      </c>
      <c r="CP40" s="176" t="s">
        <v>285</v>
      </c>
      <c r="CQ40" s="176" t="s">
        <v>285</v>
      </c>
      <c r="CR40" s="176" t="s">
        <v>284</v>
      </c>
      <c r="CS40" s="176" t="s">
        <v>284</v>
      </c>
    </row>
    <row r="41" spans="2:97">
      <c r="B41" s="264"/>
      <c r="C41" s="128"/>
      <c r="D41" s="128"/>
      <c r="E41" s="128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Z41" s="452" t="s">
        <v>287</v>
      </c>
      <c r="AA41" s="452" t="s">
        <v>1</v>
      </c>
      <c r="AB41" s="454">
        <f>D135</f>
        <v>1812018</v>
      </c>
      <c r="AG41" s="58"/>
      <c r="AH41" s="106" t="s">
        <v>288</v>
      </c>
      <c r="AI41" s="61"/>
      <c r="AJ41" s="403"/>
      <c r="AK41" s="85"/>
      <c r="AL41" s="85"/>
      <c r="AM41" s="85"/>
      <c r="AN41" s="56"/>
      <c r="AO41" s="57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386"/>
      <c r="BB41" s="65"/>
      <c r="BC41" s="65"/>
      <c r="BD41" s="294"/>
      <c r="BE41" s="92" t="s">
        <v>216</v>
      </c>
      <c r="BF41" s="292"/>
      <c r="BG41" s="74">
        <f t="shared" ref="BG41:BQ41" si="68">BG25</f>
        <v>0</v>
      </c>
      <c r="BH41" s="74">
        <f t="shared" si="68"/>
        <v>1402102.5474400003</v>
      </c>
      <c r="BI41" s="74">
        <f t="shared" si="68"/>
        <v>1389202.4474400003</v>
      </c>
      <c r="BJ41" s="74">
        <f t="shared" si="68"/>
        <v>1126044.3454400003</v>
      </c>
      <c r="BK41" s="74">
        <f t="shared" si="68"/>
        <v>-137376.91859999974</v>
      </c>
      <c r="BL41" s="74">
        <f t="shared" si="68"/>
        <v>1348933.3920792001</v>
      </c>
      <c r="BM41" s="74">
        <f t="shared" si="68"/>
        <v>1539680.663715984</v>
      </c>
      <c r="BN41" s="74">
        <f t="shared" si="68"/>
        <v>1525437.9109466237</v>
      </c>
      <c r="BO41" s="74">
        <f t="shared" si="68"/>
        <v>1510910.303121876</v>
      </c>
      <c r="BP41" s="74">
        <f t="shared" si="68"/>
        <v>1496092.1431406336</v>
      </c>
      <c r="BQ41" s="74">
        <f t="shared" si="68"/>
        <v>1480977.6199597663</v>
      </c>
      <c r="BR41" s="74" t="str">
        <f t="shared" ref="BR41:BV41" si="69">IF(BR8&gt;_xlfn.SINGLE(Analysis_Period),"",BR25)</f>
        <v/>
      </c>
      <c r="BS41" s="74" t="str">
        <f t="shared" si="69"/>
        <v/>
      </c>
      <c r="BT41" s="74" t="str">
        <f t="shared" si="69"/>
        <v/>
      </c>
      <c r="BU41" s="74" t="str">
        <f t="shared" si="69"/>
        <v/>
      </c>
      <c r="BV41" s="74" t="str">
        <f t="shared" si="69"/>
        <v/>
      </c>
      <c r="BW41" s="165"/>
      <c r="BZ41" s="424"/>
      <c r="CA41" s="55" t="s">
        <v>1</v>
      </c>
      <c r="CB41" s="55" t="s">
        <v>1</v>
      </c>
      <c r="CC41" s="55" t="s">
        <v>1</v>
      </c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176"/>
      <c r="CP41" s="176"/>
      <c r="CQ41" s="176"/>
      <c r="CR41" s="176"/>
      <c r="CS41" s="176"/>
    </row>
    <row r="42" spans="2:97">
      <c r="B42" s="150"/>
      <c r="C42" s="124"/>
      <c r="D42" s="124"/>
      <c r="E42" s="129"/>
      <c r="Z42" s="452" t="s">
        <v>289</v>
      </c>
      <c r="AA42" s="452" t="s">
        <v>1</v>
      </c>
      <c r="AB42" s="454" t="str">
        <f>D136</f>
        <v>1.56x</v>
      </c>
      <c r="AG42" s="58"/>
      <c r="AH42" s="92" t="s">
        <v>290</v>
      </c>
      <c r="AI42" s="61"/>
      <c r="AJ42" s="410" t="s">
        <v>291</v>
      </c>
      <c r="AK42" s="130">
        <f>AK10/$D$16</f>
        <v>44.898225600000004</v>
      </c>
      <c r="AL42" s="130">
        <f>AL10/$D$16</f>
        <v>44.898225600000004</v>
      </c>
      <c r="AM42" s="130">
        <f>AM10/$D$16</f>
        <v>44.898225600000004</v>
      </c>
      <c r="AN42" s="131"/>
      <c r="AO42" s="132"/>
      <c r="AP42" s="131">
        <f t="shared" ref="AP42:AZ42" si="70">AP10/$D$16</f>
        <v>44.898225600000004</v>
      </c>
      <c r="AQ42" s="131">
        <f t="shared" si="70"/>
        <v>44.898225600000004</v>
      </c>
      <c r="AR42" s="131">
        <f t="shared" si="70"/>
        <v>44.898225600000004</v>
      </c>
      <c r="AS42" s="131">
        <f t="shared" si="70"/>
        <v>44.898225600000004</v>
      </c>
      <c r="AT42" s="131">
        <f t="shared" si="70"/>
        <v>44.898225600000004</v>
      </c>
      <c r="AU42" s="131">
        <f t="shared" si="70"/>
        <v>49.388048160000004</v>
      </c>
      <c r="AV42" s="131">
        <f t="shared" si="70"/>
        <v>49.388048160000004</v>
      </c>
      <c r="AW42" s="131">
        <f t="shared" si="70"/>
        <v>49.388048160000004</v>
      </c>
      <c r="AX42" s="131">
        <f t="shared" si="70"/>
        <v>49.388048160000004</v>
      </c>
      <c r="AY42" s="131">
        <f t="shared" si="70"/>
        <v>49.388048160000004</v>
      </c>
      <c r="AZ42" s="131">
        <f t="shared" si="70"/>
        <v>54.326852976000012</v>
      </c>
      <c r="BA42" s="393"/>
      <c r="BB42" s="131"/>
      <c r="BC42" s="131"/>
      <c r="BD42" s="302"/>
      <c r="BE42" s="92" t="s">
        <v>292</v>
      </c>
      <c r="BF42" s="292"/>
      <c r="BG42" s="84">
        <f t="shared" ref="BG42:BQ42" si="71">(BG8&lt;=$D$10)*(BG8=$D$10)*BG34</f>
        <v>0</v>
      </c>
      <c r="BH42" s="84">
        <f t="shared" si="71"/>
        <v>0</v>
      </c>
      <c r="BI42" s="84">
        <f t="shared" si="71"/>
        <v>0</v>
      </c>
      <c r="BJ42" s="84">
        <f t="shared" si="71"/>
        <v>0</v>
      </c>
      <c r="BK42" s="84">
        <f t="shared" si="71"/>
        <v>0</v>
      </c>
      <c r="BL42" s="84">
        <f t="shared" si="71"/>
        <v>0</v>
      </c>
      <c r="BM42" s="84">
        <f t="shared" si="71"/>
        <v>0</v>
      </c>
      <c r="BN42" s="84">
        <f t="shared" si="71"/>
        <v>0</v>
      </c>
      <c r="BO42" s="84">
        <f t="shared" si="71"/>
        <v>0</v>
      </c>
      <c r="BP42" s="84">
        <f t="shared" si="71"/>
        <v>0</v>
      </c>
      <c r="BQ42" s="84">
        <f t="shared" si="71"/>
        <v>21304141.517867878</v>
      </c>
      <c r="BR42" s="84" t="str">
        <f t="shared" ref="BR42:BV42" si="72">IF(BR8&gt;_xlfn.SINGLE(Analysis_Period),"",(BR8=_xlfn.SINGLE(Analysis_Period))*BR34)</f>
        <v/>
      </c>
      <c r="BS42" s="84" t="str">
        <f t="shared" si="72"/>
        <v/>
      </c>
      <c r="BT42" s="84" t="str">
        <f t="shared" si="72"/>
        <v/>
      </c>
      <c r="BU42" s="84" t="str">
        <f t="shared" si="72"/>
        <v/>
      </c>
      <c r="BV42" s="84" t="str">
        <f t="shared" si="72"/>
        <v/>
      </c>
      <c r="BW42" s="165"/>
      <c r="BZ42" s="423" t="s">
        <v>80</v>
      </c>
      <c r="CA42" s="55" t="s">
        <v>1</v>
      </c>
      <c r="CB42" s="55" t="s">
        <v>1</v>
      </c>
      <c r="CC42" s="434"/>
      <c r="CD42" s="419">
        <f t="shared" ref="CD42:CN42" si="73">CD38-CD39-CD40</f>
        <v>-9845062.9429999981</v>
      </c>
      <c r="CE42" s="419">
        <f t="shared" si="73"/>
        <v>429681.76337777323</v>
      </c>
      <c r="CF42" s="419">
        <f t="shared" si="73"/>
        <v>416781.66337777313</v>
      </c>
      <c r="CG42" s="419">
        <f t="shared" si="73"/>
        <v>153623.56137777318</v>
      </c>
      <c r="CH42" s="419">
        <f t="shared" si="73"/>
        <v>-1109797.7026622267</v>
      </c>
      <c r="CI42" s="419">
        <f t="shared" si="73"/>
        <v>376512.60801697301</v>
      </c>
      <c r="CJ42" s="419">
        <f t="shared" si="73"/>
        <v>567259.87965375686</v>
      </c>
      <c r="CK42" s="419">
        <f t="shared" si="73"/>
        <v>553017.12688439654</v>
      </c>
      <c r="CL42" s="419">
        <f t="shared" si="73"/>
        <v>538489.51905964885</v>
      </c>
      <c r="CM42" s="419">
        <f t="shared" si="73"/>
        <v>523671.35907840647</v>
      </c>
      <c r="CN42" s="419">
        <f t="shared" si="73"/>
        <v>9478209.7469887324</v>
      </c>
      <c r="CO42" s="178"/>
      <c r="CP42" s="178" t="s">
        <v>61</v>
      </c>
      <c r="CQ42" s="178" t="s">
        <v>61</v>
      </c>
      <c r="CR42" s="178" t="s">
        <v>61</v>
      </c>
      <c r="CS42" s="178" t="s">
        <v>61</v>
      </c>
    </row>
    <row r="43" spans="2:97">
      <c r="B43" s="110" t="s">
        <v>190</v>
      </c>
      <c r="C43" s="124">
        <v>-24131.084275599998</v>
      </c>
      <c r="D43" s="124">
        <v>-24561.7</v>
      </c>
      <c r="E43" s="125">
        <v>0</v>
      </c>
      <c r="Z43" s="452" t="s">
        <v>27</v>
      </c>
      <c r="AA43" s="452" t="s">
        <v>1</v>
      </c>
      <c r="AB43" s="455">
        <f>D123</f>
        <v>0.12</v>
      </c>
      <c r="AG43" s="58"/>
      <c r="AH43" s="92" t="s">
        <v>293</v>
      </c>
      <c r="AI43" s="61"/>
      <c r="AJ43" s="410" t="s">
        <v>294</v>
      </c>
      <c r="AK43" s="130">
        <f>AK29/$D$16</f>
        <v>13.220213305669338</v>
      </c>
      <c r="AL43" s="130">
        <f>AL29/$D$16</f>
        <v>13.433758598000002</v>
      </c>
      <c r="AM43" s="130">
        <f>AM29/$D$16</f>
        <v>13.6663520912</v>
      </c>
      <c r="AN43" s="56"/>
      <c r="AO43" s="57"/>
      <c r="AP43" s="131">
        <f t="shared" ref="AP43:AZ43" si="74">AP29/$D$16</f>
        <v>13.6663520912</v>
      </c>
      <c r="AQ43" s="131">
        <f t="shared" si="74"/>
        <v>13.9143540912</v>
      </c>
      <c r="AR43" s="131">
        <f t="shared" si="74"/>
        <v>14.167316131200002</v>
      </c>
      <c r="AS43" s="131">
        <f t="shared" si="74"/>
        <v>14.425337412000001</v>
      </c>
      <c r="AT43" s="131">
        <f t="shared" si="74"/>
        <v>14.688519118416002</v>
      </c>
      <c r="AU43" s="131">
        <f t="shared" si="74"/>
        <v>15.083589668080322</v>
      </c>
      <c r="AV43" s="131">
        <f t="shared" si="74"/>
        <v>15.357403915435528</v>
      </c>
      <c r="AW43" s="131">
        <f t="shared" si="74"/>
        <v>15.636694447737838</v>
      </c>
      <c r="AX43" s="131">
        <f t="shared" si="74"/>
        <v>15.921570790686198</v>
      </c>
      <c r="AY43" s="131">
        <f t="shared" si="74"/>
        <v>16.212144660493518</v>
      </c>
      <c r="AZ43" s="131">
        <f t="shared" si="74"/>
        <v>16.647817737728989</v>
      </c>
      <c r="BA43" s="393"/>
      <c r="BB43" s="131"/>
      <c r="BC43" s="131"/>
      <c r="BD43" s="302"/>
      <c r="BE43" s="103" t="s">
        <v>295</v>
      </c>
      <c r="BF43" s="292"/>
      <c r="BG43" s="74">
        <f t="shared" ref="BG43:BQ43" si="75">-BG40+BG41+BG42</f>
        <v>-25248631.239999998</v>
      </c>
      <c r="BH43" s="74">
        <f t="shared" si="75"/>
        <v>1402102.5474400003</v>
      </c>
      <c r="BI43" s="74">
        <f t="shared" si="75"/>
        <v>1389202.4474400003</v>
      </c>
      <c r="BJ43" s="74">
        <f t="shared" si="75"/>
        <v>1126044.3454400003</v>
      </c>
      <c r="BK43" s="74">
        <f t="shared" si="75"/>
        <v>-137376.91859999974</v>
      </c>
      <c r="BL43" s="74">
        <f t="shared" si="75"/>
        <v>1348933.3920792001</v>
      </c>
      <c r="BM43" s="74">
        <f t="shared" si="75"/>
        <v>1539680.663715984</v>
      </c>
      <c r="BN43" s="74">
        <f t="shared" si="75"/>
        <v>1525437.9109466237</v>
      </c>
      <c r="BO43" s="74">
        <f t="shared" si="75"/>
        <v>1510910.303121876</v>
      </c>
      <c r="BP43" s="74">
        <f t="shared" si="75"/>
        <v>1496092.1431406336</v>
      </c>
      <c r="BQ43" s="74">
        <f t="shared" si="75"/>
        <v>22785119.137827646</v>
      </c>
      <c r="BR43" s="74" t="str">
        <f t="shared" ref="BR43:BV43" si="76">IF(BR8&gt;_xlfn.SINGLE(Analysis_Period),"",-BR40+BR41+BR42)</f>
        <v/>
      </c>
      <c r="BS43" s="74" t="str">
        <f t="shared" si="76"/>
        <v/>
      </c>
      <c r="BT43" s="74" t="str">
        <f t="shared" si="76"/>
        <v/>
      </c>
      <c r="BU43" s="74" t="str">
        <f t="shared" si="76"/>
        <v/>
      </c>
      <c r="BV43" s="74" t="str">
        <f t="shared" si="76"/>
        <v/>
      </c>
      <c r="BW43" s="165"/>
      <c r="BZ43" s="253" t="s">
        <v>81</v>
      </c>
      <c r="CA43" s="55" t="s">
        <v>1</v>
      </c>
      <c r="CB43" s="55" t="s">
        <v>1</v>
      </c>
      <c r="CC43" s="55" t="s">
        <v>1</v>
      </c>
      <c r="CD43" s="177">
        <f>IRR(CD42:CS42)</f>
        <v>2.10778471750106E-2</v>
      </c>
      <c r="CP43" s="55" t="s">
        <v>1</v>
      </c>
      <c r="CQ43" s="55" t="s">
        <v>1</v>
      </c>
      <c r="CR43" s="55" t="s">
        <v>1</v>
      </c>
      <c r="CS43" s="55" t="s">
        <v>1</v>
      </c>
    </row>
    <row r="44" spans="2:97" ht="15.75">
      <c r="B44" s="447"/>
      <c r="C44" s="448"/>
      <c r="D44" s="448"/>
      <c r="E44" s="448"/>
      <c r="Z44" s="450" t="s">
        <v>281</v>
      </c>
      <c r="AA44" s="452"/>
      <c r="AB44" s="451" t="s">
        <v>297</v>
      </c>
      <c r="AG44" s="58"/>
      <c r="AH44" s="92" t="s">
        <v>298</v>
      </c>
      <c r="AI44" s="61"/>
      <c r="AJ44" s="411"/>
      <c r="AK44" s="133">
        <f>AK11/AK29</f>
        <v>0</v>
      </c>
      <c r="AL44" s="133">
        <f>AL11/AL29</f>
        <v>0</v>
      </c>
      <c r="AM44" s="133">
        <f>AM11/AM29</f>
        <v>0</v>
      </c>
      <c r="AN44" s="56"/>
      <c r="AO44" s="57"/>
      <c r="AP44" s="134">
        <f>AP11/AP29</f>
        <v>0</v>
      </c>
      <c r="AQ44" s="134">
        <f t="shared" ref="AQ44:AZ44" si="77">AQ11/AQ29</f>
        <v>0</v>
      </c>
      <c r="AR44" s="134">
        <f t="shared" si="77"/>
        <v>0</v>
      </c>
      <c r="AS44" s="134">
        <f t="shared" si="77"/>
        <v>0</v>
      </c>
      <c r="AT44" s="134">
        <f t="shared" si="77"/>
        <v>0</v>
      </c>
      <c r="AU44" s="134">
        <f t="shared" si="77"/>
        <v>0</v>
      </c>
      <c r="AV44" s="134">
        <f t="shared" si="77"/>
        <v>0</v>
      </c>
      <c r="AW44" s="134">
        <f t="shared" si="77"/>
        <v>0</v>
      </c>
      <c r="AX44" s="134">
        <f t="shared" si="77"/>
        <v>0</v>
      </c>
      <c r="AY44" s="134">
        <f t="shared" si="77"/>
        <v>0</v>
      </c>
      <c r="AZ44" s="134">
        <f t="shared" si="77"/>
        <v>0</v>
      </c>
      <c r="BA44" s="394"/>
      <c r="BB44" s="134"/>
      <c r="BC44" s="134"/>
      <c r="BD44" s="303"/>
      <c r="BE44" s="103"/>
      <c r="BF44" s="292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165"/>
      <c r="BZ44" s="253" t="s">
        <v>27</v>
      </c>
      <c r="CA44" s="55" t="s">
        <v>1</v>
      </c>
      <c r="CB44" s="55" t="s">
        <v>1</v>
      </c>
      <c r="CC44" s="55" t="s">
        <v>1</v>
      </c>
      <c r="CD44" s="420">
        <f>SUMIF(CD42:CN42,"&gt;0")/-SUMIF(CD42:CN42,"&lt;0")</f>
        <v>1.1900879116136969</v>
      </c>
      <c r="CE44" s="420"/>
      <c r="CH44" s="420"/>
      <c r="CJ44" s="420"/>
      <c r="CP44" s="55" t="s">
        <v>1</v>
      </c>
      <c r="CQ44" s="55" t="s">
        <v>1</v>
      </c>
      <c r="CR44" s="55" t="s">
        <v>1</v>
      </c>
      <c r="CS44" s="55" t="s">
        <v>1</v>
      </c>
    </row>
    <row r="45" spans="2:97">
      <c r="B45" s="110" t="s">
        <v>200</v>
      </c>
      <c r="C45" s="126">
        <v>0</v>
      </c>
      <c r="D45" s="126">
        <v>0</v>
      </c>
      <c r="E45" s="127">
        <v>0</v>
      </c>
      <c r="Z45" s="452" t="s">
        <v>4</v>
      </c>
      <c r="AA45" s="452"/>
      <c r="AB45" s="453">
        <f>F132</f>
        <v>6.0100000000000001E-2</v>
      </c>
      <c r="AG45" s="58"/>
      <c r="AH45" s="92" t="s">
        <v>299</v>
      </c>
      <c r="AI45" s="61"/>
      <c r="AJ45" s="411"/>
      <c r="AK45" s="133">
        <f>AK29/AK18</f>
        <v>0.31700641220960407</v>
      </c>
      <c r="AL45" s="133">
        <f>AL29/AL18</f>
        <v>0.32213776768985714</v>
      </c>
      <c r="AM45" s="133">
        <f t="shared" ref="AM45" si="78">AM29/AM18</f>
        <v>0.32378273298444127</v>
      </c>
      <c r="AN45" s="56"/>
      <c r="AO45" s="57"/>
      <c r="AP45" s="134">
        <f>AP29/AP18</f>
        <v>0.32378273298444127</v>
      </c>
      <c r="AQ45" s="134">
        <f>AQ29/AQ18</f>
        <v>0.32965838764413008</v>
      </c>
      <c r="AR45" s="134">
        <f t="shared" ref="AR45:AZ45" si="79">AR29/AR18</f>
        <v>0.33565155539701269</v>
      </c>
      <c r="AS45" s="134">
        <f t="shared" si="79"/>
        <v>0.34176458650495295</v>
      </c>
      <c r="AT45" s="134">
        <f t="shared" si="79"/>
        <v>0.34799987823505202</v>
      </c>
      <c r="AU45" s="134">
        <f t="shared" si="79"/>
        <v>0.32487261436341192</v>
      </c>
      <c r="AV45" s="134">
        <f t="shared" si="79"/>
        <v>0.33077006665068015</v>
      </c>
      <c r="AW45" s="134">
        <f t="shared" si="79"/>
        <v>0.33678546798369374</v>
      </c>
      <c r="AX45" s="134">
        <f t="shared" si="79"/>
        <v>0.34292117734336769</v>
      </c>
      <c r="AY45" s="134">
        <f t="shared" si="79"/>
        <v>0.34917960089023498</v>
      </c>
      <c r="AZ45" s="134">
        <f t="shared" si="79"/>
        <v>0.32596653900730871</v>
      </c>
      <c r="BA45" s="394"/>
      <c r="BB45" s="134"/>
      <c r="BC45" s="134"/>
      <c r="BD45" s="303"/>
      <c r="BE45" s="103" t="s">
        <v>300</v>
      </c>
      <c r="BF45" s="292"/>
      <c r="BG45" s="108"/>
      <c r="BH45" s="108">
        <f>BH25/SUM($BG$14:BH14)</f>
        <v>5.5531824046712183E-2</v>
      </c>
      <c r="BI45" s="108">
        <f>BI25/SUM($BG$14:BI14)</f>
        <v>5.5020901300945148E-2</v>
      </c>
      <c r="BJ45" s="108">
        <f>BJ25/SUM($BG$14:BJ14)</f>
        <v>4.4598233256148596E-2</v>
      </c>
      <c r="BK45" s="108">
        <f>BK25/SUM($BG$14:BK14)</f>
        <v>-5.4409649891183466E-3</v>
      </c>
      <c r="BL45" s="108">
        <f>BL25/SUM($BG$14:BL14)</f>
        <v>5.3426000770376819E-2</v>
      </c>
      <c r="BM45" s="108">
        <f>BM25/SUM($BG$14:BM14)</f>
        <v>6.0980757692589441E-2</v>
      </c>
      <c r="BN45" s="108">
        <f>BN25/SUM($BG$14:BN14)</f>
        <v>6.0416657697069831E-2</v>
      </c>
      <c r="BO45" s="108">
        <f>BO25/SUM($BG$14:BO14)</f>
        <v>5.9841275701639822E-2</v>
      </c>
      <c r="BP45" s="108">
        <f>BP25/SUM($BG$14:BP14)</f>
        <v>5.9254386066301221E-2</v>
      </c>
      <c r="BQ45" s="108">
        <f>BQ25/SUM($BG$14:BQ14)</f>
        <v>5.8655758638255846E-2</v>
      </c>
      <c r="BR45" s="108" t="str">
        <f>IF(BS8="","",BR25/SUM($AX$13:BR14))</f>
        <v/>
      </c>
      <c r="BS45" s="108" t="str">
        <f>IF(BT8="","",BS25/SUM($AX$13:BS14))</f>
        <v/>
      </c>
      <c r="BT45" s="108" t="str">
        <f>IF(BU8="","",BT25/SUM($AX$13:BT14))</f>
        <v/>
      </c>
      <c r="BU45" s="108" t="str">
        <f>IF(BV8="","",BU25/SUM($AX$13:BU14))</f>
        <v/>
      </c>
      <c r="BV45" s="108" t="str">
        <f>IF(BW8="","",BV25/SUM($AX$13:BV14))</f>
        <v/>
      </c>
      <c r="BW45" s="165"/>
      <c r="BZ45" s="253" t="s">
        <v>1</v>
      </c>
      <c r="CA45" s="55" t="s">
        <v>1</v>
      </c>
      <c r="CB45" s="55" t="s">
        <v>1</v>
      </c>
      <c r="CC45" s="55" t="s">
        <v>1</v>
      </c>
      <c r="CD45" s="421"/>
      <c r="CN45" s="421"/>
      <c r="CO45" s="55" t="s">
        <v>1</v>
      </c>
      <c r="CP45" s="55" t="s">
        <v>1</v>
      </c>
      <c r="CQ45" s="55" t="s">
        <v>1</v>
      </c>
      <c r="CR45" s="55" t="s">
        <v>1</v>
      </c>
      <c r="CS45" s="55" t="s">
        <v>1</v>
      </c>
    </row>
    <row r="46" spans="2:97" ht="15.75">
      <c r="B46" s="263"/>
      <c r="C46" s="270"/>
      <c r="D46" s="270"/>
      <c r="E46" s="270"/>
      <c r="Z46" s="452" t="s">
        <v>286</v>
      </c>
      <c r="AA46" s="452"/>
      <c r="AB46" s="454">
        <f>F133</f>
        <v>16032900</v>
      </c>
      <c r="AG46" s="58"/>
      <c r="AH46" s="92" t="s">
        <v>302</v>
      </c>
      <c r="AI46" s="61"/>
      <c r="AJ46" s="412"/>
      <c r="AK46" s="135">
        <f>AK37/AK31</f>
        <v>1.6944150106656602E-2</v>
      </c>
      <c r="AL46" s="135">
        <f t="shared" ref="AL46:AM46" si="80">AL37/AL31</f>
        <v>1.7377651591267359E-2</v>
      </c>
      <c r="AM46" s="135">
        <f t="shared" si="80"/>
        <v>1.7518012314424149E-2</v>
      </c>
      <c r="AN46" s="56"/>
      <c r="AO46" s="57"/>
      <c r="AP46" s="136">
        <f>AP37/AP31</f>
        <v>1.7518012314424149E-2</v>
      </c>
      <c r="AQ46" s="136">
        <f>AQ37/AQ31</f>
        <v>1.8024991789718024E-2</v>
      </c>
      <c r="AR46" s="136">
        <f t="shared" ref="AR46:AZ46" si="81">AR37/AR31</f>
        <v>0.19686112802808728</v>
      </c>
      <c r="AS46" s="136">
        <f t="shared" si="81"/>
        <v>1.0988925559471379</v>
      </c>
      <c r="AT46" s="136">
        <f t="shared" si="81"/>
        <v>1.9666364928796851E-2</v>
      </c>
      <c r="AU46" s="136">
        <f t="shared" si="81"/>
        <v>1.7611385849773741E-2</v>
      </c>
      <c r="AV46" s="136">
        <f t="shared" si="81"/>
        <v>1.8121914247354057E-2</v>
      </c>
      <c r="AW46" s="136">
        <f t="shared" si="81"/>
        <v>1.8652006878662721E-2</v>
      </c>
      <c r="AX46" s="136">
        <f t="shared" si="81"/>
        <v>1.9202700221636504E-2</v>
      </c>
      <c r="AY46" s="136">
        <f t="shared" si="81"/>
        <v>1.9775104505228909E-2</v>
      </c>
      <c r="AZ46" s="136">
        <f t="shared" si="81"/>
        <v>1.7705409428146721E-2</v>
      </c>
      <c r="BA46" s="395"/>
      <c r="BB46" s="136"/>
      <c r="BC46" s="136"/>
      <c r="BD46" s="304"/>
      <c r="BE46" s="92" t="s">
        <v>205</v>
      </c>
      <c r="BF46" s="292"/>
      <c r="BG46" s="108"/>
      <c r="BH46" s="108">
        <f>AVERAGE(BH45)</f>
        <v>5.5531824046712183E-2</v>
      </c>
      <c r="BI46" s="108">
        <f>AVERAGE(BH45:BI45)</f>
        <v>5.5276362673828669E-2</v>
      </c>
      <c r="BJ46" s="108">
        <f>AVERAGE(BH45:BJ45)</f>
        <v>5.171698620126864E-2</v>
      </c>
      <c r="BK46" s="108">
        <f>AVERAGE(BH45:BK45)</f>
        <v>3.7427498403671898E-2</v>
      </c>
      <c r="BL46" s="108">
        <f>AVERAGE(BH45:BL45)</f>
        <v>4.0627198877012882E-2</v>
      </c>
      <c r="BM46" s="108">
        <f>AVERAGE(BH45:BM45)</f>
        <v>4.4019458679608971E-2</v>
      </c>
      <c r="BN46" s="108">
        <f>AVERAGE(BH45:BN45)</f>
        <v>4.6361915682103384E-2</v>
      </c>
      <c r="BO46" s="108">
        <f>AVERAGE(BH45:BO45)</f>
        <v>4.8046835684545437E-2</v>
      </c>
      <c r="BP46" s="108">
        <f>AVERAGE(BH45:BP45)</f>
        <v>4.9292119060296083E-2</v>
      </c>
      <c r="BQ46" s="108">
        <f>AVERAGE(BH45:BQ45)</f>
        <v>5.022848301809206E-2</v>
      </c>
      <c r="BR46" s="108" t="str">
        <f>IF(BS8="","",IF(BR45="","",AVERAGE($AY$44:BR45)))</f>
        <v/>
      </c>
      <c r="BS46" s="108" t="str">
        <f>IF(BT8="","",IF(BS45="","",AVERAGE($AY$44:BS45)))</f>
        <v/>
      </c>
      <c r="BT46" s="108" t="str">
        <f>IF(BU8="","",IF(BT45="","",AVERAGE($AY$44:BT45)))</f>
        <v/>
      </c>
      <c r="BU46" s="108" t="str">
        <f>IF(BV8="","",IF(BU45="","",AVERAGE($AY$44:BU45)))</f>
        <v/>
      </c>
      <c r="BV46" s="108" t="str">
        <f>IF(BW8="","",IF(BV45="","",AVERAGE($AY$44:BV45)))</f>
        <v/>
      </c>
      <c r="BW46" s="165"/>
      <c r="BZ46" s="239" t="s">
        <v>303</v>
      </c>
      <c r="CA46" s="240"/>
      <c r="CB46" s="240"/>
      <c r="CC46" s="240"/>
      <c r="CD46" s="240"/>
      <c r="CE46" s="240"/>
      <c r="CF46" s="240"/>
      <c r="CG46" s="240"/>
      <c r="CH46" s="240"/>
      <c r="CI46" s="240"/>
      <c r="CJ46" s="240"/>
      <c r="CK46" s="240"/>
      <c r="CL46" s="240"/>
      <c r="CM46" s="240"/>
      <c r="CN46" s="240"/>
      <c r="CO46" s="240"/>
      <c r="CP46" s="240"/>
      <c r="CQ46" s="240"/>
      <c r="CR46" s="240"/>
      <c r="CS46" s="240"/>
    </row>
    <row r="47" spans="2:97">
      <c r="B47" s="110" t="s">
        <v>214</v>
      </c>
      <c r="C47" s="125">
        <v>14478.65056536</v>
      </c>
      <c r="D47" s="125">
        <v>14737.02</v>
      </c>
      <c r="E47" s="125">
        <v>15000</v>
      </c>
      <c r="Z47" s="452" t="s">
        <v>287</v>
      </c>
      <c r="AA47" s="452"/>
      <c r="AB47" s="454">
        <f>F134</f>
        <v>10249467</v>
      </c>
      <c r="AG47" s="58"/>
      <c r="AH47" s="92" t="s">
        <v>304</v>
      </c>
      <c r="AI47" s="61"/>
      <c r="AJ47" s="412"/>
      <c r="AK47" s="135">
        <f>AK28/$BH$32</f>
        <v>1.0991164237897935E-2</v>
      </c>
      <c r="AL47" s="135">
        <f>AL28/$BH$32</f>
        <v>1.1187299981167775E-2</v>
      </c>
      <c r="AM47" s="135">
        <f>AM28/$BH$32</f>
        <v>1.1386935738535784E-2</v>
      </c>
      <c r="AN47" s="56"/>
      <c r="AO47" s="57"/>
      <c r="AP47" s="136">
        <f t="shared" ref="AP47:AY47" si="82">AP28/BH32</f>
        <v>1.1386935738535784E-2</v>
      </c>
      <c r="AQ47" s="136">
        <f t="shared" si="82"/>
        <v>1.1806605749657752E-2</v>
      </c>
      <c r="AR47" s="136">
        <f t="shared" si="82"/>
        <v>1.2244135462960661E-2</v>
      </c>
      <c r="AS47" s="136">
        <f t="shared" si="82"/>
        <v>1.2700496113632114E-2</v>
      </c>
      <c r="AT47" s="136">
        <f t="shared" si="82"/>
        <v>1.3176728031583939E-2</v>
      </c>
      <c r="AU47" s="136">
        <f t="shared" si="82"/>
        <v>1.1887923202306246E-2</v>
      </c>
      <c r="AV47" s="136">
        <f t="shared" si="82"/>
        <v>1.2323148146234522E-2</v>
      </c>
      <c r="AW47" s="136">
        <f t="shared" si="82"/>
        <v>1.2776880244378203E-2</v>
      </c>
      <c r="AX47" s="136">
        <f t="shared" si="82"/>
        <v>1.3250128150192247E-2</v>
      </c>
      <c r="AY47" s="136">
        <f t="shared" si="82"/>
        <v>1.3743972505086714E-2</v>
      </c>
      <c r="AZ47" s="136">
        <f>IFERROR(AZ28/BR32,AY47)</f>
        <v>1.3743972505086714E-2</v>
      </c>
      <c r="BA47" s="395"/>
      <c r="BB47" s="136"/>
      <c r="BC47" s="136"/>
      <c r="BD47" s="304"/>
      <c r="BE47" s="103" t="s">
        <v>193</v>
      </c>
      <c r="BF47" s="291"/>
      <c r="BG47" s="108">
        <f>IRR(BG43:BV43)</f>
        <v>3.6418443341966977E-2</v>
      </c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65"/>
      <c r="BZ47" s="241" t="s">
        <v>305</v>
      </c>
      <c r="CA47" s="432">
        <f>D122</f>
        <v>0.08</v>
      </c>
      <c r="CB47" s="240"/>
      <c r="CC47" s="240"/>
      <c r="CD47" s="344" t="str">
        <f t="shared" ref="CD47:CN47" si="83">CD36</f>
        <v>Year 0</v>
      </c>
      <c r="CE47" s="344" t="str">
        <f t="shared" si="83"/>
        <v>Year 1</v>
      </c>
      <c r="CF47" s="344" t="str">
        <f t="shared" si="83"/>
        <v>Year 2</v>
      </c>
      <c r="CG47" s="344" t="str">
        <f t="shared" si="83"/>
        <v>Year 3</v>
      </c>
      <c r="CH47" s="344" t="str">
        <f t="shared" si="83"/>
        <v>Year 4</v>
      </c>
      <c r="CI47" s="344" t="str">
        <f t="shared" si="83"/>
        <v>Year 5</v>
      </c>
      <c r="CJ47" s="344" t="str">
        <f t="shared" si="83"/>
        <v>Year 6</v>
      </c>
      <c r="CK47" s="344" t="str">
        <f t="shared" si="83"/>
        <v>Year 7</v>
      </c>
      <c r="CL47" s="344" t="str">
        <f t="shared" si="83"/>
        <v>Year 8</v>
      </c>
      <c r="CM47" s="344" t="str">
        <f t="shared" si="83"/>
        <v>Year 9</v>
      </c>
      <c r="CN47" s="344" t="str">
        <f t="shared" si="83"/>
        <v>Year 10</v>
      </c>
      <c r="CO47" s="200" t="s">
        <v>1</v>
      </c>
      <c r="CP47" s="242" t="str">
        <f>CP$20</f>
        <v> </v>
      </c>
      <c r="CQ47" s="242" t="str">
        <f>CQ$20</f>
        <v> </v>
      </c>
      <c r="CR47" s="242" t="str">
        <f>CR$20</f>
        <v> </v>
      </c>
      <c r="CS47" s="242" t="str">
        <f>CS$20</f>
        <v> </v>
      </c>
    </row>
    <row r="48" spans="2:97">
      <c r="B48" s="110" t="s">
        <v>218</v>
      </c>
      <c r="C48" s="125">
        <v>62740.81911656</v>
      </c>
      <c r="D48" s="125">
        <v>63860.42</v>
      </c>
      <c r="E48" s="125">
        <v>65000</v>
      </c>
      <c r="Z48" s="452" t="s">
        <v>289</v>
      </c>
      <c r="AA48" s="452"/>
      <c r="AB48" s="454">
        <f>F135</f>
        <v>5783433</v>
      </c>
      <c r="AG48" s="58"/>
      <c r="AH48" s="103"/>
      <c r="AI48" s="61"/>
      <c r="AJ48" s="405"/>
      <c r="AK48" s="137"/>
      <c r="AL48" s="137"/>
      <c r="AM48" s="137"/>
      <c r="AN48" s="138"/>
      <c r="AO48" s="56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388"/>
      <c r="BB48" s="73"/>
      <c r="BC48" s="73"/>
      <c r="BD48" s="295"/>
      <c r="BE48" s="103" t="s">
        <v>199</v>
      </c>
      <c r="BF48" s="292"/>
      <c r="BG48" s="139">
        <f>SUMIF(BG43:BV43,"&gt;0")/-SUMIF(BG43:BV43,"&lt;0")</f>
        <v>1.3441862414115693</v>
      </c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65"/>
      <c r="BZ48" s="253" t="s">
        <v>306</v>
      </c>
      <c r="CD48" s="235"/>
      <c r="CE48" s="235">
        <f>CD53</f>
        <v>0</v>
      </c>
      <c r="CF48" s="235">
        <f t="shared" ref="CF48:CO48" si="84">CE53</f>
        <v>0</v>
      </c>
      <c r="CG48" s="235">
        <f t="shared" si="84"/>
        <v>0</v>
      </c>
      <c r="CH48" s="235">
        <f t="shared" si="84"/>
        <v>0</v>
      </c>
      <c r="CI48" s="235">
        <f t="shared" si="84"/>
        <v>0</v>
      </c>
      <c r="CJ48" s="235">
        <f t="shared" si="84"/>
        <v>0</v>
      </c>
      <c r="CK48" s="235">
        <f t="shared" si="84"/>
        <v>0</v>
      </c>
      <c r="CL48" s="235">
        <f t="shared" si="84"/>
        <v>0</v>
      </c>
      <c r="CM48" s="235">
        <f t="shared" si="84"/>
        <v>0</v>
      </c>
      <c r="CN48" s="235">
        <f t="shared" si="84"/>
        <v>0</v>
      </c>
      <c r="CO48" s="235">
        <f t="shared" si="84"/>
        <v>0</v>
      </c>
    </row>
    <row r="49" spans="2:93">
      <c r="B49" s="110" t="s">
        <v>223</v>
      </c>
      <c r="C49" s="125">
        <v>72393.252826800002</v>
      </c>
      <c r="D49" s="125">
        <v>73685.100000000006</v>
      </c>
      <c r="E49" s="125">
        <v>75000</v>
      </c>
      <c r="Z49" s="452" t="s">
        <v>27</v>
      </c>
      <c r="AA49" s="452"/>
      <c r="AB49" s="455" t="str">
        <f>F136</f>
        <v>1.56x</v>
      </c>
      <c r="AG49" s="58"/>
      <c r="AH49" s="265"/>
      <c r="AI49" s="61"/>
      <c r="AJ49" s="403"/>
      <c r="AK49" s="85"/>
      <c r="AL49" s="85"/>
      <c r="AM49" s="85"/>
      <c r="AN49" s="140"/>
      <c r="AO49" s="141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386"/>
      <c r="BB49" s="65"/>
      <c r="BC49" s="65"/>
      <c r="BD49" s="294"/>
      <c r="BE49" s="103"/>
      <c r="BF49" s="292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9"/>
      <c r="BT49" s="119"/>
      <c r="BU49" s="119"/>
      <c r="BV49" s="119"/>
      <c r="BW49" s="165"/>
      <c r="BZ49" s="253" t="s">
        <v>307</v>
      </c>
      <c r="CD49" s="55" t="e">
        <f>ROUND(SUM(CE51:CO51),0)=ROUND(SUM(CE49:CO49),0)</f>
        <v>#VALUE!</v>
      </c>
      <c r="CE49" s="55" t="e">
        <f>CE50 - CE55</f>
        <v>#VALUE!</v>
      </c>
      <c r="CF49" s="55">
        <f>CF50 - CF55</f>
        <v>0</v>
      </c>
      <c r="CG49" s="55">
        <f t="shared" ref="CG49:CO49" si="85">CG50 - CG55</f>
        <v>0</v>
      </c>
      <c r="CH49" s="55">
        <f t="shared" si="85"/>
        <v>0</v>
      </c>
      <c r="CI49" s="55">
        <f t="shared" si="85"/>
        <v>0</v>
      </c>
      <c r="CJ49" s="55">
        <f t="shared" si="85"/>
        <v>0</v>
      </c>
      <c r="CK49" s="55">
        <f t="shared" si="85"/>
        <v>0</v>
      </c>
      <c r="CL49" s="55">
        <f t="shared" si="85"/>
        <v>0</v>
      </c>
      <c r="CM49" s="55">
        <f t="shared" si="85"/>
        <v>0</v>
      </c>
      <c r="CN49" s="55">
        <f t="shared" si="85"/>
        <v>0</v>
      </c>
      <c r="CO49" s="55">
        <f t="shared" si="85"/>
        <v>0</v>
      </c>
    </row>
    <row r="50" spans="2:93">
      <c r="B50" s="110" t="s">
        <v>225</v>
      </c>
      <c r="C50" s="125">
        <v>91698.120247280007</v>
      </c>
      <c r="D50" s="125">
        <v>93334.46</v>
      </c>
      <c r="E50" s="125">
        <v>95000</v>
      </c>
      <c r="Z50" s="253"/>
      <c r="AA50" s="253"/>
      <c r="AB50" s="253"/>
      <c r="AG50" s="58"/>
      <c r="AH50" s="143"/>
      <c r="AI50" s="61"/>
      <c r="AJ50" s="413"/>
      <c r="AK50" s="603"/>
      <c r="AL50" s="603"/>
      <c r="AM50" s="85"/>
      <c r="AN50" s="140"/>
      <c r="AO50" s="141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396"/>
      <c r="BB50" s="145"/>
      <c r="BC50" s="145"/>
      <c r="BD50" s="305"/>
      <c r="BE50" s="106" t="s">
        <v>308</v>
      </c>
      <c r="BF50" s="292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9"/>
      <c r="BT50" s="119"/>
      <c r="BU50" s="119"/>
      <c r="BV50" s="119"/>
      <c r="BW50" s="165"/>
      <c r="BZ50" s="253" t="s">
        <v>309</v>
      </c>
      <c r="CE50" s="435" t="e">
        <f>($CA$47="Equity Multiple")*(CD51*$C$110 - CD51) + ($CA$47&lt;&gt;"Equity Multiple")*(G111*$C$110)</f>
        <v>#VALUE!</v>
      </c>
    </row>
    <row r="51" spans="2:93">
      <c r="B51" s="110" t="s">
        <v>231</v>
      </c>
      <c r="C51" s="125">
        <v>82045.686537040005</v>
      </c>
      <c r="D51" s="125">
        <v>83509.78</v>
      </c>
      <c r="E51" s="125">
        <v>85000</v>
      </c>
      <c r="Z51" s="260"/>
      <c r="AA51" s="266"/>
      <c r="AB51" s="266"/>
      <c r="AC51" s="198"/>
      <c r="AG51" s="58"/>
      <c r="AH51" s="143"/>
      <c r="AI51" s="61"/>
      <c r="AJ51" s="413"/>
      <c r="AK51" s="85"/>
      <c r="AL51" s="85"/>
      <c r="AM51" s="85"/>
      <c r="AN51" s="140"/>
      <c r="AO51" s="141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396"/>
      <c r="BB51" s="145"/>
      <c r="BC51" s="145"/>
      <c r="BD51" s="305"/>
      <c r="BE51" s="92" t="s">
        <v>163</v>
      </c>
      <c r="BF51" s="292"/>
      <c r="BG51" s="74">
        <f t="shared" ref="BG51:BQ51" si="86">BG14-BG18</f>
        <v>9477435.9429999981</v>
      </c>
      <c r="BH51" s="74">
        <f t="shared" si="86"/>
        <v>0</v>
      </c>
      <c r="BI51" s="74">
        <f t="shared" si="86"/>
        <v>0</v>
      </c>
      <c r="BJ51" s="74">
        <f t="shared" si="86"/>
        <v>0</v>
      </c>
      <c r="BK51" s="74">
        <f t="shared" si="86"/>
        <v>0</v>
      </c>
      <c r="BL51" s="74">
        <f t="shared" si="86"/>
        <v>0</v>
      </c>
      <c r="BM51" s="74">
        <f t="shared" si="86"/>
        <v>0</v>
      </c>
      <c r="BN51" s="74">
        <f t="shared" si="86"/>
        <v>0</v>
      </c>
      <c r="BO51" s="74">
        <f t="shared" si="86"/>
        <v>0</v>
      </c>
      <c r="BP51" s="74">
        <f t="shared" si="86"/>
        <v>0</v>
      </c>
      <c r="BQ51" s="74">
        <f t="shared" si="86"/>
        <v>0</v>
      </c>
      <c r="BR51" s="74"/>
      <c r="BS51" s="74" t="str">
        <f t="shared" ref="BS51:BV51" si="87">IF(BS8&gt;_xlfn.SINGLE(Analysis_Period),"",BS14-BS18)</f>
        <v/>
      </c>
      <c r="BT51" s="74" t="str">
        <f t="shared" si="87"/>
        <v/>
      </c>
      <c r="BU51" s="74" t="str">
        <f t="shared" si="87"/>
        <v/>
      </c>
      <c r="BV51" s="74" t="str">
        <f t="shared" si="87"/>
        <v/>
      </c>
      <c r="BW51" s="165"/>
      <c r="BZ51" s="253" t="s">
        <v>311</v>
      </c>
      <c r="CD51" s="435">
        <f>(CD47&lt;&gt;"") * -MIN(0, CD42 * $C$116)</f>
        <v>9352809.7958499976</v>
      </c>
    </row>
    <row r="52" spans="2:93">
      <c r="B52" s="110" t="s">
        <v>236</v>
      </c>
      <c r="C52" s="146">
        <v>63313.344471731994</v>
      </c>
      <c r="D52" s="146">
        <v>65255.25299999999</v>
      </c>
      <c r="E52" s="124">
        <v>68445</v>
      </c>
      <c r="Z52" s="260" t="s">
        <v>312</v>
      </c>
      <c r="AA52" s="260"/>
      <c r="AB52" s="147" t="str">
        <f>"/"&amp;D9</f>
        <v>/SF</v>
      </c>
      <c r="AC52" s="198"/>
      <c r="AG52" s="58"/>
      <c r="AH52" s="143"/>
      <c r="AI52" s="61"/>
      <c r="AJ52" s="413"/>
      <c r="AK52" s="85"/>
      <c r="AL52" s="85"/>
      <c r="AM52" s="85"/>
      <c r="AN52" s="140"/>
      <c r="AO52" s="141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396"/>
      <c r="BB52" s="145"/>
      <c r="BC52" s="145"/>
      <c r="BD52" s="305"/>
      <c r="BE52" s="92" t="s">
        <v>216</v>
      </c>
      <c r="BF52" s="292"/>
      <c r="BG52" s="74">
        <f>BG28</f>
        <v>0</v>
      </c>
      <c r="BH52" s="74">
        <f>BH28</f>
        <v>543681.76337777323</v>
      </c>
      <c r="BI52" s="74">
        <f t="shared" ref="BI52:BV52" si="88">BI28</f>
        <v>530781.66337777313</v>
      </c>
      <c r="BJ52" s="74">
        <f t="shared" si="88"/>
        <v>267623.56137777318</v>
      </c>
      <c r="BK52" s="74">
        <f>BK28</f>
        <v>-995797.70266222686</v>
      </c>
      <c r="BL52" s="74">
        <f t="shared" si="88"/>
        <v>490512.60801697301</v>
      </c>
      <c r="BM52" s="74">
        <f t="shared" si="88"/>
        <v>681259.87965375686</v>
      </c>
      <c r="BN52" s="74">
        <f t="shared" si="88"/>
        <v>667017.12688439654</v>
      </c>
      <c r="BO52" s="74">
        <f t="shared" si="88"/>
        <v>652489.51905964885</v>
      </c>
      <c r="BP52" s="74">
        <f t="shared" si="88"/>
        <v>637671.35907840647</v>
      </c>
      <c r="BQ52" s="74">
        <f t="shared" si="88"/>
        <v>622556.83589753916</v>
      </c>
      <c r="BR52" s="74"/>
      <c r="BS52" s="74" t="str">
        <f t="shared" si="88"/>
        <v/>
      </c>
      <c r="BT52" s="74">
        <f t="shared" si="88"/>
        <v>0</v>
      </c>
      <c r="BU52" s="74" t="str">
        <f t="shared" si="88"/>
        <v/>
      </c>
      <c r="BV52" s="74" t="str">
        <f t="shared" si="88"/>
        <v/>
      </c>
      <c r="BW52" s="165"/>
      <c r="BZ52" s="253" t="s">
        <v>313</v>
      </c>
    </row>
    <row r="53" spans="2:93">
      <c r="B53" s="110" t="s">
        <v>239</v>
      </c>
      <c r="C53" s="125">
        <v>33783.517985840001</v>
      </c>
      <c r="D53" s="125">
        <v>34386.379999999997</v>
      </c>
      <c r="E53" s="125">
        <v>35000</v>
      </c>
      <c r="Z53" s="67" t="s">
        <v>161</v>
      </c>
      <c r="AA53" s="260"/>
      <c r="AB53" s="69">
        <f>E38/$D$16</f>
        <v>0</v>
      </c>
      <c r="AC53" s="198"/>
      <c r="AG53" s="58"/>
      <c r="AH53" s="143"/>
      <c r="AI53" s="61"/>
      <c r="AJ53" s="413"/>
      <c r="AK53" s="85"/>
      <c r="AL53" s="85"/>
      <c r="AM53" s="85"/>
      <c r="AN53" s="140"/>
      <c r="AO53" s="141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396"/>
      <c r="BB53" s="145"/>
      <c r="BC53" s="145"/>
      <c r="BD53" s="305"/>
      <c r="BE53" s="92" t="s">
        <v>292</v>
      </c>
      <c r="BF53" s="292"/>
      <c r="BG53" s="148">
        <f t="shared" ref="BG53:BQ53" si="89">((BG8=$D$10)*(BG34-BG37))*(BG8&lt;=$D$10)</f>
        <v>0</v>
      </c>
      <c r="BH53" s="148">
        <f t="shared" si="89"/>
        <v>0</v>
      </c>
      <c r="BI53" s="148">
        <f t="shared" si="89"/>
        <v>0</v>
      </c>
      <c r="BJ53" s="148">
        <f t="shared" si="89"/>
        <v>0</v>
      </c>
      <c r="BK53" s="148">
        <f t="shared" si="89"/>
        <v>0</v>
      </c>
      <c r="BL53" s="148">
        <f t="shared" si="89"/>
        <v>0</v>
      </c>
      <c r="BM53" s="148">
        <f t="shared" si="89"/>
        <v>0</v>
      </c>
      <c r="BN53" s="148">
        <f t="shared" si="89"/>
        <v>0</v>
      </c>
      <c r="BO53" s="148">
        <f t="shared" si="89"/>
        <v>0</v>
      </c>
      <c r="BP53" s="148">
        <f t="shared" si="89"/>
        <v>0</v>
      </c>
      <c r="BQ53" s="148">
        <f t="shared" si="89"/>
        <v>8969652.9110911936</v>
      </c>
      <c r="BR53" s="84"/>
      <c r="BS53" s="84" t="str">
        <f t="shared" ref="BS53:BV53" si="90">IF(BS8&gt;_xlfn.SINGLE(Analysis_Period),"",(BS8=_xlfn.SINGLE(Analysis_Period))*(BS34-BS37))</f>
        <v/>
      </c>
      <c r="BT53" s="84" t="str">
        <f t="shared" si="90"/>
        <v/>
      </c>
      <c r="BU53" s="84" t="str">
        <f t="shared" si="90"/>
        <v/>
      </c>
      <c r="BV53" s="84" t="str">
        <f t="shared" si="90"/>
        <v/>
      </c>
      <c r="BW53" s="165"/>
      <c r="BZ53" s="253" t="s">
        <v>314</v>
      </c>
    </row>
    <row r="54" spans="2:93">
      <c r="B54" s="110" t="s">
        <v>244</v>
      </c>
      <c r="C54" s="149">
        <v>241315.668972855</v>
      </c>
      <c r="D54" s="149">
        <v>245621.91234000001</v>
      </c>
      <c r="E54" s="149">
        <v>250005</v>
      </c>
      <c r="Z54" s="67" t="s">
        <v>167</v>
      </c>
      <c r="AA54" s="260"/>
      <c r="AB54" s="69">
        <f>E39/$D$16</f>
        <v>0</v>
      </c>
      <c r="AC54" s="198"/>
      <c r="AG54" s="58"/>
      <c r="AH54" s="243"/>
      <c r="AI54" s="61"/>
      <c r="AJ54" s="413"/>
      <c r="AK54" s="85"/>
      <c r="AL54" s="85"/>
      <c r="AM54" s="85"/>
      <c r="AN54" s="140"/>
      <c r="AO54" s="141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396"/>
      <c r="BB54" s="145"/>
      <c r="BC54" s="145"/>
      <c r="BD54" s="305"/>
      <c r="BE54" s="103" t="s">
        <v>295</v>
      </c>
      <c r="BF54" s="292"/>
      <c r="BG54" s="74">
        <f>-BG51-BG52-BG53</f>
        <v>-9477435.9429999981</v>
      </c>
      <c r="BH54" s="74">
        <f t="shared" ref="BH54:BQ54" si="91">SUM(BH51:BH53)</f>
        <v>543681.76337777323</v>
      </c>
      <c r="BI54" s="74">
        <f t="shared" si="91"/>
        <v>530781.66337777313</v>
      </c>
      <c r="BJ54" s="74">
        <f t="shared" si="91"/>
        <v>267623.56137777318</v>
      </c>
      <c r="BK54" s="74">
        <f t="shared" si="91"/>
        <v>-995797.70266222686</v>
      </c>
      <c r="BL54" s="74">
        <f t="shared" si="91"/>
        <v>490512.60801697301</v>
      </c>
      <c r="BM54" s="74">
        <f t="shared" si="91"/>
        <v>681259.87965375686</v>
      </c>
      <c r="BN54" s="74">
        <f t="shared" si="91"/>
        <v>667017.12688439654</v>
      </c>
      <c r="BO54" s="74">
        <f t="shared" si="91"/>
        <v>652489.51905964885</v>
      </c>
      <c r="BP54" s="74">
        <f t="shared" si="91"/>
        <v>637671.35907840647</v>
      </c>
      <c r="BQ54" s="74">
        <f t="shared" si="91"/>
        <v>9592209.7469887324</v>
      </c>
      <c r="BR54" s="74"/>
      <c r="BS54" s="74" t="str">
        <f t="shared" ref="BS54:BV54" si="92">IF(BS8&gt;_xlfn.SINGLE(Analysis_Period),"",-BS51+BS52+BS53)</f>
        <v/>
      </c>
      <c r="BT54" s="74" t="str">
        <f t="shared" si="92"/>
        <v/>
      </c>
      <c r="BU54" s="74" t="str">
        <f t="shared" si="92"/>
        <v/>
      </c>
      <c r="BV54" s="74" t="str">
        <f t="shared" si="92"/>
        <v/>
      </c>
      <c r="BW54" s="165"/>
      <c r="BZ54" s="433" t="str">
        <f>IF(CB13="Equity Multiple", "LP EMx Check","LP IRR Check")</f>
        <v>LP IRR Check</v>
      </c>
    </row>
    <row r="55" spans="2:93">
      <c r="B55" s="150" t="s">
        <v>224</v>
      </c>
      <c r="C55" s="124"/>
      <c r="D55" s="124"/>
      <c r="E55" s="125"/>
      <c r="Z55" s="67" t="s">
        <v>173</v>
      </c>
      <c r="AA55" s="260"/>
      <c r="AB55" s="69">
        <f>E40/$D$16</f>
        <v>2</v>
      </c>
      <c r="AC55" s="198"/>
      <c r="AG55" s="165"/>
      <c r="AH55" s="165"/>
      <c r="AI55" s="165"/>
      <c r="AJ55" s="409"/>
      <c r="AK55" s="244"/>
      <c r="AL55" s="244"/>
      <c r="AM55" s="165"/>
      <c r="AN55" s="165"/>
      <c r="AO55" s="244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397"/>
      <c r="BB55" s="245"/>
      <c r="BC55" s="245"/>
      <c r="BD55" s="165"/>
      <c r="BE55" s="103"/>
      <c r="BF55" s="292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165"/>
      <c r="BZ55" s="253" t="s">
        <v>315</v>
      </c>
    </row>
    <row r="56" spans="2:93">
      <c r="B56" s="165"/>
      <c r="C56" s="227"/>
      <c r="D56" s="227"/>
      <c r="E56" s="246"/>
      <c r="Z56" s="106" t="s">
        <v>180</v>
      </c>
      <c r="AA56" s="260"/>
      <c r="AB56" s="153">
        <f>E41/$D$16</f>
        <v>0</v>
      </c>
      <c r="AC56" s="198"/>
      <c r="AG56" s="165"/>
      <c r="AH56" s="165"/>
      <c r="AI56" s="165"/>
      <c r="AJ56" s="414"/>
      <c r="AK56" s="247"/>
      <c r="AL56" s="247"/>
      <c r="AM56" s="165"/>
      <c r="AN56" s="165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398"/>
      <c r="BB56" s="247"/>
      <c r="BC56" s="247"/>
      <c r="BD56" s="165"/>
      <c r="BE56" s="103" t="s">
        <v>316</v>
      </c>
      <c r="BF56" s="292"/>
      <c r="BG56" s="108"/>
      <c r="BH56" s="108">
        <f>(BH8 &lt;= D10) * (BH28 / (SUM($BG$14:BH14) - SUM($BG$18:BH18)))</f>
        <v>5.7365912747670403E-2</v>
      </c>
      <c r="BI56" s="108">
        <f t="shared" ref="BI56:BQ56" si="93">(BI28-BI27)/($BG$14-$BG$18)</f>
        <v>5.6004774558229185E-2</v>
      </c>
      <c r="BJ56" s="108">
        <f t="shared" si="93"/>
        <v>2.823797100685645E-2</v>
      </c>
      <c r="BK56" s="108">
        <f t="shared" si="93"/>
        <v>-0.10507037015615174</v>
      </c>
      <c r="BL56" s="108">
        <f t="shared" si="93"/>
        <v>5.1755834696964001E-2</v>
      </c>
      <c r="BM56" s="108">
        <f t="shared" si="93"/>
        <v>7.1882298519456947E-2</v>
      </c>
      <c r="BN56" s="108">
        <f t="shared" si="93"/>
        <v>7.0379491973992514E-2</v>
      </c>
      <c r="BO56" s="108">
        <f t="shared" si="93"/>
        <v>6.8846629297618769E-2</v>
      </c>
      <c r="BP56" s="108">
        <f t="shared" si="93"/>
        <v>6.7283109367717586E-2</v>
      </c>
      <c r="BQ56" s="108">
        <f t="shared" si="93"/>
        <v>6.568831903921836E-2</v>
      </c>
      <c r="BR56" s="108"/>
      <c r="BS56" s="108" t="str">
        <f>IF(BS8&gt;_xlfn.SINGLE(Analysis_Period),"",BS28/(SUM($AX$13:BS14)-SUM($AX$17:BS18)))</f>
        <v/>
      </c>
      <c r="BT56" s="108" t="str">
        <f>IF(BT8&gt;_xlfn.SINGLE(Analysis_Period),"",BT28/(SUM($AX$13:BT14)-SUM($AX$17:BT18)))</f>
        <v/>
      </c>
      <c r="BU56" s="108" t="str">
        <f>IF(BU8&gt;_xlfn.SINGLE(Analysis_Period),"",BU28/(SUM($AX$13:BU14)-SUM($AX$17:BU18)))</f>
        <v/>
      </c>
      <c r="BV56" s="108" t="str">
        <f>IF(BV8&gt;_xlfn.SINGLE(Analysis_Period),"",BV28/(SUM($AX$13:BV14)-SUM($AX$17:BV18)))</f>
        <v/>
      </c>
      <c r="BW56" s="165"/>
      <c r="BZ56" s="253"/>
    </row>
    <row r="57" spans="2:93">
      <c r="B57" s="165"/>
      <c r="C57" s="227"/>
      <c r="D57" s="227"/>
      <c r="Z57" s="103"/>
      <c r="AA57" s="260"/>
      <c r="AB57" s="69"/>
      <c r="AC57" s="198"/>
      <c r="AG57" s="165"/>
      <c r="AH57" s="165"/>
      <c r="AI57" s="165"/>
      <c r="AJ57" s="400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381"/>
      <c r="BB57" s="165"/>
      <c r="BC57" s="165"/>
      <c r="BD57" s="165"/>
      <c r="BE57" s="92" t="s">
        <v>221</v>
      </c>
      <c r="BF57" s="292"/>
      <c r="BG57" s="108"/>
      <c r="BH57" s="108">
        <f>AVERAGE(BH56)</f>
        <v>5.7365912747670403E-2</v>
      </c>
      <c r="BI57" s="108">
        <f>AVERAGE(BH56:BI56)</f>
        <v>5.6685343652949791E-2</v>
      </c>
      <c r="BJ57" s="108">
        <f>AVERAGE(BH56:BJ56)</f>
        <v>4.7202886104252016E-2</v>
      </c>
      <c r="BK57" s="108">
        <f>AVERAGE(BH56:BK56)</f>
        <v>9.1345720391510753E-3</v>
      </c>
      <c r="BL57" s="108">
        <f>AVERAGE(BH56:BL56)</f>
        <v>1.765882457071366E-2</v>
      </c>
      <c r="BM57" s="108">
        <f>AVERAGE(BH56:BM56)</f>
        <v>2.6696070228837538E-2</v>
      </c>
      <c r="BN57" s="108">
        <f>AVERAGE(BH56:BN56)</f>
        <v>3.2936559049573967E-2</v>
      </c>
      <c r="BO57" s="108">
        <f>AVERAGE(BH56:BO56)</f>
        <v>3.7425317830579563E-2</v>
      </c>
      <c r="BP57" s="108">
        <f>AVERAGE(BH56:BP56)</f>
        <v>4.0742850223594897E-2</v>
      </c>
      <c r="BQ57" s="108">
        <f>AVERAGE(BH56:BQ56)</f>
        <v>4.3237397105157241E-2</v>
      </c>
      <c r="BR57" s="108" t="str">
        <f>IF(BR8&gt;_xlfn.SINGLE(Analysis_Period),"",AVERAGE($AX$55:BR56))</f>
        <v/>
      </c>
      <c r="BS57" s="108" t="str">
        <f>IF(BS8&gt;_xlfn.SINGLE(Analysis_Period),"",AVERAGE($AX$55:BS56))</f>
        <v/>
      </c>
      <c r="BT57" s="108" t="str">
        <f>IF(BT8&gt;_xlfn.SINGLE(Analysis_Period),"",AVERAGE($AX$55:BT56))</f>
        <v/>
      </c>
      <c r="BU57" s="108" t="str">
        <f>IF(BU8&gt;_xlfn.SINGLE(Analysis_Period),"",AVERAGE($AX$55:BU56))</f>
        <v/>
      </c>
      <c r="BV57" s="108" t="str">
        <f>IF(BV8&gt;_xlfn.SINGLE(Analysis_Period),"",AVERAGE($AX$55:BV56))</f>
        <v/>
      </c>
      <c r="BW57" s="165"/>
      <c r="BZ57" s="253" t="s">
        <v>317</v>
      </c>
    </row>
    <row r="58" spans="2:93">
      <c r="B58" s="231"/>
      <c r="C58" s="231" t="s">
        <v>46</v>
      </c>
      <c r="D58" s="231" t="s">
        <v>129</v>
      </c>
      <c r="E58" s="248" t="s">
        <v>130</v>
      </c>
      <c r="F58" s="598" t="s">
        <v>47</v>
      </c>
      <c r="G58" s="249">
        <v>2</v>
      </c>
      <c r="H58" s="249">
        <v>3</v>
      </c>
      <c r="I58" s="249">
        <v>4</v>
      </c>
      <c r="J58" s="249">
        <v>5</v>
      </c>
      <c r="K58" s="249">
        <v>6</v>
      </c>
      <c r="L58" s="249">
        <v>7</v>
      </c>
      <c r="M58" s="249">
        <v>8</v>
      </c>
      <c r="N58" s="249">
        <v>9</v>
      </c>
      <c r="O58" s="249">
        <v>10</v>
      </c>
      <c r="P58" s="249">
        <v>11</v>
      </c>
      <c r="Q58" s="249">
        <v>12</v>
      </c>
      <c r="R58" s="249">
        <v>13</v>
      </c>
      <c r="S58" s="249">
        <v>14</v>
      </c>
      <c r="T58" s="249">
        <v>15</v>
      </c>
      <c r="Z58" s="67" t="s">
        <v>190</v>
      </c>
      <c r="AA58" s="260"/>
      <c r="AB58" s="69">
        <f>E43/$D$16</f>
        <v>0</v>
      </c>
      <c r="AC58" s="198"/>
      <c r="AG58" s="165"/>
      <c r="AH58" s="165"/>
      <c r="AI58" s="165"/>
      <c r="AJ58" s="400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381"/>
      <c r="BB58" s="165"/>
      <c r="BC58" s="165"/>
      <c r="BD58" s="165"/>
      <c r="BE58" s="103" t="s">
        <v>81</v>
      </c>
      <c r="BF58" s="291"/>
      <c r="BG58" s="108">
        <f>IRR(BG54:BV54)</f>
        <v>3.7141068414942913E-2</v>
      </c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65"/>
      <c r="BZ58" s="253" t="s">
        <v>318</v>
      </c>
    </row>
    <row r="59" spans="2:93">
      <c r="B59" s="110" t="s">
        <v>263</v>
      </c>
      <c r="C59" s="124">
        <v>0</v>
      </c>
      <c r="D59" s="124">
        <v>0</v>
      </c>
      <c r="E59" s="124">
        <v>0</v>
      </c>
      <c r="F59" s="271"/>
      <c r="G59" s="124">
        <v>0</v>
      </c>
      <c r="H59" s="124">
        <v>0</v>
      </c>
      <c r="I59" s="124">
        <v>1250000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270"/>
      <c r="R59" s="270"/>
      <c r="S59" s="154"/>
      <c r="T59" s="154"/>
      <c r="Z59" s="67" t="s">
        <v>194</v>
      </c>
      <c r="AA59" s="260"/>
      <c r="AB59" s="69">
        <f>E44/$D$16</f>
        <v>0</v>
      </c>
      <c r="AC59" s="198"/>
      <c r="AG59" s="165"/>
      <c r="AI59" s="165"/>
      <c r="AJ59" s="400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381"/>
      <c r="BB59" s="165"/>
      <c r="BC59" s="165"/>
      <c r="BD59" s="165"/>
      <c r="BE59" s="103" t="s">
        <v>217</v>
      </c>
      <c r="BF59" s="292"/>
      <c r="BG59" s="139">
        <f>SUMIF(BG54:BV54,"&gt;0")/-SUMIF(BG54:BV54,"&lt;0")</f>
        <v>1.3427798618471487</v>
      </c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65"/>
      <c r="BZ59" s="253" t="s">
        <v>319</v>
      </c>
    </row>
    <row r="60" spans="2:93">
      <c r="B60" s="110" t="s">
        <v>269</v>
      </c>
      <c r="C60" s="124">
        <v>0</v>
      </c>
      <c r="D60" s="124">
        <v>0</v>
      </c>
      <c r="E60" s="124">
        <v>0</v>
      </c>
      <c r="F60" s="272"/>
      <c r="G60" s="124">
        <v>0</v>
      </c>
      <c r="H60" s="124">
        <v>0</v>
      </c>
      <c r="I60" s="124">
        <v>250000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270"/>
      <c r="R60" s="270"/>
      <c r="S60" s="270"/>
      <c r="T60" s="270"/>
      <c r="Z60" s="67" t="s">
        <v>200</v>
      </c>
      <c r="AA60" s="260"/>
      <c r="AB60" s="69">
        <f>E45/$D$16</f>
        <v>0</v>
      </c>
      <c r="AC60" s="198"/>
      <c r="AD60" s="233"/>
      <c r="AG60" s="165"/>
      <c r="AH60" s="165"/>
      <c r="AI60" s="165"/>
      <c r="AJ60" s="400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381"/>
      <c r="BB60" s="165"/>
      <c r="BC60" s="165"/>
      <c r="BD60" s="165"/>
      <c r="BE60" s="103"/>
      <c r="BF60" s="292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9"/>
      <c r="BT60" s="119"/>
      <c r="BU60" s="119"/>
      <c r="BV60" s="119"/>
      <c r="BW60" s="165"/>
      <c r="BZ60" s="253" t="s">
        <v>321</v>
      </c>
    </row>
    <row r="61" spans="2:93" ht="16.5">
      <c r="B61" s="110" t="s">
        <v>272</v>
      </c>
      <c r="C61" s="124">
        <v>24131.084275599998</v>
      </c>
      <c r="D61" s="124">
        <v>24561.7</v>
      </c>
      <c r="E61" s="124">
        <v>25000</v>
      </c>
      <c r="F61" s="273"/>
      <c r="G61" s="126">
        <v>0</v>
      </c>
      <c r="H61" s="126">
        <v>0</v>
      </c>
      <c r="I61" s="126"/>
      <c r="J61" s="126"/>
      <c r="K61" s="126"/>
      <c r="L61" s="126"/>
      <c r="M61" s="126"/>
      <c r="N61" s="126"/>
      <c r="O61" s="126"/>
      <c r="P61" s="126"/>
      <c r="Q61" s="270"/>
      <c r="R61" s="270"/>
      <c r="S61" s="270"/>
      <c r="T61" s="270"/>
      <c r="Z61" s="89" t="s">
        <v>207</v>
      </c>
      <c r="AA61" s="260"/>
      <c r="AB61" s="153">
        <f>AB56+(SUM(AB58:AB60))</f>
        <v>0</v>
      </c>
      <c r="AC61" s="198"/>
      <c r="AG61" s="165"/>
      <c r="AH61" s="165"/>
      <c r="AI61" s="165"/>
      <c r="AJ61" s="400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381"/>
      <c r="BB61" s="165"/>
      <c r="BC61" s="165"/>
      <c r="BD61" s="165"/>
      <c r="BE61" s="103" t="s">
        <v>322</v>
      </c>
      <c r="BF61" s="292"/>
      <c r="BG61" s="139"/>
      <c r="BH61" s="139">
        <f t="shared" ref="BH61:BQ61" si="94">BH23/BH26</f>
        <v>1.6624743644796809</v>
      </c>
      <c r="BI61" s="139">
        <f t="shared" si="94"/>
        <v>1.6480291177775679</v>
      </c>
      <c r="BJ61" s="139">
        <f t="shared" si="94"/>
        <v>1.6332949661414129</v>
      </c>
      <c r="BK61" s="139">
        <f t="shared" si="94"/>
        <v>1.6182661314725346</v>
      </c>
      <c r="BL61" s="139">
        <f t="shared" si="94"/>
        <v>1.6029367201102787</v>
      </c>
      <c r="BM61" s="139">
        <f t="shared" si="94"/>
        <v>1.8257743904793098</v>
      </c>
      <c r="BN61" s="139">
        <f t="shared" si="94"/>
        <v>1.8098256708980189</v>
      </c>
      <c r="BO61" s="139">
        <f t="shared" si="94"/>
        <v>1.7935579769251022</v>
      </c>
      <c r="BP61" s="139">
        <f t="shared" si="94"/>
        <v>1.776964929072727</v>
      </c>
      <c r="BQ61" s="139">
        <f t="shared" si="94"/>
        <v>1.7600400202633046</v>
      </c>
      <c r="BR61" s="139" t="str">
        <f t="shared" ref="BR61:BV61" si="95">IFERROR(BR23/BR26,"")</f>
        <v/>
      </c>
      <c r="BS61" s="139" t="str">
        <f t="shared" si="95"/>
        <v/>
      </c>
      <c r="BT61" s="139" t="str">
        <f t="shared" si="95"/>
        <v/>
      </c>
      <c r="BU61" s="139" t="str">
        <f t="shared" si="95"/>
        <v/>
      </c>
      <c r="BV61" s="139" t="str">
        <f t="shared" si="95"/>
        <v/>
      </c>
      <c r="BW61" s="165"/>
      <c r="BZ61" s="253" t="s">
        <v>323</v>
      </c>
    </row>
    <row r="62" spans="2:93">
      <c r="B62" s="110" t="s">
        <v>276</v>
      </c>
      <c r="C62" s="126">
        <v>0</v>
      </c>
      <c r="D62" s="126">
        <v>0</v>
      </c>
      <c r="E62" s="126">
        <v>0</v>
      </c>
      <c r="F62" s="270"/>
      <c r="G62" s="126">
        <v>0</v>
      </c>
      <c r="H62" s="126">
        <v>250000</v>
      </c>
      <c r="I62" s="126">
        <v>0</v>
      </c>
      <c r="J62" s="126"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v>0</v>
      </c>
      <c r="P62" s="126">
        <v>0</v>
      </c>
      <c r="Q62" s="270"/>
      <c r="R62" s="270"/>
      <c r="S62" s="270"/>
      <c r="T62" s="270"/>
      <c r="Z62" s="103"/>
      <c r="AA62" s="260"/>
      <c r="AB62" s="69"/>
      <c r="AC62" s="198"/>
      <c r="AG62" s="165"/>
      <c r="AH62" s="165"/>
      <c r="AI62" s="165"/>
      <c r="AJ62" s="400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381"/>
      <c r="BB62" s="165"/>
      <c r="BC62" s="165"/>
      <c r="BD62" s="165"/>
      <c r="BE62" s="103" t="s">
        <v>324</v>
      </c>
      <c r="BF62" s="292"/>
      <c r="BG62" s="108"/>
      <c r="BH62" s="108">
        <f t="shared" ref="BH62:BQ62" si="96">(BH23/BH37)</f>
        <v>9.1335886410595465E-2</v>
      </c>
      <c r="BI62" s="108">
        <f t="shared" si="96"/>
        <v>9.2414844912051722E-2</v>
      </c>
      <c r="BJ62" s="108">
        <f t="shared" si="96"/>
        <v>9.3593132702748619E-2</v>
      </c>
      <c r="BK62" s="108">
        <f t="shared" si="96"/>
        <v>9.4882397983854283E-2</v>
      </c>
      <c r="BL62" s="108">
        <f t="shared" si="96"/>
        <v>9.6296148446598021E-2</v>
      </c>
      <c r="BM62" s="108">
        <f t="shared" si="96"/>
        <v>0.11255099597159254</v>
      </c>
      <c r="BN62" s="108">
        <f t="shared" si="96"/>
        <v>0.11467285206417716</v>
      </c>
      <c r="BO62" s="108">
        <f t="shared" si="96"/>
        <v>0.11701454967338208</v>
      </c>
      <c r="BP62" s="108">
        <f t="shared" si="96"/>
        <v>0.11960771138400909</v>
      </c>
      <c r="BQ62" s="108">
        <f t="shared" si="96"/>
        <v>0.12249027765490385</v>
      </c>
      <c r="BR62" s="108" t="str">
        <f t="shared" ref="BR62:BV62" si="97">IFERROR(BR23/BR37,"")</f>
        <v/>
      </c>
      <c r="BS62" s="108" t="str">
        <f t="shared" si="97"/>
        <v/>
      </c>
      <c r="BT62" s="108" t="str">
        <f t="shared" si="97"/>
        <v/>
      </c>
      <c r="BU62" s="108" t="str">
        <f t="shared" si="97"/>
        <v/>
      </c>
      <c r="BV62" s="108" t="str">
        <f t="shared" si="97"/>
        <v/>
      </c>
      <c r="BW62" s="165"/>
      <c r="BZ62" s="433" t="str">
        <f>IF(CB13="Equity Multiple", "GP EMx Check","GP IRR Check")</f>
        <v>GP IRR Check</v>
      </c>
    </row>
    <row r="63" spans="2:93">
      <c r="B63" s="150"/>
      <c r="C63" s="155"/>
      <c r="D63" s="155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Z63" s="67" t="s">
        <v>214</v>
      </c>
      <c r="AA63" s="260"/>
      <c r="AB63" s="69">
        <f t="shared" ref="AB63:AB70" si="98">E47/$D$16</f>
        <v>0.3</v>
      </c>
      <c r="AC63" s="198"/>
      <c r="AG63" s="165"/>
      <c r="AH63" s="165"/>
      <c r="AI63" s="165"/>
      <c r="AJ63" s="400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381"/>
      <c r="BB63" s="165"/>
      <c r="BC63" s="165"/>
      <c r="BD63" s="165"/>
      <c r="BE63" s="103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165"/>
      <c r="BZ63" s="253"/>
    </row>
    <row r="64" spans="2:93">
      <c r="B64" s="263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Z64" s="67" t="s">
        <v>218</v>
      </c>
      <c r="AA64" s="260"/>
      <c r="AB64" s="69">
        <f t="shared" si="98"/>
        <v>1.3</v>
      </c>
      <c r="AC64" s="198"/>
      <c r="AG64" s="165"/>
      <c r="AH64" s="165"/>
      <c r="AI64" s="165"/>
      <c r="AJ64" s="400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381"/>
      <c r="BB64" s="165"/>
      <c r="BC64" s="165"/>
      <c r="BD64" s="165"/>
      <c r="BE64" s="267" t="s">
        <v>325</v>
      </c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65"/>
      <c r="BZ64" s="253" t="str">
        <f>"Total Distributions ("&amp;BZ46&amp;")"</f>
        <v>Total Distributions (Tier 1 - Preferred Return + Return of Capital)</v>
      </c>
    </row>
    <row r="65" spans="2:97">
      <c r="B65" s="264" t="s">
        <v>326</v>
      </c>
      <c r="C65" s="94"/>
      <c r="D65" s="94"/>
      <c r="E65" s="274"/>
      <c r="F65" s="270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232"/>
      <c r="V65" s="232"/>
      <c r="Z65" s="67" t="s">
        <v>223</v>
      </c>
      <c r="AA65" s="260"/>
      <c r="AB65" s="69">
        <f t="shared" si="98"/>
        <v>1.5</v>
      </c>
      <c r="AC65" s="198"/>
      <c r="AG65" s="165"/>
      <c r="AH65" s="165"/>
      <c r="AI65" s="165"/>
      <c r="AJ65" s="400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381"/>
      <c r="BB65" s="165"/>
      <c r="BC65" s="165"/>
      <c r="BD65" s="165"/>
      <c r="BE65" s="268" t="s">
        <v>327</v>
      </c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165"/>
      <c r="BZ65" s="253" t="s">
        <v>328</v>
      </c>
    </row>
    <row r="66" spans="2:97">
      <c r="B66" s="110" t="s">
        <v>329</v>
      </c>
      <c r="C66" s="275"/>
      <c r="D66" s="270"/>
      <c r="E66" s="270"/>
      <c r="F66" s="270"/>
      <c r="G66" s="46">
        <v>0.1</v>
      </c>
      <c r="H66" s="46">
        <v>0.1</v>
      </c>
      <c r="I66" s="46">
        <v>0.1</v>
      </c>
      <c r="J66" s="46">
        <v>0.1</v>
      </c>
      <c r="K66" s="46">
        <v>0.1</v>
      </c>
      <c r="L66" s="46">
        <v>0.1</v>
      </c>
      <c r="M66" s="46">
        <v>0.1</v>
      </c>
      <c r="N66" s="46">
        <v>0.1</v>
      </c>
      <c r="O66" s="46">
        <v>0.1</v>
      </c>
      <c r="P66" s="46">
        <v>0.1</v>
      </c>
      <c r="Q66" s="46">
        <v>0.1</v>
      </c>
      <c r="R66" s="46">
        <v>0.1</v>
      </c>
      <c r="S66" s="46">
        <v>0.1</v>
      </c>
      <c r="T66" s="46">
        <v>0.1</v>
      </c>
      <c r="U66" s="250"/>
      <c r="V66" s="250"/>
      <c r="Z66" s="67" t="s">
        <v>225</v>
      </c>
      <c r="AA66" s="260"/>
      <c r="AB66" s="69">
        <f t="shared" si="98"/>
        <v>1.9</v>
      </c>
      <c r="AC66" s="198"/>
      <c r="AG66" s="165"/>
      <c r="AH66" s="165"/>
      <c r="AI66" s="165"/>
      <c r="AJ66" s="400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381"/>
      <c r="BB66" s="165"/>
      <c r="BC66" s="165"/>
      <c r="BD66" s="165"/>
      <c r="BE66" s="66" t="s">
        <v>330</v>
      </c>
      <c r="BF66" s="59"/>
      <c r="BG66" s="157">
        <f t="shared" ref="BG66:BV66" si="99">IF(BG$42="","",BG$7)</f>
        <v>0</v>
      </c>
      <c r="BH66" s="157">
        <f t="shared" ref="BH66:BQ66" si="100">BH8</f>
        <v>1</v>
      </c>
      <c r="BI66" s="157">
        <f t="shared" si="100"/>
        <v>2</v>
      </c>
      <c r="BJ66" s="157">
        <f t="shared" si="100"/>
        <v>3</v>
      </c>
      <c r="BK66" s="157">
        <f t="shared" si="100"/>
        <v>4</v>
      </c>
      <c r="BL66" s="157">
        <f t="shared" si="100"/>
        <v>5</v>
      </c>
      <c r="BM66" s="157">
        <f t="shared" si="100"/>
        <v>6</v>
      </c>
      <c r="BN66" s="157">
        <f t="shared" si="100"/>
        <v>7</v>
      </c>
      <c r="BO66" s="157">
        <f t="shared" si="100"/>
        <v>8</v>
      </c>
      <c r="BP66" s="157">
        <f t="shared" si="100"/>
        <v>9</v>
      </c>
      <c r="BQ66" s="157">
        <f t="shared" si="100"/>
        <v>10</v>
      </c>
      <c r="BR66" s="65" t="str">
        <f t="shared" si="99"/>
        <v/>
      </c>
      <c r="BS66" s="65" t="str">
        <f t="shared" si="99"/>
        <v/>
      </c>
      <c r="BT66" s="65" t="str">
        <f t="shared" si="99"/>
        <v/>
      </c>
      <c r="BU66" s="65" t="str">
        <f t="shared" si="99"/>
        <v/>
      </c>
      <c r="BV66" s="65" t="str">
        <f t="shared" si="99"/>
        <v/>
      </c>
      <c r="BW66" s="165"/>
    </row>
    <row r="67" spans="2:97" ht="15.75">
      <c r="B67" s="110" t="s">
        <v>331</v>
      </c>
      <c r="C67" s="275"/>
      <c r="D67" s="270"/>
      <c r="E67" s="270"/>
      <c r="F67" s="270"/>
      <c r="G67" s="46">
        <v>0</v>
      </c>
      <c r="H67" s="46">
        <v>0</v>
      </c>
      <c r="I67" s="46">
        <v>0</v>
      </c>
      <c r="J67" s="46">
        <v>0</v>
      </c>
      <c r="K67" s="46">
        <v>0.1</v>
      </c>
      <c r="L67" s="46">
        <v>0</v>
      </c>
      <c r="M67" s="46">
        <v>0</v>
      </c>
      <c r="N67" s="46">
        <v>0</v>
      </c>
      <c r="O67" s="46">
        <v>0</v>
      </c>
      <c r="P67" s="46">
        <v>0.1</v>
      </c>
      <c r="Q67" s="46">
        <v>0</v>
      </c>
      <c r="R67" s="46">
        <v>0</v>
      </c>
      <c r="S67" s="46">
        <v>0</v>
      </c>
      <c r="T67" s="46">
        <v>0</v>
      </c>
      <c r="U67" s="250"/>
      <c r="V67" s="250"/>
      <c r="Z67" s="67" t="s">
        <v>231</v>
      </c>
      <c r="AA67" s="260"/>
      <c r="AB67" s="69">
        <f t="shared" si="98"/>
        <v>1.7</v>
      </c>
      <c r="AC67" s="198"/>
      <c r="AG67" s="165"/>
      <c r="AH67" s="165"/>
      <c r="AI67" s="165"/>
      <c r="AJ67" s="400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381"/>
      <c r="BB67" s="165"/>
      <c r="BC67" s="165"/>
      <c r="BD67" s="165"/>
      <c r="BE67" s="103" t="s">
        <v>4</v>
      </c>
      <c r="BF67" s="59"/>
      <c r="BG67" s="59"/>
      <c r="BH67" s="136" t="str">
        <f t="shared" ref="BH67:BV67" si="101">IF(BH66="","",IFERROR(IRR(BH68:BH83),""))</f>
        <v/>
      </c>
      <c r="BI67" s="136" t="str">
        <f t="shared" si="101"/>
        <v/>
      </c>
      <c r="BJ67" s="136" t="str">
        <f t="shared" si="101"/>
        <v/>
      </c>
      <c r="BK67" s="136">
        <f t="shared" si="101"/>
        <v>-0.51549179380950494</v>
      </c>
      <c r="BL67" s="136" t="str">
        <f t="shared" si="101"/>
        <v/>
      </c>
      <c r="BM67" s="136" t="str">
        <f t="shared" si="101"/>
        <v/>
      </c>
      <c r="BN67" s="136" t="str">
        <f t="shared" si="101"/>
        <v/>
      </c>
      <c r="BO67" s="136" t="str">
        <f t="shared" si="101"/>
        <v/>
      </c>
      <c r="BP67" s="136" t="str">
        <f t="shared" si="101"/>
        <v/>
      </c>
      <c r="BQ67" s="136" t="str">
        <f t="shared" si="101"/>
        <v/>
      </c>
      <c r="BR67" s="136" t="str">
        <f t="shared" si="101"/>
        <v/>
      </c>
      <c r="BS67" s="136" t="str">
        <f t="shared" si="101"/>
        <v/>
      </c>
      <c r="BT67" s="136" t="str">
        <f t="shared" si="101"/>
        <v/>
      </c>
      <c r="BU67" s="136" t="str">
        <f t="shared" si="101"/>
        <v/>
      </c>
      <c r="BV67" s="136" t="str">
        <f t="shared" si="101"/>
        <v/>
      </c>
      <c r="BW67" s="165"/>
      <c r="BZ67" s="431" t="s">
        <v>332</v>
      </c>
      <c r="CA67" s="240"/>
      <c r="CB67" s="240"/>
      <c r="CC67" s="240"/>
      <c r="CD67" s="344" t="str">
        <f t="shared" ref="CD67:CS67" si="102">CD47</f>
        <v>Year 0</v>
      </c>
      <c r="CE67" s="344" t="str">
        <f t="shared" si="102"/>
        <v>Year 1</v>
      </c>
      <c r="CF67" s="344" t="str">
        <f t="shared" si="102"/>
        <v>Year 2</v>
      </c>
      <c r="CG67" s="344" t="str">
        <f t="shared" si="102"/>
        <v>Year 3</v>
      </c>
      <c r="CH67" s="344" t="str">
        <f t="shared" si="102"/>
        <v>Year 4</v>
      </c>
      <c r="CI67" s="344" t="str">
        <f t="shared" si="102"/>
        <v>Year 5</v>
      </c>
      <c r="CJ67" s="344" t="str">
        <f t="shared" si="102"/>
        <v>Year 6</v>
      </c>
      <c r="CK67" s="344" t="str">
        <f t="shared" si="102"/>
        <v>Year 7</v>
      </c>
      <c r="CL67" s="344" t="str">
        <f t="shared" si="102"/>
        <v>Year 8</v>
      </c>
      <c r="CM67" s="344" t="str">
        <f t="shared" si="102"/>
        <v>Year 9</v>
      </c>
      <c r="CN67" s="344" t="str">
        <f t="shared" si="102"/>
        <v>Year 10</v>
      </c>
      <c r="CO67" s="344" t="str">
        <f t="shared" si="102"/>
        <v> </v>
      </c>
      <c r="CP67" s="344" t="str">
        <f t="shared" si="102"/>
        <v> </v>
      </c>
      <c r="CQ67" s="344" t="str">
        <f t="shared" si="102"/>
        <v> </v>
      </c>
      <c r="CR67" s="344" t="str">
        <f t="shared" si="102"/>
        <v> </v>
      </c>
      <c r="CS67" s="344" t="str">
        <f t="shared" si="102"/>
        <v> </v>
      </c>
    </row>
    <row r="68" spans="2:97">
      <c r="B68" s="110" t="s">
        <v>333</v>
      </c>
      <c r="C68" s="275"/>
      <c r="D68" s="270"/>
      <c r="E68" s="270"/>
      <c r="F68" s="270"/>
      <c r="G68" s="46">
        <v>0.02</v>
      </c>
      <c r="H68" s="46">
        <v>0.02</v>
      </c>
      <c r="I68" s="46">
        <v>0.02</v>
      </c>
      <c r="J68" s="46">
        <v>0.02</v>
      </c>
      <c r="K68" s="46">
        <v>0.02</v>
      </c>
      <c r="L68" s="46">
        <v>0.02</v>
      </c>
      <c r="M68" s="46">
        <v>0.02</v>
      </c>
      <c r="N68" s="46">
        <v>0.02</v>
      </c>
      <c r="O68" s="46">
        <v>0.02</v>
      </c>
      <c r="P68" s="46">
        <v>0.02</v>
      </c>
      <c r="Q68" s="46">
        <v>0.02</v>
      </c>
      <c r="R68" s="46">
        <v>0.02</v>
      </c>
      <c r="S68" s="46">
        <v>0.02</v>
      </c>
      <c r="T68" s="46">
        <v>0.02</v>
      </c>
      <c r="U68" s="250"/>
      <c r="V68" s="250"/>
      <c r="Z68" s="67" t="s">
        <v>236</v>
      </c>
      <c r="AA68" s="260"/>
      <c r="AB68" s="69">
        <f t="shared" si="98"/>
        <v>1.3689</v>
      </c>
      <c r="AC68" s="198"/>
      <c r="AG68" s="165"/>
      <c r="AH68" s="165"/>
      <c r="AI68" s="165"/>
      <c r="AJ68" s="400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381"/>
      <c r="BB68" s="165"/>
      <c r="BC68" s="165"/>
      <c r="BD68" s="165"/>
      <c r="BE68" s="256">
        <f>BG66</f>
        <v>0</v>
      </c>
      <c r="BF68" s="56"/>
      <c r="BG68" s="73">
        <f t="shared" ref="BG68:BG78" si="103">$BG$43</f>
        <v>-25248631.239999998</v>
      </c>
      <c r="BH68" s="71"/>
      <c r="BI68" s="71" t="str">
        <f t="shared" ref="BI68:BV83" si="104">IF(OR(BI$65="",$AU68=""),"",(BI$65&lt;=$AU68)*(-BI$13+BI$24)+(BI$65=$AU68)*BI$33)</f>
        <v/>
      </c>
      <c r="BJ68" s="71" t="str">
        <f t="shared" si="104"/>
        <v/>
      </c>
      <c r="BK68" s="71" t="str">
        <f t="shared" si="104"/>
        <v/>
      </c>
      <c r="BL68" s="71" t="str">
        <f t="shared" si="104"/>
        <v/>
      </c>
      <c r="BM68" s="71" t="str">
        <f t="shared" si="104"/>
        <v/>
      </c>
      <c r="BN68" s="71" t="str">
        <f t="shared" si="104"/>
        <v/>
      </c>
      <c r="BO68" s="71" t="str">
        <f t="shared" si="104"/>
        <v/>
      </c>
      <c r="BP68" s="71" t="str">
        <f t="shared" si="104"/>
        <v/>
      </c>
      <c r="BQ68" s="71" t="str">
        <f t="shared" si="104"/>
        <v/>
      </c>
      <c r="BR68" s="71" t="str">
        <f t="shared" si="104"/>
        <v/>
      </c>
      <c r="BS68" s="71" t="str">
        <f t="shared" si="104"/>
        <v/>
      </c>
      <c r="BT68" s="71" t="str">
        <f t="shared" si="104"/>
        <v/>
      </c>
      <c r="BU68" s="71" t="str">
        <f t="shared" si="104"/>
        <v/>
      </c>
      <c r="BV68" s="71" t="str">
        <f t="shared" si="104"/>
        <v/>
      </c>
      <c r="BW68" s="165"/>
      <c r="BZ68" s="428" t="s">
        <v>305</v>
      </c>
      <c r="CA68" s="251" t="str">
        <f>CA18</f>
        <v> </v>
      </c>
    </row>
    <row r="69" spans="2:97">
      <c r="B69" s="110" t="s">
        <v>334</v>
      </c>
      <c r="C69" s="275"/>
      <c r="D69" s="270"/>
      <c r="E69" s="270"/>
      <c r="F69" s="270"/>
      <c r="G69" s="46">
        <v>0.03</v>
      </c>
      <c r="H69" s="46">
        <v>0.03</v>
      </c>
      <c r="I69" s="46">
        <v>0.03</v>
      </c>
      <c r="J69" s="46">
        <v>0.03</v>
      </c>
      <c r="K69" s="46">
        <v>0.03</v>
      </c>
      <c r="L69" s="46">
        <v>0.03</v>
      </c>
      <c r="M69" s="46">
        <v>0.03</v>
      </c>
      <c r="N69" s="46">
        <v>0.03</v>
      </c>
      <c r="O69" s="46">
        <v>0.03</v>
      </c>
      <c r="P69" s="46">
        <v>0.03</v>
      </c>
      <c r="Q69" s="46">
        <v>0.03</v>
      </c>
      <c r="R69" s="46">
        <v>0.03</v>
      </c>
      <c r="S69" s="46">
        <v>0.03</v>
      </c>
      <c r="T69" s="46">
        <v>0.03</v>
      </c>
      <c r="U69" s="250"/>
      <c r="V69" s="250"/>
      <c r="Z69" s="67" t="s">
        <v>239</v>
      </c>
      <c r="AA69" s="260"/>
      <c r="AB69" s="69">
        <f t="shared" si="98"/>
        <v>0.7</v>
      </c>
      <c r="AC69" s="198"/>
      <c r="AG69" s="165"/>
      <c r="AH69" s="165"/>
      <c r="AI69" s="165"/>
      <c r="AJ69" s="400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381"/>
      <c r="BB69" s="165"/>
      <c r="BC69" s="165"/>
      <c r="BD69" s="165"/>
      <c r="BE69" s="256">
        <f>BH66</f>
        <v>1</v>
      </c>
      <c r="BF69" s="136">
        <f>IF(BE69="","",IRR(BG69:BV69))</f>
        <v>-9.229068062250112E-2</v>
      </c>
      <c r="BG69" s="73">
        <f t="shared" si="103"/>
        <v>-25248631.239999998</v>
      </c>
      <c r="BH69" s="73">
        <f>(BH66&lt;&gt;"") * (BE69&lt;&gt;"") * ((BH66&lt;=BE69)*(-BH14+BH25) + (BH66=BE69)*BH34)</f>
        <v>22918417.878073853</v>
      </c>
      <c r="BI69" s="73"/>
      <c r="BJ69" s="73"/>
      <c r="BK69" s="73"/>
      <c r="BL69" s="73"/>
      <c r="BM69" s="73"/>
      <c r="BN69" s="73"/>
      <c r="BO69" s="73"/>
      <c r="BP69" s="73"/>
      <c r="BQ69" s="73"/>
      <c r="BR69" s="73" t="str">
        <f t="shared" si="104"/>
        <v/>
      </c>
      <c r="BS69" s="73" t="str">
        <f t="shared" si="104"/>
        <v/>
      </c>
      <c r="BT69" s="73" t="str">
        <f t="shared" si="104"/>
        <v/>
      </c>
      <c r="BU69" s="73" t="str">
        <f t="shared" si="104"/>
        <v/>
      </c>
      <c r="BV69" s="73" t="str">
        <f t="shared" si="104"/>
        <v/>
      </c>
      <c r="BW69" s="165"/>
      <c r="BZ69" s="422" t="s">
        <v>306</v>
      </c>
      <c r="CA69" s="216"/>
    </row>
    <row r="70" spans="2:97">
      <c r="B70" s="110" t="s">
        <v>335</v>
      </c>
      <c r="C70" s="275"/>
      <c r="D70" s="270"/>
      <c r="E70" s="270"/>
      <c r="F70" s="270"/>
      <c r="G70" s="46">
        <v>0.02</v>
      </c>
      <c r="H70" s="46">
        <v>0.02</v>
      </c>
      <c r="I70" s="46">
        <v>0.02</v>
      </c>
      <c r="J70" s="46">
        <v>0.02</v>
      </c>
      <c r="K70" s="46">
        <v>0.02</v>
      </c>
      <c r="L70" s="46">
        <v>0.02</v>
      </c>
      <c r="M70" s="46">
        <v>0.02</v>
      </c>
      <c r="N70" s="46">
        <v>0.02</v>
      </c>
      <c r="O70" s="46">
        <v>0.02</v>
      </c>
      <c r="P70" s="46">
        <v>0.02</v>
      </c>
      <c r="Q70" s="46">
        <v>0.02</v>
      </c>
      <c r="R70" s="46">
        <v>0.02</v>
      </c>
      <c r="S70" s="46">
        <v>0.02</v>
      </c>
      <c r="T70" s="46">
        <v>0.02</v>
      </c>
      <c r="U70" s="250"/>
      <c r="V70" s="250"/>
      <c r="Z70" s="67" t="s">
        <v>244</v>
      </c>
      <c r="AA70" s="260"/>
      <c r="AB70" s="69">
        <f t="shared" si="98"/>
        <v>5.0000999999999998</v>
      </c>
      <c r="AC70" s="198"/>
      <c r="AG70" s="165"/>
      <c r="AH70" s="165"/>
      <c r="AI70" s="165"/>
      <c r="AJ70" s="400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381"/>
      <c r="BB70" s="165"/>
      <c r="BC70" s="165"/>
      <c r="BD70" s="165"/>
      <c r="BE70" s="256">
        <f>BI66</f>
        <v>2</v>
      </c>
      <c r="BF70" s="136">
        <f t="shared" ref="BF70:BF83" si="105">IF(BE70="","",IRR(BG70:BV70))</f>
        <v>-2.6656951817265462E-2</v>
      </c>
      <c r="BG70" s="73">
        <f t="shared" si="103"/>
        <v>-25248631.239999998</v>
      </c>
      <c r="BH70" s="73">
        <f t="shared" ref="BH70:BQ78" si="106">(BH$66&lt;&gt;"") * ($BE70&lt;&gt;"") * ((BH$66&lt;=$BE70)*(-BH$14+BH$25) + (BH$66=$BE70)*BH$34)</f>
        <v>1402102.5474400003</v>
      </c>
      <c r="BI70" s="73">
        <f t="shared" si="106"/>
        <v>22555742.882420152</v>
      </c>
      <c r="BJ70" s="73">
        <f>(BJ$66&lt;&gt;"") * ($BE$70&lt;&gt;"") * ((BJ$66&lt;=$BE$70)*(-BJ$14+BJ$25) + (BJ$66=$BE$70)*BJ$34)</f>
        <v>0</v>
      </c>
      <c r="BK70" s="73" t="str">
        <f t="shared" ref="BK70:BQ71" si="107">IF(OR(BK$65="",$AU70=""),"",(BK$65&lt;=$AU70)*(-BK$13+BK$24)+(BK$65=$AU70)*BK$33)</f>
        <v/>
      </c>
      <c r="BL70" s="73" t="str">
        <f t="shared" si="107"/>
        <v/>
      </c>
      <c r="BM70" s="73" t="str">
        <f t="shared" si="107"/>
        <v/>
      </c>
      <c r="BN70" s="73" t="str">
        <f t="shared" si="107"/>
        <v/>
      </c>
      <c r="BO70" s="73" t="str">
        <f t="shared" si="107"/>
        <v/>
      </c>
      <c r="BP70" s="73" t="str">
        <f t="shared" si="107"/>
        <v/>
      </c>
      <c r="BQ70" s="73" t="str">
        <f t="shared" si="107"/>
        <v/>
      </c>
      <c r="BR70" s="73" t="str">
        <f t="shared" si="104"/>
        <v/>
      </c>
      <c r="BS70" s="73" t="str">
        <f t="shared" si="104"/>
        <v/>
      </c>
      <c r="BT70" s="73" t="str">
        <f t="shared" si="104"/>
        <v/>
      </c>
      <c r="BU70" s="73" t="str">
        <f t="shared" si="104"/>
        <v/>
      </c>
      <c r="BV70" s="73" t="str">
        <f t="shared" si="104"/>
        <v/>
      </c>
      <c r="BW70" s="165"/>
      <c r="BZ70" s="422" t="s">
        <v>336</v>
      </c>
      <c r="CA70" s="216"/>
    </row>
    <row r="71" spans="2:97">
      <c r="B71" s="110" t="s">
        <v>337</v>
      </c>
      <c r="C71" s="275"/>
      <c r="D71" s="270"/>
      <c r="E71" s="270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250"/>
      <c r="V71" s="250"/>
      <c r="Z71" s="103" t="s">
        <v>224</v>
      </c>
      <c r="AA71" s="260"/>
      <c r="AB71" s="69">
        <f>SUM(AB63:AB70)</f>
        <v>13.768999999999998</v>
      </c>
      <c r="AC71" s="198"/>
      <c r="AG71" s="165"/>
      <c r="AH71" s="165"/>
      <c r="AI71" s="165"/>
      <c r="AJ71" s="400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381"/>
      <c r="BB71" s="165"/>
      <c r="BC71" s="165"/>
      <c r="BD71" s="165"/>
      <c r="BE71" s="256">
        <f>BJ66</f>
        <v>3</v>
      </c>
      <c r="BF71" s="136">
        <f t="shared" si="105"/>
        <v>-7.2222156427907969E-3</v>
      </c>
      <c r="BG71" s="73">
        <f t="shared" si="103"/>
        <v>-25248631.239999998</v>
      </c>
      <c r="BH71" s="73">
        <f t="shared" si="106"/>
        <v>1402102.5474400003</v>
      </c>
      <c r="BI71" s="73">
        <f t="shared" si="106"/>
        <v>1389202.4474400003</v>
      </c>
      <c r="BJ71" s="73">
        <f t="shared" si="106"/>
        <v>21944427.050458185</v>
      </c>
      <c r="BK71" s="73" t="str">
        <f t="shared" si="107"/>
        <v/>
      </c>
      <c r="BL71" s="73" t="str">
        <f t="shared" si="107"/>
        <v/>
      </c>
      <c r="BM71" s="73" t="str">
        <f t="shared" si="107"/>
        <v/>
      </c>
      <c r="BN71" s="73" t="str">
        <f t="shared" si="107"/>
        <v/>
      </c>
      <c r="BO71" s="73" t="str">
        <f t="shared" si="107"/>
        <v/>
      </c>
      <c r="BP71" s="73" t="str">
        <f t="shared" si="107"/>
        <v/>
      </c>
      <c r="BQ71" s="73" t="str">
        <f t="shared" si="107"/>
        <v/>
      </c>
      <c r="BR71" s="73" t="str">
        <f t="shared" si="104"/>
        <v/>
      </c>
      <c r="BS71" s="73" t="str">
        <f t="shared" si="104"/>
        <v/>
      </c>
      <c r="BT71" s="73" t="str">
        <f t="shared" si="104"/>
        <v/>
      </c>
      <c r="BU71" s="73" t="str">
        <f t="shared" si="104"/>
        <v/>
      </c>
      <c r="BV71" s="73" t="str">
        <f t="shared" si="104"/>
        <v/>
      </c>
      <c r="BW71" s="165"/>
      <c r="BZ71" s="422" t="s">
        <v>311</v>
      </c>
      <c r="CA71" s="216"/>
    </row>
    <row r="72" spans="2:97"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32"/>
      <c r="V72" s="232"/>
      <c r="Z72" s="103"/>
      <c r="AA72" s="260"/>
      <c r="AB72" s="69"/>
      <c r="AC72" s="198"/>
      <c r="AG72" s="165"/>
      <c r="AH72" s="165"/>
      <c r="AI72" s="165"/>
      <c r="AJ72" s="400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381"/>
      <c r="BB72" s="165"/>
      <c r="BC72" s="165"/>
      <c r="BD72" s="165"/>
      <c r="BE72" s="256">
        <f>BK66</f>
        <v>4</v>
      </c>
      <c r="BF72" s="136">
        <f t="shared" si="105"/>
        <v>-1.0918927724065219E-2</v>
      </c>
      <c r="BG72" s="73">
        <f t="shared" si="103"/>
        <v>-25248631.239999998</v>
      </c>
      <c r="BH72" s="73">
        <f t="shared" si="106"/>
        <v>1402102.5474400003</v>
      </c>
      <c r="BI72" s="73">
        <f t="shared" si="106"/>
        <v>1389202.4474400003</v>
      </c>
      <c r="BJ72" s="73">
        <f t="shared" si="106"/>
        <v>1126044.3454400003</v>
      </c>
      <c r="BK72" s="73">
        <f t="shared" si="106"/>
        <v>20334355.649400003</v>
      </c>
      <c r="BL72" s="73">
        <f t="shared" si="106"/>
        <v>0</v>
      </c>
      <c r="BM72" s="73">
        <f t="shared" si="106"/>
        <v>0</v>
      </c>
      <c r="BN72" s="73">
        <f t="shared" si="106"/>
        <v>0</v>
      </c>
      <c r="BO72" s="73">
        <f t="shared" si="106"/>
        <v>0</v>
      </c>
      <c r="BP72" s="73">
        <f t="shared" si="106"/>
        <v>0</v>
      </c>
      <c r="BQ72" s="73">
        <f t="shared" si="106"/>
        <v>0</v>
      </c>
      <c r="BR72" s="73" t="str">
        <f t="shared" si="104"/>
        <v/>
      </c>
      <c r="BS72" s="73" t="str">
        <f t="shared" si="104"/>
        <v/>
      </c>
      <c r="BT72" s="73" t="str">
        <f t="shared" si="104"/>
        <v/>
      </c>
      <c r="BU72" s="73" t="str">
        <f t="shared" si="104"/>
        <v/>
      </c>
      <c r="BV72" s="73" t="str">
        <f t="shared" si="104"/>
        <v/>
      </c>
      <c r="BW72" s="165"/>
      <c r="BZ72" s="422" t="s">
        <v>338</v>
      </c>
      <c r="CA72" s="216"/>
    </row>
    <row r="73" spans="2:97">
      <c r="Z73" s="106" t="s">
        <v>227</v>
      </c>
      <c r="AA73" s="260"/>
      <c r="AB73" s="158">
        <f>AB61-AB71</f>
        <v>-13.768999999999998</v>
      </c>
      <c r="AC73" s="198"/>
      <c r="AG73" s="165"/>
      <c r="AH73" s="165"/>
      <c r="AI73" s="165"/>
      <c r="AJ73" s="400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381"/>
      <c r="BB73" s="165"/>
      <c r="BC73" s="165"/>
      <c r="BD73" s="165"/>
      <c r="BE73" s="256">
        <f>BL66</f>
        <v>5</v>
      </c>
      <c r="BF73" s="136">
        <f t="shared" si="105"/>
        <v>5.9080611360950996E-5</v>
      </c>
      <c r="BG73" s="73">
        <f t="shared" si="103"/>
        <v>-25248631.239999998</v>
      </c>
      <c r="BH73" s="73">
        <f t="shared" si="106"/>
        <v>1402102.5474400003</v>
      </c>
      <c r="BI73" s="73">
        <f t="shared" si="106"/>
        <v>1389202.4474400003</v>
      </c>
      <c r="BJ73" s="73">
        <f t="shared" si="106"/>
        <v>1126044.3454400003</v>
      </c>
      <c r="BK73" s="73">
        <f t="shared" si="106"/>
        <v>-137376.91859999974</v>
      </c>
      <c r="BL73" s="73">
        <f t="shared" si="106"/>
        <v>21475415.663088392</v>
      </c>
      <c r="BM73" s="73">
        <f t="shared" si="106"/>
        <v>0</v>
      </c>
      <c r="BN73" s="73">
        <f t="shared" si="106"/>
        <v>0</v>
      </c>
      <c r="BO73" s="73">
        <f t="shared" si="106"/>
        <v>0</v>
      </c>
      <c r="BP73" s="73">
        <f t="shared" si="106"/>
        <v>0</v>
      </c>
      <c r="BQ73" s="73">
        <f t="shared" si="106"/>
        <v>0</v>
      </c>
      <c r="BR73" s="73" t="str">
        <f t="shared" si="104"/>
        <v/>
      </c>
      <c r="BS73" s="73" t="str">
        <f t="shared" si="104"/>
        <v/>
      </c>
      <c r="BT73" s="73" t="str">
        <f t="shared" si="104"/>
        <v/>
      </c>
      <c r="BU73" s="73" t="str">
        <f t="shared" si="104"/>
        <v/>
      </c>
      <c r="BV73" s="73" t="str">
        <f t="shared" si="104"/>
        <v/>
      </c>
      <c r="BW73" s="165"/>
      <c r="BZ73" s="422" t="str">
        <f>"Distributions to LP "&amp;BZ67</f>
        <v>Distributions to LP Tier 2</v>
      </c>
      <c r="CA73" s="216"/>
    </row>
    <row r="74" spans="2:97"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Z74" s="103"/>
      <c r="AA74" s="260"/>
      <c r="AB74" s="69"/>
      <c r="AC74" s="198"/>
      <c r="AG74" s="165"/>
      <c r="AH74" s="165"/>
      <c r="AI74" s="165"/>
      <c r="AJ74" s="400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381"/>
      <c r="BB74" s="165"/>
      <c r="BC74" s="165"/>
      <c r="BD74" s="165"/>
      <c r="BE74" s="256">
        <f>BM66</f>
        <v>6</v>
      </c>
      <c r="BF74" s="136">
        <f t="shared" si="105"/>
        <v>2.8781106899965048E-2</v>
      </c>
      <c r="BG74" s="73">
        <f t="shared" si="103"/>
        <v>-25248631.239999998</v>
      </c>
      <c r="BH74" s="73">
        <f t="shared" si="106"/>
        <v>1402102.5474400003</v>
      </c>
      <c r="BI74" s="73">
        <f t="shared" si="106"/>
        <v>1389202.4474400003</v>
      </c>
      <c r="BJ74" s="73">
        <f t="shared" si="106"/>
        <v>1126044.3454400003</v>
      </c>
      <c r="BK74" s="73">
        <f t="shared" si="106"/>
        <v>-137376.91859999974</v>
      </c>
      <c r="BL74" s="73">
        <f t="shared" si="106"/>
        <v>1348933.3920792001</v>
      </c>
      <c r="BM74" s="73">
        <f t="shared" si="106"/>
        <v>24294303.332161378</v>
      </c>
      <c r="BN74" s="73">
        <f t="shared" si="106"/>
        <v>0</v>
      </c>
      <c r="BO74" s="73">
        <f t="shared" si="106"/>
        <v>0</v>
      </c>
      <c r="BP74" s="73">
        <f t="shared" si="106"/>
        <v>0</v>
      </c>
      <c r="BQ74" s="73">
        <f t="shared" si="106"/>
        <v>0</v>
      </c>
      <c r="BR74" s="73" t="str">
        <f t="shared" si="104"/>
        <v/>
      </c>
      <c r="BS74" s="73" t="str">
        <f t="shared" si="104"/>
        <v/>
      </c>
      <c r="BT74" s="73" t="str">
        <f t="shared" si="104"/>
        <v/>
      </c>
      <c r="BU74" s="73" t="str">
        <f t="shared" si="104"/>
        <v/>
      </c>
      <c r="BV74" s="73" t="str">
        <f t="shared" si="104"/>
        <v/>
      </c>
      <c r="BW74" s="165"/>
      <c r="BZ74" s="422" t="s">
        <v>314</v>
      </c>
      <c r="CA74" s="216"/>
    </row>
    <row r="75" spans="2:97"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232"/>
      <c r="V75" s="232"/>
      <c r="Z75" s="67" t="s">
        <v>263</v>
      </c>
      <c r="AA75" s="260"/>
      <c r="AB75" s="159">
        <f>E59/$D$16</f>
        <v>0</v>
      </c>
      <c r="AC75" s="198"/>
      <c r="AG75" s="165"/>
      <c r="AH75" s="165"/>
      <c r="AI75" s="165"/>
      <c r="AJ75" s="400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381"/>
      <c r="BB75" s="165"/>
      <c r="BC75" s="165"/>
      <c r="BD75" s="165"/>
      <c r="BE75" s="256">
        <f>BN66</f>
        <v>7</v>
      </c>
      <c r="BF75" s="136">
        <f t="shared" si="105"/>
        <v>3.1518208491069677E-2</v>
      </c>
      <c r="BG75" s="73">
        <f t="shared" si="103"/>
        <v>-25248631.239999998</v>
      </c>
      <c r="BH75" s="73">
        <f t="shared" si="106"/>
        <v>1402102.5474400003</v>
      </c>
      <c r="BI75" s="73">
        <f t="shared" si="106"/>
        <v>1389202.4474400003</v>
      </c>
      <c r="BJ75" s="73">
        <f t="shared" si="106"/>
        <v>1126044.3454400003</v>
      </c>
      <c r="BK75" s="73">
        <f t="shared" si="106"/>
        <v>-137376.91859999974</v>
      </c>
      <c r="BL75" s="73">
        <f t="shared" si="106"/>
        <v>1348933.3920792001</v>
      </c>
      <c r="BM75" s="73">
        <f t="shared" si="106"/>
        <v>1539680.663715984</v>
      </c>
      <c r="BN75" s="73">
        <f t="shared" si="106"/>
        <v>23915439.852118079</v>
      </c>
      <c r="BO75" s="73">
        <f t="shared" si="106"/>
        <v>0</v>
      </c>
      <c r="BP75" s="73">
        <f t="shared" si="106"/>
        <v>0</v>
      </c>
      <c r="BQ75" s="73">
        <f t="shared" si="106"/>
        <v>0</v>
      </c>
      <c r="BR75" s="73" t="str">
        <f t="shared" si="104"/>
        <v/>
      </c>
      <c r="BS75" s="73" t="str">
        <f t="shared" si="104"/>
        <v/>
      </c>
      <c r="BT75" s="73" t="str">
        <f t="shared" si="104"/>
        <v/>
      </c>
      <c r="BU75" s="73" t="str">
        <f t="shared" si="104"/>
        <v/>
      </c>
      <c r="BV75" s="73" t="str">
        <f t="shared" si="104"/>
        <v/>
      </c>
      <c r="BW75" s="165"/>
      <c r="BZ75" s="429" t="str">
        <f>CA68</f>
        <v> </v>
      </c>
      <c r="CA75" s="216"/>
    </row>
    <row r="76" spans="2:97"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Z76" s="67" t="s">
        <v>269</v>
      </c>
      <c r="AA76" s="260"/>
      <c r="AB76" s="159">
        <f>E60/$D$16</f>
        <v>0</v>
      </c>
      <c r="AC76" s="198"/>
      <c r="AG76" s="165"/>
      <c r="AH76" s="165"/>
      <c r="AI76" s="165"/>
      <c r="AJ76" s="400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381"/>
      <c r="BB76" s="165"/>
      <c r="BC76" s="165"/>
      <c r="BD76" s="165"/>
      <c r="BE76" s="256">
        <f>BO66</f>
        <v>8</v>
      </c>
      <c r="BF76" s="136">
        <f t="shared" si="105"/>
        <v>3.3562125267650789E-2</v>
      </c>
      <c r="BG76" s="73">
        <f t="shared" si="103"/>
        <v>-25248631.239999998</v>
      </c>
      <c r="BH76" s="73">
        <f t="shared" si="106"/>
        <v>1402102.5474400003</v>
      </c>
      <c r="BI76" s="73">
        <f t="shared" si="106"/>
        <v>1389202.4474400003</v>
      </c>
      <c r="BJ76" s="73">
        <f t="shared" si="106"/>
        <v>1126044.3454400003</v>
      </c>
      <c r="BK76" s="73">
        <f t="shared" si="106"/>
        <v>-137376.91859999974</v>
      </c>
      <c r="BL76" s="73">
        <f t="shared" si="106"/>
        <v>1348933.3920792001</v>
      </c>
      <c r="BM76" s="73">
        <f t="shared" si="106"/>
        <v>1539680.663715984</v>
      </c>
      <c r="BN76" s="73">
        <f t="shared" si="106"/>
        <v>1525437.9109466237</v>
      </c>
      <c r="BO76" s="73">
        <f t="shared" si="106"/>
        <v>23537697.104827654</v>
      </c>
      <c r="BP76" s="73">
        <f t="shared" si="106"/>
        <v>0</v>
      </c>
      <c r="BQ76" s="73">
        <f t="shared" si="106"/>
        <v>0</v>
      </c>
      <c r="BR76" s="73" t="str">
        <f t="shared" si="104"/>
        <v/>
      </c>
      <c r="BS76" s="73" t="str">
        <f t="shared" si="104"/>
        <v/>
      </c>
      <c r="BT76" s="73" t="str">
        <f t="shared" si="104"/>
        <v/>
      </c>
      <c r="BU76" s="73" t="str">
        <f t="shared" si="104"/>
        <v/>
      </c>
      <c r="BV76" s="73" t="str">
        <f t="shared" si="104"/>
        <v/>
      </c>
      <c r="BW76" s="165"/>
      <c r="BZ76" s="430" t="s">
        <v>158</v>
      </c>
      <c r="CA76" s="252" t="s">
        <v>158</v>
      </c>
    </row>
    <row r="77" spans="2:97"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Z77" s="67" t="s">
        <v>272</v>
      </c>
      <c r="AA77" s="260"/>
      <c r="AB77" s="115">
        <f>E61/$D$16</f>
        <v>0.5</v>
      </c>
      <c r="AC77" s="198"/>
      <c r="AG77" s="165"/>
      <c r="AH77" s="165"/>
      <c r="AI77" s="165"/>
      <c r="AJ77" s="400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381"/>
      <c r="BB77" s="165"/>
      <c r="BC77" s="165"/>
      <c r="BD77" s="165"/>
      <c r="BE77" s="256">
        <f>BP66</f>
        <v>9</v>
      </c>
      <c r="BF77" s="136">
        <f t="shared" si="105"/>
        <v>3.5149172260572792E-2</v>
      </c>
      <c r="BG77" s="73">
        <f t="shared" si="103"/>
        <v>-25248631.239999998</v>
      </c>
      <c r="BH77" s="73">
        <f t="shared" si="106"/>
        <v>1402102.5474400003</v>
      </c>
      <c r="BI77" s="73">
        <f t="shared" si="106"/>
        <v>1389202.4474400003</v>
      </c>
      <c r="BJ77" s="73">
        <f t="shared" si="106"/>
        <v>1126044.3454400003</v>
      </c>
      <c r="BK77" s="73">
        <f t="shared" si="106"/>
        <v>-137376.91859999974</v>
      </c>
      <c r="BL77" s="73">
        <f t="shared" si="106"/>
        <v>1348933.3920792001</v>
      </c>
      <c r="BM77" s="73">
        <f t="shared" si="106"/>
        <v>1539680.663715984</v>
      </c>
      <c r="BN77" s="73">
        <f t="shared" si="106"/>
        <v>1525437.9109466237</v>
      </c>
      <c r="BO77" s="73">
        <f t="shared" si="106"/>
        <v>1510910.303121876</v>
      </c>
      <c r="BP77" s="73">
        <f t="shared" si="106"/>
        <v>23160961.05781275</v>
      </c>
      <c r="BQ77" s="73">
        <f t="shared" si="106"/>
        <v>0</v>
      </c>
      <c r="BR77" s="73" t="str">
        <f t="shared" si="104"/>
        <v/>
      </c>
      <c r="BS77" s="73" t="str">
        <f t="shared" si="104"/>
        <v/>
      </c>
      <c r="BT77" s="73" t="str">
        <f t="shared" si="104"/>
        <v/>
      </c>
      <c r="BU77" s="73" t="str">
        <f t="shared" si="104"/>
        <v/>
      </c>
      <c r="BV77" s="73" t="str">
        <f t="shared" si="104"/>
        <v/>
      </c>
      <c r="BW77" s="165"/>
      <c r="BZ77" s="422" t="s">
        <v>315</v>
      </c>
      <c r="CA77" s="216"/>
    </row>
    <row r="78" spans="2:97">
      <c r="U78" s="164"/>
      <c r="V78" s="164"/>
      <c r="Z78" s="67" t="s">
        <v>276</v>
      </c>
      <c r="AA78" s="260"/>
      <c r="AB78" s="159">
        <f>E62/$D$16</f>
        <v>0</v>
      </c>
      <c r="AC78" s="198"/>
      <c r="AG78" s="165"/>
      <c r="AH78" s="165"/>
      <c r="AI78" s="165"/>
      <c r="AJ78" s="400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381"/>
      <c r="BB78" s="165"/>
      <c r="BC78" s="165"/>
      <c r="BD78" s="165"/>
      <c r="BE78" s="256">
        <f>BQ66</f>
        <v>10</v>
      </c>
      <c r="BF78" s="136">
        <f t="shared" si="105"/>
        <v>3.6418443341966977E-2</v>
      </c>
      <c r="BG78" s="73">
        <f t="shared" si="103"/>
        <v>-25248631.239999998</v>
      </c>
      <c r="BH78" s="73">
        <f t="shared" si="106"/>
        <v>1402102.5474400003</v>
      </c>
      <c r="BI78" s="73">
        <f t="shared" si="106"/>
        <v>1389202.4474400003</v>
      </c>
      <c r="BJ78" s="73">
        <f t="shared" si="106"/>
        <v>1126044.3454400003</v>
      </c>
      <c r="BK78" s="73">
        <f t="shared" si="106"/>
        <v>-137376.91859999974</v>
      </c>
      <c r="BL78" s="73">
        <f t="shared" si="106"/>
        <v>1348933.3920792001</v>
      </c>
      <c r="BM78" s="73">
        <f t="shared" si="106"/>
        <v>1539680.663715984</v>
      </c>
      <c r="BN78" s="73">
        <f t="shared" si="106"/>
        <v>1525437.9109466237</v>
      </c>
      <c r="BO78" s="73">
        <f t="shared" si="106"/>
        <v>1510910.303121876</v>
      </c>
      <c r="BP78" s="73">
        <f t="shared" si="106"/>
        <v>1496092.1431406336</v>
      </c>
      <c r="BQ78" s="137">
        <f t="shared" si="106"/>
        <v>22785119.137827646</v>
      </c>
      <c r="BR78" s="73" t="str">
        <f t="shared" si="104"/>
        <v/>
      </c>
      <c r="BS78" s="73" t="str">
        <f t="shared" si="104"/>
        <v/>
      </c>
      <c r="BT78" s="73" t="str">
        <f t="shared" si="104"/>
        <v/>
      </c>
      <c r="BU78" s="73" t="str">
        <f t="shared" si="104"/>
        <v/>
      </c>
      <c r="BV78" s="73" t="str">
        <f t="shared" si="104"/>
        <v/>
      </c>
      <c r="BW78" s="165"/>
      <c r="BZ78" s="422" t="s">
        <v>321</v>
      </c>
      <c r="CA78" s="216"/>
    </row>
    <row r="79" spans="2:97">
      <c r="Z79" s="103" t="s">
        <v>233</v>
      </c>
      <c r="AA79" s="260"/>
      <c r="AB79" s="69">
        <f>SUM(AB75:AB78)</f>
        <v>0.5</v>
      </c>
      <c r="AC79" s="198"/>
      <c r="AG79" s="165"/>
      <c r="AH79" s="165"/>
      <c r="AI79" s="165"/>
      <c r="AJ79" s="400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381"/>
      <c r="BB79" s="165"/>
      <c r="BC79" s="165"/>
      <c r="BD79" s="165"/>
      <c r="BE79" s="256" t="str">
        <f>BR66</f>
        <v/>
      </c>
      <c r="BF79" s="136" t="str">
        <f t="shared" si="105"/>
        <v/>
      </c>
      <c r="BG79" s="73" t="str">
        <f t="shared" ref="BG79:BQ83" si="108">IF(OR(BG$65="",$AU79=""),"",(BG$65&lt;=$AU79)*(-BG$13+BG$24)+(BG$65=$AU79)*BG$33)</f>
        <v/>
      </c>
      <c r="BH79" s="73" t="str">
        <f t="shared" si="108"/>
        <v/>
      </c>
      <c r="BI79" s="73" t="str">
        <f t="shared" si="108"/>
        <v/>
      </c>
      <c r="BJ79" s="73" t="str">
        <f t="shared" si="108"/>
        <v/>
      </c>
      <c r="BK79" s="73" t="str">
        <f t="shared" si="108"/>
        <v/>
      </c>
      <c r="BL79" s="73" t="str">
        <f t="shared" si="108"/>
        <v/>
      </c>
      <c r="BM79" s="73" t="str">
        <f t="shared" si="108"/>
        <v/>
      </c>
      <c r="BN79" s="73" t="str">
        <f t="shared" si="108"/>
        <v/>
      </c>
      <c r="BO79" s="73" t="str">
        <f t="shared" si="108"/>
        <v/>
      </c>
      <c r="BP79" s="73" t="str">
        <f t="shared" si="108"/>
        <v/>
      </c>
      <c r="BQ79" s="73" t="str">
        <f t="shared" si="108"/>
        <v/>
      </c>
      <c r="BR79" s="73" t="str">
        <f t="shared" si="104"/>
        <v/>
      </c>
      <c r="BS79" s="73" t="str">
        <f t="shared" si="104"/>
        <v/>
      </c>
      <c r="BT79" s="73" t="str">
        <f t="shared" si="104"/>
        <v/>
      </c>
      <c r="BU79" s="73" t="str">
        <f t="shared" si="104"/>
        <v/>
      </c>
      <c r="BV79" s="73" t="str">
        <f t="shared" si="104"/>
        <v/>
      </c>
      <c r="BW79" s="165"/>
      <c r="BZ79" s="422" t="str">
        <f>"Total Distributions ("&amp;BZ67&amp;")"</f>
        <v>Total Distributions (Tier 2)</v>
      </c>
      <c r="CA79" s="216"/>
    </row>
    <row r="80" spans="2:97" ht="15.75">
      <c r="B80" s="172"/>
      <c r="C80" s="173" t="s">
        <v>1</v>
      </c>
      <c r="D80" s="176"/>
      <c r="E80" s="173" t="s">
        <v>1</v>
      </c>
      <c r="G80" s="332"/>
      <c r="H80" s="332"/>
      <c r="I80" s="332"/>
      <c r="J80" s="332" t="s">
        <v>1</v>
      </c>
      <c r="K80" s="332" t="s">
        <v>1</v>
      </c>
      <c r="L80" s="332" t="s">
        <v>1</v>
      </c>
      <c r="M80" s="332" t="s">
        <v>1</v>
      </c>
      <c r="N80" s="332" t="s">
        <v>1</v>
      </c>
      <c r="O80" s="332" t="s">
        <v>1</v>
      </c>
      <c r="P80" s="173" t="s">
        <v>1</v>
      </c>
      <c r="Z80" s="103"/>
      <c r="AA80" s="260"/>
      <c r="AB80" s="69"/>
      <c r="AC80" s="198"/>
      <c r="AG80" s="165"/>
      <c r="AH80" s="165"/>
      <c r="AI80" s="165"/>
      <c r="AJ80" s="400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381"/>
      <c r="BB80" s="165"/>
      <c r="BC80" s="165"/>
      <c r="BD80" s="165"/>
      <c r="BE80" s="256" t="str">
        <f>BS66</f>
        <v/>
      </c>
      <c r="BF80" s="136" t="str">
        <f t="shared" si="105"/>
        <v/>
      </c>
      <c r="BG80" s="73" t="str">
        <f t="shared" si="108"/>
        <v/>
      </c>
      <c r="BH80" s="73" t="str">
        <f t="shared" si="108"/>
        <v/>
      </c>
      <c r="BI80" s="73" t="str">
        <f t="shared" si="108"/>
        <v/>
      </c>
      <c r="BJ80" s="73" t="str">
        <f t="shared" si="108"/>
        <v/>
      </c>
      <c r="BK80" s="73" t="str">
        <f t="shared" si="108"/>
        <v/>
      </c>
      <c r="BL80" s="73" t="str">
        <f t="shared" si="108"/>
        <v/>
      </c>
      <c r="BM80" s="73" t="str">
        <f t="shared" si="108"/>
        <v/>
      </c>
      <c r="BN80" s="73" t="str">
        <f t="shared" si="108"/>
        <v/>
      </c>
      <c r="BO80" s="73" t="str">
        <f t="shared" si="108"/>
        <v/>
      </c>
      <c r="BP80" s="73" t="str">
        <f t="shared" si="108"/>
        <v/>
      </c>
      <c r="BQ80" s="73" t="str">
        <f t="shared" si="108"/>
        <v/>
      </c>
      <c r="BR80" s="73" t="str">
        <f t="shared" si="104"/>
        <v/>
      </c>
      <c r="BS80" s="73" t="str">
        <f t="shared" si="104"/>
        <v/>
      </c>
      <c r="BT80" s="73" t="str">
        <f t="shared" si="104"/>
        <v/>
      </c>
      <c r="BU80" s="73" t="str">
        <f t="shared" si="104"/>
        <v/>
      </c>
      <c r="BV80" s="73" t="str">
        <f t="shared" si="104"/>
        <v/>
      </c>
      <c r="BW80" s="165"/>
      <c r="BZ80" s="422" t="s">
        <v>328</v>
      </c>
      <c r="CA80" s="216"/>
    </row>
    <row r="81" spans="2:97" ht="15.75">
      <c r="B81" s="333"/>
      <c r="C81" s="332" t="s">
        <v>1</v>
      </c>
      <c r="D81" s="178"/>
      <c r="E81" s="332" t="s">
        <v>7</v>
      </c>
      <c r="F81" s="332"/>
      <c r="G81" s="332"/>
      <c r="H81" s="332"/>
      <c r="I81" s="332"/>
      <c r="J81" s="332" t="s">
        <v>1</v>
      </c>
      <c r="K81" s="332" t="s">
        <v>1</v>
      </c>
      <c r="L81" s="332" t="s">
        <v>1</v>
      </c>
      <c r="M81" s="332" t="s">
        <v>1</v>
      </c>
      <c r="N81" s="332" t="s">
        <v>1</v>
      </c>
      <c r="O81" s="332" t="s">
        <v>1</v>
      </c>
      <c r="P81" s="332" t="s">
        <v>1</v>
      </c>
      <c r="Z81" s="106" t="s">
        <v>237</v>
      </c>
      <c r="AA81" s="260"/>
      <c r="AB81" s="158">
        <f>AB73-AB79</f>
        <v>-14.268999999999998</v>
      </c>
      <c r="AC81" s="198"/>
      <c r="AG81" s="165"/>
      <c r="AH81" s="165"/>
      <c r="AI81" s="165"/>
      <c r="AJ81" s="400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381"/>
      <c r="BB81" s="165"/>
      <c r="BC81" s="165"/>
      <c r="BD81" s="165"/>
      <c r="BE81" s="256" t="str">
        <f>BT66</f>
        <v/>
      </c>
      <c r="BF81" s="136" t="str">
        <f t="shared" si="105"/>
        <v/>
      </c>
      <c r="BG81" s="73" t="str">
        <f t="shared" si="108"/>
        <v/>
      </c>
      <c r="BH81" s="73" t="str">
        <f t="shared" si="108"/>
        <v/>
      </c>
      <c r="BI81" s="73" t="str">
        <f t="shared" si="108"/>
        <v/>
      </c>
      <c r="BJ81" s="73" t="str">
        <f t="shared" si="108"/>
        <v/>
      </c>
      <c r="BK81" s="73" t="str">
        <f t="shared" si="108"/>
        <v/>
      </c>
      <c r="BL81" s="73" t="str">
        <f t="shared" si="108"/>
        <v/>
      </c>
      <c r="BM81" s="73" t="str">
        <f t="shared" si="108"/>
        <v/>
      </c>
      <c r="BN81" s="73" t="str">
        <f t="shared" si="108"/>
        <v/>
      </c>
      <c r="BO81" s="73" t="str">
        <f t="shared" si="108"/>
        <v/>
      </c>
      <c r="BP81" s="73" t="str">
        <f t="shared" si="108"/>
        <v/>
      </c>
      <c r="BQ81" s="73" t="str">
        <f t="shared" si="108"/>
        <v/>
      </c>
      <c r="BR81" s="73" t="str">
        <f t="shared" si="104"/>
        <v/>
      </c>
      <c r="BS81" s="73" t="str">
        <f t="shared" si="104"/>
        <v/>
      </c>
      <c r="BT81" s="73" t="str">
        <f t="shared" si="104"/>
        <v/>
      </c>
      <c r="BU81" s="73" t="str">
        <f t="shared" si="104"/>
        <v/>
      </c>
      <c r="BV81" s="73" t="str">
        <f t="shared" si="104"/>
        <v/>
      </c>
      <c r="BW81" s="165"/>
      <c r="BZ81" s="422"/>
      <c r="CA81" s="216"/>
    </row>
    <row r="82" spans="2:97" ht="15.75">
      <c r="Z82" s="260"/>
      <c r="AA82" s="260"/>
      <c r="AB82" s="260"/>
      <c r="AC82" s="198"/>
      <c r="AG82" s="165"/>
      <c r="AH82" s="165"/>
      <c r="AI82" s="165"/>
      <c r="AJ82" s="400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381"/>
      <c r="BB82" s="165"/>
      <c r="BC82" s="165"/>
      <c r="BD82" s="165"/>
      <c r="BE82" s="256" t="str">
        <f>BU66</f>
        <v/>
      </c>
      <c r="BF82" s="136" t="str">
        <f t="shared" si="105"/>
        <v/>
      </c>
      <c r="BG82" s="73" t="str">
        <f t="shared" si="108"/>
        <v/>
      </c>
      <c r="BH82" s="73" t="str">
        <f t="shared" si="108"/>
        <v/>
      </c>
      <c r="BI82" s="73" t="str">
        <f t="shared" si="108"/>
        <v/>
      </c>
      <c r="BJ82" s="73" t="str">
        <f t="shared" si="108"/>
        <v/>
      </c>
      <c r="BK82" s="73" t="str">
        <f t="shared" si="108"/>
        <v/>
      </c>
      <c r="BL82" s="73" t="str">
        <f t="shared" si="108"/>
        <v/>
      </c>
      <c r="BM82" s="73" t="str">
        <f t="shared" si="108"/>
        <v/>
      </c>
      <c r="BN82" s="73" t="str">
        <f t="shared" si="108"/>
        <v/>
      </c>
      <c r="BO82" s="73" t="str">
        <f t="shared" si="108"/>
        <v/>
      </c>
      <c r="BP82" s="73" t="str">
        <f t="shared" si="108"/>
        <v/>
      </c>
      <c r="BQ82" s="73" t="str">
        <f t="shared" si="108"/>
        <v/>
      </c>
      <c r="BR82" s="73" t="str">
        <f t="shared" si="104"/>
        <v/>
      </c>
      <c r="BS82" s="73" t="str">
        <f t="shared" si="104"/>
        <v/>
      </c>
      <c r="BT82" s="73" t="str">
        <f t="shared" si="104"/>
        <v/>
      </c>
      <c r="BU82" s="73" t="str">
        <f t="shared" si="104"/>
        <v/>
      </c>
      <c r="BV82" s="73" t="str">
        <f t="shared" si="104"/>
        <v/>
      </c>
      <c r="BW82" s="165"/>
      <c r="BZ82" s="431" t="s">
        <v>339</v>
      </c>
      <c r="CA82" s="240"/>
      <c r="CB82" s="240"/>
      <c r="CC82" s="240"/>
      <c r="CD82" s="344" t="str">
        <f t="shared" ref="CD82:CN82" si="109">CD67</f>
        <v>Year 0</v>
      </c>
      <c r="CE82" s="344" t="str">
        <f t="shared" si="109"/>
        <v>Year 1</v>
      </c>
      <c r="CF82" s="344" t="str">
        <f t="shared" si="109"/>
        <v>Year 2</v>
      </c>
      <c r="CG82" s="344" t="str">
        <f t="shared" si="109"/>
        <v>Year 3</v>
      </c>
      <c r="CH82" s="344" t="str">
        <f t="shared" si="109"/>
        <v>Year 4</v>
      </c>
      <c r="CI82" s="344" t="str">
        <f t="shared" si="109"/>
        <v>Year 5</v>
      </c>
      <c r="CJ82" s="344" t="str">
        <f t="shared" si="109"/>
        <v>Year 6</v>
      </c>
      <c r="CK82" s="344" t="str">
        <f t="shared" si="109"/>
        <v>Year 7</v>
      </c>
      <c r="CL82" s="344" t="str">
        <f t="shared" si="109"/>
        <v>Year 8</v>
      </c>
      <c r="CM82" s="344" t="str">
        <f t="shared" si="109"/>
        <v>Year 9</v>
      </c>
      <c r="CN82" s="344" t="str">
        <f t="shared" si="109"/>
        <v>Year 10</v>
      </c>
      <c r="CO82" s="200" t="s">
        <v>1</v>
      </c>
      <c r="CP82" s="242" t="str">
        <f>CP$20</f>
        <v> </v>
      </c>
      <c r="CQ82" s="242" t="str">
        <f>CQ$20</f>
        <v> </v>
      </c>
      <c r="CR82" s="242" t="str">
        <f>CR$20</f>
        <v> </v>
      </c>
      <c r="CS82" s="242" t="str">
        <f>CS$20</f>
        <v> </v>
      </c>
    </row>
    <row r="83" spans="2:97"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Z83" s="253"/>
      <c r="AA83" s="253"/>
      <c r="AB83" s="253"/>
      <c r="AG83" s="165"/>
      <c r="AH83" s="165"/>
      <c r="AI83" s="165"/>
      <c r="AJ83" s="400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381"/>
      <c r="BB83" s="165"/>
      <c r="BC83" s="165"/>
      <c r="BD83" s="165"/>
      <c r="BE83" s="256" t="str">
        <f>BV66</f>
        <v/>
      </c>
      <c r="BF83" s="136" t="str">
        <f t="shared" si="105"/>
        <v/>
      </c>
      <c r="BG83" s="73" t="str">
        <f t="shared" si="108"/>
        <v/>
      </c>
      <c r="BH83" s="73" t="str">
        <f t="shared" si="108"/>
        <v/>
      </c>
      <c r="BI83" s="73" t="str">
        <f t="shared" si="108"/>
        <v/>
      </c>
      <c r="BJ83" s="73" t="str">
        <f t="shared" si="108"/>
        <v/>
      </c>
      <c r="BK83" s="73" t="str">
        <f t="shared" si="108"/>
        <v/>
      </c>
      <c r="BL83" s="73" t="str">
        <f t="shared" si="108"/>
        <v/>
      </c>
      <c r="BM83" s="73" t="str">
        <f t="shared" si="108"/>
        <v/>
      </c>
      <c r="BN83" s="73" t="str">
        <f t="shared" si="108"/>
        <v/>
      </c>
      <c r="BO83" s="73" t="str">
        <f t="shared" si="108"/>
        <v/>
      </c>
      <c r="BP83" s="73" t="str">
        <f t="shared" si="108"/>
        <v/>
      </c>
      <c r="BQ83" s="73" t="str">
        <f t="shared" si="108"/>
        <v/>
      </c>
      <c r="BR83" s="73" t="str">
        <f>IF(OR(BR$65="",$AU83=""),"",(BR$65&lt;=$AU83)*(-BR$13+BR$24)+(BR$65=$AU83)*BR$33)</f>
        <v/>
      </c>
      <c r="BS83" s="73" t="str">
        <f>IF(OR(BS$65="",$AU83=""),"",(BS$65&lt;=$AU83)*(-BS$13+BS$24)+(BS$65=$AU83)*BS$33)</f>
        <v/>
      </c>
      <c r="BT83" s="73" t="str">
        <f>IF(OR(BT$65="",$AU83=""),"",(BT$65&lt;=$AU83)*(-BT$13+BT$24)+(BT$65=$AU83)*BT$33)</f>
        <v/>
      </c>
      <c r="BU83" s="73" t="str">
        <f>IF(OR(BU$65="",$AU83=""),"",(BU$65&lt;=$AU83)*(-BU$13+BU$24)+(BU$65=$AU83)*BU$33)</f>
        <v/>
      </c>
      <c r="BV83" s="73" t="str">
        <f t="shared" si="104"/>
        <v/>
      </c>
      <c r="BW83" s="165"/>
      <c r="BZ83" s="428" t="s">
        <v>305</v>
      </c>
      <c r="CA83" s="251" t="str">
        <f>CA19</f>
        <v> </v>
      </c>
    </row>
    <row r="84" spans="2:97">
      <c r="B84" s="334" t="s">
        <v>340</v>
      </c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Z84" s="253"/>
      <c r="AA84" s="253"/>
      <c r="AB84" s="253"/>
      <c r="AG84" s="165"/>
      <c r="AH84" s="165"/>
      <c r="AI84" s="165"/>
      <c r="AJ84" s="400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381"/>
      <c r="BB84" s="165"/>
      <c r="BC84" s="165"/>
      <c r="BD84" s="165"/>
      <c r="BE84" s="254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65"/>
      <c r="BZ84" s="422" t="s">
        <v>306</v>
      </c>
      <c r="CA84" s="216"/>
    </row>
    <row r="85" spans="2:97"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164"/>
      <c r="V85" s="164"/>
      <c r="Z85" s="253"/>
      <c r="AA85" s="253"/>
      <c r="AB85" s="253"/>
      <c r="AG85" s="165"/>
      <c r="AH85" s="165"/>
      <c r="AI85" s="165"/>
      <c r="AJ85" s="400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381"/>
      <c r="BB85" s="165"/>
      <c r="BC85" s="165"/>
      <c r="BD85" s="165"/>
      <c r="BE85" s="268" t="s">
        <v>341</v>
      </c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165"/>
      <c r="BZ85" s="422" t="s">
        <v>342</v>
      </c>
      <c r="CA85" s="216"/>
    </row>
    <row r="86" spans="2:97">
      <c r="B86" s="334" t="s">
        <v>343</v>
      </c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225"/>
      <c r="P86" s="225"/>
      <c r="Q86" s="225"/>
      <c r="R86" s="225"/>
      <c r="S86" s="225"/>
      <c r="T86" s="225"/>
      <c r="U86" s="164"/>
      <c r="V86" s="164"/>
      <c r="AG86" s="165"/>
      <c r="AH86" s="165"/>
      <c r="AI86" s="165"/>
      <c r="AJ86" s="400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381"/>
      <c r="BB86" s="165"/>
      <c r="BC86" s="165"/>
      <c r="BD86" s="165"/>
      <c r="BE86" s="66" t="s">
        <v>330</v>
      </c>
      <c r="BF86" s="59"/>
      <c r="BG86" s="65">
        <f t="shared" ref="BG86:BV86" si="110">IF(BG$42="","",BG$7)</f>
        <v>0</v>
      </c>
      <c r="BH86" s="65">
        <f t="shared" ref="BH86:BQ86" si="111">BH8</f>
        <v>1</v>
      </c>
      <c r="BI86" s="65">
        <f t="shared" si="111"/>
        <v>2</v>
      </c>
      <c r="BJ86" s="65">
        <f t="shared" si="111"/>
        <v>3</v>
      </c>
      <c r="BK86" s="65">
        <f t="shared" si="111"/>
        <v>4</v>
      </c>
      <c r="BL86" s="65">
        <f t="shared" si="111"/>
        <v>5</v>
      </c>
      <c r="BM86" s="65">
        <f t="shared" si="111"/>
        <v>6</v>
      </c>
      <c r="BN86" s="65">
        <f t="shared" si="111"/>
        <v>7</v>
      </c>
      <c r="BO86" s="65">
        <f t="shared" si="111"/>
        <v>8</v>
      </c>
      <c r="BP86" s="65">
        <f t="shared" si="111"/>
        <v>9</v>
      </c>
      <c r="BQ86" s="65">
        <f t="shared" si="111"/>
        <v>10</v>
      </c>
      <c r="BR86" s="65" t="str">
        <f t="shared" si="110"/>
        <v/>
      </c>
      <c r="BS86" s="65" t="str">
        <f t="shared" si="110"/>
        <v/>
      </c>
      <c r="BT86" s="65" t="str">
        <f t="shared" si="110"/>
        <v/>
      </c>
      <c r="BU86" s="65" t="str">
        <f t="shared" si="110"/>
        <v/>
      </c>
      <c r="BV86" s="65" t="str">
        <f t="shared" si="110"/>
        <v/>
      </c>
      <c r="BW86" s="165"/>
      <c r="BZ86" s="422" t="s">
        <v>311</v>
      </c>
      <c r="CA86" s="216"/>
    </row>
    <row r="87" spans="2:97" ht="33">
      <c r="B87" s="342" t="s">
        <v>344</v>
      </c>
      <c r="C87" s="343" t="s">
        <v>345</v>
      </c>
      <c r="D87" s="342" t="s">
        <v>346</v>
      </c>
      <c r="E87" s="342" t="s">
        <v>88</v>
      </c>
      <c r="F87" s="55" t="s">
        <v>347</v>
      </c>
      <c r="G87" s="342" t="s">
        <v>348</v>
      </c>
      <c r="H87" s="55" t="s">
        <v>349</v>
      </c>
      <c r="I87" s="342" t="s">
        <v>350</v>
      </c>
      <c r="J87" s="342" t="s">
        <v>351</v>
      </c>
      <c r="K87" s="342" t="s">
        <v>352</v>
      </c>
      <c r="L87" s="342" t="s">
        <v>353</v>
      </c>
      <c r="M87" s="342" t="s">
        <v>354</v>
      </c>
      <c r="N87" s="342" t="s">
        <v>355</v>
      </c>
      <c r="O87" s="342" t="s">
        <v>356</v>
      </c>
      <c r="P87" s="342" t="s">
        <v>357</v>
      </c>
      <c r="Q87" s="342" t="s">
        <v>358</v>
      </c>
      <c r="R87" s="343" t="s">
        <v>359</v>
      </c>
      <c r="S87" s="225"/>
      <c r="T87" s="225"/>
      <c r="U87" s="164"/>
      <c r="V87" s="164"/>
      <c r="AG87" s="165"/>
      <c r="AH87" s="165"/>
      <c r="AI87" s="165"/>
      <c r="AJ87" s="400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381"/>
      <c r="BB87" s="165"/>
      <c r="BC87" s="165"/>
      <c r="BD87" s="165"/>
      <c r="BE87" s="103" t="s">
        <v>4</v>
      </c>
      <c r="BF87" s="59"/>
      <c r="BG87" s="59"/>
      <c r="BH87" s="136" t="str">
        <f t="shared" ref="BH87:BV87" si="112">IF(BH86="","",IFERROR(IRR(BH88:BH103),""))</f>
        <v/>
      </c>
      <c r="BI87" s="136" t="str">
        <f t="shared" si="112"/>
        <v/>
      </c>
      <c r="BJ87" s="136" t="str">
        <f t="shared" si="112"/>
        <v/>
      </c>
      <c r="BK87" s="136">
        <f t="shared" si="112"/>
        <v>6.4038140632664664E-2</v>
      </c>
      <c r="BL87" s="136" t="str">
        <f t="shared" si="112"/>
        <v/>
      </c>
      <c r="BM87" s="136" t="str">
        <f t="shared" si="112"/>
        <v/>
      </c>
      <c r="BN87" s="136" t="str">
        <f t="shared" si="112"/>
        <v/>
      </c>
      <c r="BO87" s="136" t="str">
        <f t="shared" si="112"/>
        <v/>
      </c>
      <c r="BP87" s="136" t="str">
        <f t="shared" si="112"/>
        <v/>
      </c>
      <c r="BQ87" s="136" t="str">
        <f t="shared" si="112"/>
        <v/>
      </c>
      <c r="BR87" s="136" t="str">
        <f t="shared" si="112"/>
        <v/>
      </c>
      <c r="BS87" s="136" t="str">
        <f t="shared" si="112"/>
        <v/>
      </c>
      <c r="BT87" s="136" t="str">
        <f t="shared" si="112"/>
        <v/>
      </c>
      <c r="BU87" s="136" t="str">
        <f t="shared" si="112"/>
        <v/>
      </c>
      <c r="BV87" s="136" t="str">
        <f t="shared" si="112"/>
        <v/>
      </c>
      <c r="BW87" s="165"/>
      <c r="BZ87" s="422" t="s">
        <v>338</v>
      </c>
      <c r="CA87" s="216"/>
    </row>
    <row r="88" spans="2:97">
      <c r="B88" s="225">
        <v>1</v>
      </c>
      <c r="C88" s="225" t="s">
        <v>360</v>
      </c>
      <c r="D88" s="225" t="s">
        <v>361</v>
      </c>
      <c r="E88" s="225" t="s">
        <v>362</v>
      </c>
      <c r="F88" s="335">
        <v>74931.67</v>
      </c>
      <c r="G88" s="441">
        <f>F88*12</f>
        <v>899180.04</v>
      </c>
      <c r="H88" s="335">
        <v>74931.67</v>
      </c>
      <c r="I88" s="441">
        <f>H88*12</f>
        <v>899180.04</v>
      </c>
      <c r="J88" s="335">
        <v>74931.67</v>
      </c>
      <c r="K88" s="336">
        <f>J88*12</f>
        <v>899180.04</v>
      </c>
      <c r="L88" s="337">
        <v>45839</v>
      </c>
      <c r="M88" s="338">
        <v>49856</v>
      </c>
      <c r="N88" s="339">
        <v>120</v>
      </c>
      <c r="O88" s="225" t="s">
        <v>363</v>
      </c>
      <c r="P88" s="335">
        <f>J88</f>
        <v>74931.67</v>
      </c>
      <c r="Q88" s="340">
        <v>20000</v>
      </c>
      <c r="R88" s="225"/>
      <c r="S88" s="225"/>
      <c r="T88" s="225"/>
      <c r="U88" s="164"/>
      <c r="V88" s="164"/>
      <c r="AG88" s="165"/>
      <c r="AH88" s="165"/>
      <c r="AI88" s="165"/>
      <c r="AJ88" s="400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381"/>
      <c r="BB88" s="165"/>
      <c r="BC88" s="165"/>
      <c r="BD88" s="165"/>
      <c r="BE88" s="256">
        <f>BG86</f>
        <v>0</v>
      </c>
      <c r="BF88" s="56"/>
      <c r="BG88" s="73">
        <f t="shared" ref="BG88:BG98" si="113">$BG$18-$BG$14</f>
        <v>-9477435.9429999981</v>
      </c>
      <c r="BH88" s="71" t="str">
        <f t="shared" ref="BH88:BV103" si="114">IF(OR(BH$65="",$AU88=""),"",(BH$65&lt;=$AU88)*(-BH$13+BH$17+BH$26)+(BH$65=$AU88)*(BH$33-BH$36))</f>
        <v/>
      </c>
      <c r="BI88" s="71" t="str">
        <f t="shared" si="114"/>
        <v/>
      </c>
      <c r="BJ88" s="71" t="str">
        <f t="shared" si="114"/>
        <v/>
      </c>
      <c r="BK88" s="71" t="str">
        <f t="shared" si="114"/>
        <v/>
      </c>
      <c r="BL88" s="71" t="str">
        <f t="shared" si="114"/>
        <v/>
      </c>
      <c r="BM88" s="71" t="str">
        <f t="shared" si="114"/>
        <v/>
      </c>
      <c r="BN88" s="71" t="str">
        <f t="shared" si="114"/>
        <v/>
      </c>
      <c r="BO88" s="71" t="str">
        <f t="shared" si="114"/>
        <v/>
      </c>
      <c r="BP88" s="71" t="str">
        <f t="shared" si="114"/>
        <v/>
      </c>
      <c r="BQ88" s="71" t="str">
        <f t="shared" si="114"/>
        <v/>
      </c>
      <c r="BR88" s="71" t="str">
        <f t="shared" si="114"/>
        <v/>
      </c>
      <c r="BS88" s="71" t="str">
        <f t="shared" si="114"/>
        <v/>
      </c>
      <c r="BT88" s="71" t="str">
        <f t="shared" si="114"/>
        <v/>
      </c>
      <c r="BU88" s="71" t="str">
        <f t="shared" si="114"/>
        <v/>
      </c>
      <c r="BV88" s="71" t="str">
        <f t="shared" si="114"/>
        <v/>
      </c>
      <c r="BW88" s="165"/>
      <c r="BZ88" s="422" t="str">
        <f>"Distributions to LP "&amp;BZ82</f>
        <v>Distributions to LP Tier 3</v>
      </c>
      <c r="CA88" s="216"/>
    </row>
    <row r="89" spans="2:97" ht="15.75" customHeight="1">
      <c r="B89" s="225">
        <v>2</v>
      </c>
      <c r="C89" s="225" t="s">
        <v>360</v>
      </c>
      <c r="D89" s="225" t="s">
        <v>364</v>
      </c>
      <c r="E89" s="225" t="s">
        <v>362</v>
      </c>
      <c r="F89" s="335">
        <v>37366.58</v>
      </c>
      <c r="G89" s="441">
        <f t="shared" ref="G89:G91" si="115">F89*12</f>
        <v>448398.96</v>
      </c>
      <c r="H89" s="335">
        <v>37366.58</v>
      </c>
      <c r="I89" s="441">
        <f t="shared" ref="I89:I91" si="116">H89*12</f>
        <v>448398.96</v>
      </c>
      <c r="J89" s="335">
        <v>37366.58</v>
      </c>
      <c r="K89" s="336">
        <f>J89*12</f>
        <v>448398.96</v>
      </c>
      <c r="L89" s="337">
        <v>45839</v>
      </c>
      <c r="M89" s="338">
        <v>49856</v>
      </c>
      <c r="N89" s="339">
        <v>120</v>
      </c>
      <c r="O89" s="225" t="s">
        <v>363</v>
      </c>
      <c r="P89" s="335">
        <f>J89</f>
        <v>37366.58</v>
      </c>
      <c r="Q89" s="340">
        <v>10000</v>
      </c>
      <c r="R89" s="225"/>
      <c r="S89" s="225"/>
      <c r="T89" s="225"/>
      <c r="AG89" s="165"/>
      <c r="AH89" s="165"/>
      <c r="AI89" s="165"/>
      <c r="AJ89" s="400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381"/>
      <c r="BB89" s="165"/>
      <c r="BC89" s="165"/>
      <c r="BD89" s="165"/>
      <c r="BE89" s="256">
        <f>BH86</f>
        <v>1</v>
      </c>
      <c r="BF89" s="136">
        <f t="shared" ref="BF89:BF103" si="117">IF(BE89="","",IRR(BG89:BV89))</f>
        <v>-0.32099530665873843</v>
      </c>
      <c r="BG89" s="73">
        <f t="shared" si="113"/>
        <v>-9477435.9429999981</v>
      </c>
      <c r="BH89" s="73">
        <f t="shared" ref="BH89:BH98" si="118">(BH$86&lt;&gt;"") * ($BE89&lt;&gt;"") * ((BH$86&lt;=$BE89)*(-$BH$14+$BH$13+$BH$28) + (BH$86=$BE89)*($BH$34-$BH$37))</f>
        <v>6435223.4861381641</v>
      </c>
      <c r="BI89" s="73">
        <f>($BH$86&lt;&gt;"") * ($BE$89&lt;&gt;"") * ((BI86&lt;=$BE$89)*(-$BH$50+$BH28) + (BI86=$BE$89)*$BH$54)</f>
        <v>0</v>
      </c>
      <c r="BJ89" s="73">
        <f>($BH$86&lt;&gt;"") * ($BE$89&lt;&gt;"") * ((BJ86&lt;=$BE$89)*(-$BH$50+$BH28) + (BJ86=$BE$89)*$BH$54)</f>
        <v>0</v>
      </c>
      <c r="BK89" s="73">
        <f>($BH$86&lt;&gt;"") * ($BE$89&lt;&gt;"") * ((BK86&lt;=$BE$89)*(-$BH$50+$BH28) + (BK86=$BE$89)*$BH$54)</f>
        <v>0</v>
      </c>
      <c r="BL89" s="73">
        <f>($BH$86&lt;&gt;"") * ($BE$89&lt;&gt;"") * ((BL86&lt;=$BE$89)*(-$BH$50+$BH28) + (BL86=$BE$89)*$BH$54)</f>
        <v>0</v>
      </c>
      <c r="BM89" s="73" t="str">
        <f t="shared" si="114"/>
        <v/>
      </c>
      <c r="BN89" s="73" t="str">
        <f t="shared" si="114"/>
        <v/>
      </c>
      <c r="BO89" s="73" t="str">
        <f t="shared" si="114"/>
        <v/>
      </c>
      <c r="BP89" s="73" t="str">
        <f t="shared" si="114"/>
        <v/>
      </c>
      <c r="BQ89" s="73" t="str">
        <f t="shared" si="114"/>
        <v/>
      </c>
      <c r="BR89" s="73" t="str">
        <f t="shared" si="114"/>
        <v/>
      </c>
      <c r="BS89" s="73" t="str">
        <f t="shared" si="114"/>
        <v/>
      </c>
      <c r="BT89" s="73" t="str">
        <f t="shared" si="114"/>
        <v/>
      </c>
      <c r="BU89" s="73" t="str">
        <f t="shared" si="114"/>
        <v/>
      </c>
      <c r="BV89" s="73" t="str">
        <f t="shared" si="114"/>
        <v/>
      </c>
      <c r="BW89" s="165"/>
      <c r="BZ89" s="422" t="s">
        <v>314</v>
      </c>
      <c r="CA89" s="216"/>
    </row>
    <row r="90" spans="2:97">
      <c r="B90" s="225">
        <v>3</v>
      </c>
      <c r="C90" s="225" t="s">
        <v>360</v>
      </c>
      <c r="D90" s="225" t="s">
        <v>365</v>
      </c>
      <c r="E90" s="225" t="s">
        <v>362</v>
      </c>
      <c r="F90" s="335">
        <v>29900.86</v>
      </c>
      <c r="G90" s="441">
        <f t="shared" si="115"/>
        <v>358810.32</v>
      </c>
      <c r="H90" s="335">
        <v>29900.86</v>
      </c>
      <c r="I90" s="441">
        <f t="shared" si="116"/>
        <v>358810.32</v>
      </c>
      <c r="J90" s="335">
        <v>29900.86</v>
      </c>
      <c r="K90" s="336">
        <f>J90*12</f>
        <v>358810.32</v>
      </c>
      <c r="L90" s="337">
        <v>45839</v>
      </c>
      <c r="M90" s="338">
        <v>49856</v>
      </c>
      <c r="N90" s="339">
        <v>120</v>
      </c>
      <c r="O90" s="225" t="s">
        <v>363</v>
      </c>
      <c r="P90" s="335">
        <f>J90</f>
        <v>29900.86</v>
      </c>
      <c r="Q90" s="340">
        <v>8000</v>
      </c>
      <c r="R90" s="225"/>
      <c r="S90" s="225"/>
      <c r="T90" s="225"/>
      <c r="AG90" s="165"/>
      <c r="AH90" s="165"/>
      <c r="AI90" s="165"/>
      <c r="AJ90" s="400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381"/>
      <c r="BB90" s="165"/>
      <c r="BC90" s="165"/>
      <c r="BD90" s="165"/>
      <c r="BE90" s="256">
        <f>BI86</f>
        <v>2</v>
      </c>
      <c r="BF90" s="136">
        <f t="shared" si="117"/>
        <v>-0.14975395581966278</v>
      </c>
      <c r="BG90" s="73">
        <f t="shared" si="113"/>
        <v>-9477435.9429999981</v>
      </c>
      <c r="BH90" s="73">
        <f t="shared" si="118"/>
        <v>543681.76337777323</v>
      </c>
      <c r="BI90" s="73">
        <f t="shared" ref="BI90:BI98" si="119">(BI$86&lt;&gt;"") * ($BE90&lt;&gt;"") * ((BI$86&lt;=$BE90)*(-$BI$14+$BI$13+$BI$28) + (BI$86=$BE90)*($BI$34-$BI$37))</f>
        <v>6389148.9494841974</v>
      </c>
      <c r="BJ90" s="73" t="str">
        <f>IF(OR(BJ$65="",$AU90=""),"",(BJ$65&lt;=$AU90)*(-BJ$13+BJ$17+BJ$26)+(BJ$65=$AU90)*(BJ$33-BJ$36))</f>
        <v/>
      </c>
      <c r="BK90" s="73" t="str">
        <f>IF(OR(BK$65="",$AU90=""),"",(BK$65&lt;=$AU90)*(-BK$13+BK$17+BK$26)+(BK$65=$AU90)*(BK$33-BK$36))</f>
        <v/>
      </c>
      <c r="BL90" s="73" t="str">
        <f>IF(OR(BL$65="",$AU90=""),"",(BL$65&lt;=$AU90)*(-BL$13+BL$17+BL$26)+(BL$65=$AU90)*(BL$33-BL$36))</f>
        <v/>
      </c>
      <c r="BM90" s="73" t="str">
        <f t="shared" si="114"/>
        <v/>
      </c>
      <c r="BN90" s="73" t="str">
        <f t="shared" si="114"/>
        <v/>
      </c>
      <c r="BO90" s="73" t="str">
        <f t="shared" si="114"/>
        <v/>
      </c>
      <c r="BP90" s="73" t="str">
        <f t="shared" si="114"/>
        <v/>
      </c>
      <c r="BQ90" s="73" t="str">
        <f t="shared" si="114"/>
        <v/>
      </c>
      <c r="BR90" s="73" t="str">
        <f t="shared" si="114"/>
        <v/>
      </c>
      <c r="BS90" s="73" t="str">
        <f t="shared" si="114"/>
        <v/>
      </c>
      <c r="BT90" s="73" t="str">
        <f t="shared" si="114"/>
        <v/>
      </c>
      <c r="BU90" s="73" t="str">
        <f t="shared" si="114"/>
        <v/>
      </c>
      <c r="BV90" s="73" t="str">
        <f t="shared" si="114"/>
        <v/>
      </c>
      <c r="BW90" s="165"/>
      <c r="BZ90" s="429" t="str">
        <f>CA83</f>
        <v> </v>
      </c>
      <c r="CA90" s="216"/>
    </row>
    <row r="91" spans="2:97">
      <c r="B91" s="225">
        <v>4</v>
      </c>
      <c r="C91" s="225" t="s">
        <v>360</v>
      </c>
      <c r="D91" s="225" t="s">
        <v>366</v>
      </c>
      <c r="E91" s="225" t="s">
        <v>362</v>
      </c>
      <c r="F91" s="335">
        <v>44876.83</v>
      </c>
      <c r="G91" s="441">
        <f t="shared" si="115"/>
        <v>538521.96</v>
      </c>
      <c r="H91" s="335">
        <v>44876.83</v>
      </c>
      <c r="I91" s="441">
        <f t="shared" si="116"/>
        <v>538521.96</v>
      </c>
      <c r="J91" s="335">
        <v>44876.83</v>
      </c>
      <c r="K91" s="335">
        <f>J91*12</f>
        <v>538521.96</v>
      </c>
      <c r="L91" s="337">
        <v>45839</v>
      </c>
      <c r="M91" s="338">
        <v>49856</v>
      </c>
      <c r="N91" s="339">
        <v>120</v>
      </c>
      <c r="O91" s="225" t="s">
        <v>363</v>
      </c>
      <c r="P91" s="335">
        <f>J91</f>
        <v>44876.83</v>
      </c>
      <c r="Q91" s="340">
        <v>12000</v>
      </c>
      <c r="R91" s="225"/>
      <c r="S91" s="225"/>
      <c r="T91" s="225"/>
      <c r="AG91" s="165"/>
      <c r="AH91" s="165"/>
      <c r="AI91" s="165"/>
      <c r="AJ91" s="400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381"/>
      <c r="BB91" s="165"/>
      <c r="BC91" s="165"/>
      <c r="BD91" s="165"/>
      <c r="BE91" s="256">
        <f>BJ86</f>
        <v>3</v>
      </c>
      <c r="BF91" s="136">
        <f t="shared" si="117"/>
        <v>-9.4701650237307922E-2</v>
      </c>
      <c r="BG91" s="73">
        <f t="shared" si="113"/>
        <v>-9477435.9429999981</v>
      </c>
      <c r="BH91" s="73">
        <f t="shared" si="118"/>
        <v>543681.76337777323</v>
      </c>
      <c r="BI91" s="73">
        <f t="shared" si="119"/>
        <v>530781.66337777313</v>
      </c>
      <c r="BJ91" s="73">
        <f>(BJ$86&lt;&gt;"") * ($BE91&lt;&gt;"") * ((BJ$86&lt;=$BE91)*(-$BJ$14+$BJ$13+$BJ$28) + (BJ$86=$BE91)*($BJ$34-$BJ$37))</f>
        <v>6105694.0901498776</v>
      </c>
      <c r="BK91" s="73" t="str">
        <f>IF(OR(BK$65="",$AU91=""),"",(BK$65&lt;=$AU91)*(-BK$13+BK$17+BK$26)+(BK$65=$AU91)*(BK$33-BK$36))</f>
        <v/>
      </c>
      <c r="BL91" s="73" t="str">
        <f>IF(OR(BL$65="",$AU91=""),"",(BL$65&lt;=$AU91)*(-BL$13+BL$17+BL$26)+(BL$65=$AU91)*(BL$33-BL$36))</f>
        <v/>
      </c>
      <c r="BM91" s="73" t="str">
        <f t="shared" si="114"/>
        <v/>
      </c>
      <c r="BN91" s="73" t="str">
        <f t="shared" si="114"/>
        <v/>
      </c>
      <c r="BO91" s="73" t="str">
        <f t="shared" si="114"/>
        <v/>
      </c>
      <c r="BP91" s="73" t="str">
        <f t="shared" si="114"/>
        <v/>
      </c>
      <c r="BQ91" s="73" t="str">
        <f t="shared" si="114"/>
        <v/>
      </c>
      <c r="BR91" s="73" t="str">
        <f t="shared" si="114"/>
        <v/>
      </c>
      <c r="BS91" s="73" t="str">
        <f t="shared" si="114"/>
        <v/>
      </c>
      <c r="BT91" s="73" t="str">
        <f t="shared" si="114"/>
        <v/>
      </c>
      <c r="BU91" s="73" t="str">
        <f t="shared" si="114"/>
        <v/>
      </c>
      <c r="BV91" s="73" t="str">
        <f t="shared" si="114"/>
        <v/>
      </c>
      <c r="BW91" s="165"/>
      <c r="BZ91" s="430" t="s">
        <v>158</v>
      </c>
      <c r="CA91" s="252" t="s">
        <v>158</v>
      </c>
    </row>
    <row r="92" spans="2:97">
      <c r="B92" s="225"/>
      <c r="C92" s="225"/>
      <c r="D92" s="225"/>
      <c r="E92" s="225"/>
      <c r="L92" s="337"/>
      <c r="M92" s="338"/>
      <c r="N92" s="339"/>
      <c r="O92" s="225"/>
      <c r="P92" s="335"/>
      <c r="Q92" s="225"/>
      <c r="R92" s="225"/>
      <c r="S92" s="225"/>
      <c r="T92" s="225"/>
      <c r="AG92" s="165"/>
      <c r="AH92" s="165"/>
      <c r="AI92" s="165"/>
      <c r="AJ92" s="400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381"/>
      <c r="BB92" s="165"/>
      <c r="BC92" s="165"/>
      <c r="BD92" s="165"/>
      <c r="BE92" s="256">
        <f>BK86</f>
        <v>4</v>
      </c>
      <c r="BF92" s="136">
        <f t="shared" si="117"/>
        <v>-0.11287647480667162</v>
      </c>
      <c r="BG92" s="73">
        <f t="shared" si="113"/>
        <v>-9477435.9429999981</v>
      </c>
      <c r="BH92" s="73">
        <f t="shared" si="118"/>
        <v>543681.76337777323</v>
      </c>
      <c r="BI92" s="73">
        <f t="shared" si="119"/>
        <v>530781.66337777313</v>
      </c>
      <c r="BJ92" s="73">
        <f t="shared" ref="BJ92:BJ98" si="120">(BJ$86&lt;&gt;"") * ($BE92&lt;&gt;"") * ((BJ$86&lt;=$BE92)*(-$BJ$14+$BJ$13+$BJ$28) + (BJ$86=$BE92)*($BJ$34-$BJ$38))</f>
        <v>267623.56137777318</v>
      </c>
      <c r="BK92" s="73">
        <f t="shared" ref="BK92:BK98" si="121">(BK$86&lt;&gt;"") * ($BE92&lt;&gt;"") * ((BK$86&lt;=$BE92)*(-$BK$14+$BK$13+$BK$28) + (BK$86=$BE92)*($BK$34-$BK$37))</f>
        <v>4835144.6775056114</v>
      </c>
      <c r="BL92" s="73" t="str">
        <f>IF(OR(BL$65="",$AU92=""),"",(BL$65&lt;=$AU92)*(-BL$13+BL$17+BL$26)+(BL$65=$AU92)*(BL$33-BL$36))</f>
        <v/>
      </c>
      <c r="BM92" s="73" t="str">
        <f t="shared" si="114"/>
        <v/>
      </c>
      <c r="BN92" s="73" t="str">
        <f t="shared" si="114"/>
        <v/>
      </c>
      <c r="BO92" s="73" t="str">
        <f t="shared" si="114"/>
        <v/>
      </c>
      <c r="BP92" s="73" t="str">
        <f t="shared" si="114"/>
        <v/>
      </c>
      <c r="BQ92" s="73" t="str">
        <f t="shared" si="114"/>
        <v/>
      </c>
      <c r="BR92" s="73" t="str">
        <f t="shared" si="114"/>
        <v/>
      </c>
      <c r="BS92" s="73" t="str">
        <f t="shared" si="114"/>
        <v/>
      </c>
      <c r="BT92" s="73" t="str">
        <f t="shared" si="114"/>
        <v/>
      </c>
      <c r="BU92" s="73" t="str">
        <f t="shared" si="114"/>
        <v/>
      </c>
      <c r="BV92" s="73" t="str">
        <f t="shared" si="114"/>
        <v/>
      </c>
      <c r="BW92" s="165"/>
      <c r="BZ92" s="422" t="s">
        <v>315</v>
      </c>
      <c r="CA92" s="216"/>
    </row>
    <row r="93" spans="2:97">
      <c r="B93" s="442" t="s">
        <v>212</v>
      </c>
      <c r="C93" s="443"/>
      <c r="D93" s="443"/>
      <c r="E93" s="443"/>
      <c r="F93" s="443"/>
      <c r="G93" s="443"/>
      <c r="H93" s="443"/>
      <c r="I93" s="443"/>
      <c r="J93" s="444">
        <f>SUM(J88:J91)</f>
        <v>187075.94</v>
      </c>
      <c r="K93" s="445">
        <f>SUM(K88:K91)</f>
        <v>2244911.2800000003</v>
      </c>
      <c r="L93" s="443"/>
      <c r="M93" s="443"/>
      <c r="N93" s="443"/>
      <c r="O93" s="225"/>
      <c r="P93" s="225"/>
      <c r="Q93" s="225"/>
      <c r="R93" s="225"/>
      <c r="S93" s="225"/>
      <c r="T93" s="225"/>
      <c r="AG93" s="165"/>
      <c r="AH93" s="165"/>
      <c r="AI93" s="165"/>
      <c r="AJ93" s="400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381"/>
      <c r="BB93" s="165"/>
      <c r="BC93" s="165"/>
      <c r="BD93" s="165"/>
      <c r="BE93" s="256">
        <f>BL86</f>
        <v>5</v>
      </c>
      <c r="BF93" s="136">
        <f t="shared" si="117"/>
        <v>-7.3887985716423965E-2</v>
      </c>
      <c r="BG93" s="73">
        <f t="shared" si="113"/>
        <v>-9477435.9429999981</v>
      </c>
      <c r="BH93" s="73">
        <f t="shared" si="118"/>
        <v>543681.76337777323</v>
      </c>
      <c r="BI93" s="73">
        <f t="shared" si="119"/>
        <v>530781.66337777313</v>
      </c>
      <c r="BJ93" s="73">
        <f t="shared" si="120"/>
        <v>267623.56137777318</v>
      </c>
      <c r="BK93" s="73">
        <f t="shared" si="121"/>
        <v>-995797.70266222686</v>
      </c>
      <c r="BL93" s="73">
        <f>(BL$86&lt;&gt;"") * ($BE93&lt;&gt;"") * ((BL$86&lt;=$BE93)*(-$BL$14+$BL$13+$BL$28) + (BL$86=$BE93)*($BL$34-$BL$37))</f>
        <v>6327802.4421939552</v>
      </c>
      <c r="BM93" s="73" t="str">
        <f t="shared" si="114"/>
        <v/>
      </c>
      <c r="BN93" s="73" t="str">
        <f t="shared" si="114"/>
        <v/>
      </c>
      <c r="BO93" s="73" t="str">
        <f t="shared" si="114"/>
        <v/>
      </c>
      <c r="BP93" s="73" t="str">
        <f t="shared" si="114"/>
        <v/>
      </c>
      <c r="BQ93" s="73" t="str">
        <f t="shared" si="114"/>
        <v/>
      </c>
      <c r="BR93" s="73" t="str">
        <f t="shared" si="114"/>
        <v/>
      </c>
      <c r="BS93" s="73" t="str">
        <f t="shared" si="114"/>
        <v/>
      </c>
      <c r="BT93" s="73" t="str">
        <f t="shared" si="114"/>
        <v/>
      </c>
      <c r="BU93" s="73" t="str">
        <f t="shared" si="114"/>
        <v/>
      </c>
      <c r="BV93" s="73" t="str">
        <f t="shared" si="114"/>
        <v/>
      </c>
      <c r="BW93" s="165"/>
      <c r="BZ93" s="422" t="s">
        <v>321</v>
      </c>
      <c r="CA93" s="216"/>
    </row>
    <row r="94" spans="2:97"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AG94" s="165"/>
      <c r="AH94" s="165"/>
      <c r="AI94" s="165"/>
      <c r="AJ94" s="400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381"/>
      <c r="BB94" s="165"/>
      <c r="BC94" s="165"/>
      <c r="BD94" s="165"/>
      <c r="BE94" s="256">
        <f>BM86</f>
        <v>6</v>
      </c>
      <c r="BF94" s="136">
        <f t="shared" si="117"/>
        <v>1.5853457905020685E-2</v>
      </c>
      <c r="BG94" s="73">
        <f t="shared" si="113"/>
        <v>-9477435.9429999981</v>
      </c>
      <c r="BH94" s="73">
        <f t="shared" si="118"/>
        <v>543681.76337777323</v>
      </c>
      <c r="BI94" s="73">
        <f t="shared" si="119"/>
        <v>530781.66337777313</v>
      </c>
      <c r="BJ94" s="73">
        <f t="shared" si="120"/>
        <v>267623.56137777318</v>
      </c>
      <c r="BK94" s="73">
        <f t="shared" si="121"/>
        <v>-995797.70266222686</v>
      </c>
      <c r="BL94" s="73">
        <f>(BL$86&lt;&gt;"") * ($BE94&lt;&gt;"") * ((BL$86&lt;=$BE94)*(-$BL$14+$BL$13+$BL$28) + (BL$86=$BE94)*($BL$34-$BL$38))</f>
        <v>490512.60801697301</v>
      </c>
      <c r="BM94" s="73">
        <f>(BM$86&lt;&gt;"") * ($BE94&lt;&gt;"") * ((BM$86&lt;=$BE94)*(-$BM$14+$BM$13+$BM$28) + (BM$86=$BE94)*($BM$34-$BM$37))</f>
        <v>9510793.1229326222</v>
      </c>
      <c r="BN94" s="73" t="str">
        <f t="shared" si="114"/>
        <v/>
      </c>
      <c r="BO94" s="73" t="str">
        <f t="shared" si="114"/>
        <v/>
      </c>
      <c r="BP94" s="73" t="str">
        <f t="shared" si="114"/>
        <v/>
      </c>
      <c r="BQ94" s="73" t="str">
        <f t="shared" si="114"/>
        <v/>
      </c>
      <c r="BR94" s="73" t="str">
        <f t="shared" si="114"/>
        <v/>
      </c>
      <c r="BS94" s="73" t="str">
        <f t="shared" si="114"/>
        <v/>
      </c>
      <c r="BT94" s="73" t="str">
        <f t="shared" si="114"/>
        <v/>
      </c>
      <c r="BU94" s="73" t="str">
        <f t="shared" si="114"/>
        <v/>
      </c>
      <c r="BV94" s="73" t="str">
        <f t="shared" si="114"/>
        <v/>
      </c>
      <c r="BW94" s="165"/>
      <c r="BZ94" s="422" t="str">
        <f>"Total Distributions ("&amp;BZ82&amp;")"</f>
        <v>Total Distributions (Tier 3)</v>
      </c>
      <c r="CA94" s="216"/>
    </row>
    <row r="95" spans="2:97">
      <c r="B95" s="341" t="s">
        <v>367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AG95" s="165"/>
      <c r="AH95" s="165"/>
      <c r="AI95" s="165"/>
      <c r="AJ95" s="400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381"/>
      <c r="BB95" s="165"/>
      <c r="BC95" s="165"/>
      <c r="BD95" s="165"/>
      <c r="BE95" s="256">
        <f>BN86</f>
        <v>7</v>
      </c>
      <c r="BF95" s="136">
        <f t="shared" si="117"/>
        <v>2.373489501978443E-2</v>
      </c>
      <c r="BG95" s="73">
        <f t="shared" si="113"/>
        <v>-9477435.9429999981</v>
      </c>
      <c r="BH95" s="73">
        <f t="shared" si="118"/>
        <v>543681.76337777323</v>
      </c>
      <c r="BI95" s="73">
        <f t="shared" si="119"/>
        <v>530781.66337777313</v>
      </c>
      <c r="BJ95" s="73">
        <f t="shared" si="120"/>
        <v>267623.56137777318</v>
      </c>
      <c r="BK95" s="73">
        <f t="shared" si="121"/>
        <v>-995797.70266222686</v>
      </c>
      <c r="BL95" s="73">
        <f>(BL$86&lt;&gt;"") * ($BE95&lt;&gt;"") * ((BL$86&lt;=$BE95)*(-$BL$14+$BL$13+$BL$28) + (BL$86=$BE95)*($BL$34-$BL$38))</f>
        <v>490512.60801697301</v>
      </c>
      <c r="BM95" s="73">
        <f>(BM$86&lt;&gt;"") * ($BE95&lt;&gt;"") * ((BM$86&lt;=$BE95)*(-$BM$14+$BM$13+$BM$28) + (BM$86=$BE95)*($BM$34-$BM$38))</f>
        <v>681259.87965375686</v>
      </c>
      <c r="BN95" s="73">
        <f>(BN$86&lt;&gt;"") * ($BE95&lt;&gt;"") * ((BN$86&lt;=$BE95)*(-$BN$14+$BN$13+$BN$28) + (BN$86=$BE95)*($BN$34-$BN$37))</f>
        <v>9508982.6892384049</v>
      </c>
      <c r="BO95" s="73" t="str">
        <f t="shared" si="114"/>
        <v/>
      </c>
      <c r="BP95" s="73" t="str">
        <f t="shared" si="114"/>
        <v/>
      </c>
      <c r="BQ95" s="73" t="str">
        <f t="shared" si="114"/>
        <v/>
      </c>
      <c r="BR95" s="73" t="str">
        <f t="shared" si="114"/>
        <v/>
      </c>
      <c r="BS95" s="73" t="str">
        <f t="shared" si="114"/>
        <v/>
      </c>
      <c r="BT95" s="73" t="str">
        <f t="shared" si="114"/>
        <v/>
      </c>
      <c r="BU95" s="73" t="str">
        <f t="shared" si="114"/>
        <v/>
      </c>
      <c r="BV95" s="73" t="str">
        <f t="shared" si="114"/>
        <v/>
      </c>
      <c r="BW95" s="165"/>
      <c r="BZ95" s="422" t="s">
        <v>328</v>
      </c>
      <c r="CA95" s="216"/>
    </row>
    <row r="96" spans="2:97" ht="91.5">
      <c r="B96" s="341" t="s">
        <v>368</v>
      </c>
      <c r="C96" s="225"/>
      <c r="D96" s="225"/>
      <c r="E96" s="647" t="s">
        <v>578</v>
      </c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AG96" s="165"/>
      <c r="AH96" s="165"/>
      <c r="AI96" s="165"/>
      <c r="AJ96" s="400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381"/>
      <c r="BB96" s="165"/>
      <c r="BC96" s="165"/>
      <c r="BD96" s="165"/>
      <c r="BE96" s="256">
        <f>BO86</f>
        <v>8</v>
      </c>
      <c r="BF96" s="136">
        <f t="shared" si="117"/>
        <v>2.9448694342841364E-2</v>
      </c>
      <c r="BG96" s="73">
        <f t="shared" si="113"/>
        <v>-9477435.9429999981</v>
      </c>
      <c r="BH96" s="73">
        <f t="shared" si="118"/>
        <v>543681.76337777323</v>
      </c>
      <c r="BI96" s="73">
        <f t="shared" si="119"/>
        <v>530781.66337777313</v>
      </c>
      <c r="BJ96" s="73">
        <f t="shared" si="120"/>
        <v>267623.56137777318</v>
      </c>
      <c r="BK96" s="73">
        <f t="shared" si="121"/>
        <v>-995797.70266222686</v>
      </c>
      <c r="BL96" s="73">
        <f>(BL$86&lt;&gt;"") * ($BE96&lt;&gt;"") * ((BL$86&lt;=$BE96)*(-$BL$14+$BL$13+$BL$28) + (BL$86=$BE96)*($BL$34-$BL$38))</f>
        <v>490512.60801697301</v>
      </c>
      <c r="BM96" s="73">
        <f>(BM$86&lt;&gt;"") * ($BE96&lt;&gt;"") * ((BM$86&lt;=$BE96)*(-$BM$14+$BM$13+$BM$28) + (BM$86=$BE96)*($BM$34-$BM$38))</f>
        <v>681259.87965375686</v>
      </c>
      <c r="BN96" s="73">
        <f>(BN$86&lt;&gt;"") * ($BE96&lt;&gt;"") * ((BN$86&lt;=$BE96)*(-$BN$14+$BN$13+$BN$28) + (BN$86=$BE96)*($BN$34-$BN$38))</f>
        <v>667017.12688439654</v>
      </c>
      <c r="BO96" s="73">
        <f>(BO$86&lt;&gt;"") * ($BE96&lt;&gt;"") * ((BO$86&lt;=$BE96)*(-$BO$14+$BO$13+$BO$28) + (BO$86=$BE96)*($BO$34-$BO$37))</f>
        <v>9521703.6162546873</v>
      </c>
      <c r="BP96" s="73" t="str">
        <f t="shared" si="114"/>
        <v/>
      </c>
      <c r="BQ96" s="73" t="str">
        <f t="shared" si="114"/>
        <v/>
      </c>
      <c r="BR96" s="73" t="str">
        <f t="shared" si="114"/>
        <v/>
      </c>
      <c r="BS96" s="73" t="str">
        <f t="shared" si="114"/>
        <v/>
      </c>
      <c r="BT96" s="73" t="str">
        <f t="shared" si="114"/>
        <v/>
      </c>
      <c r="BU96" s="73" t="str">
        <f t="shared" si="114"/>
        <v/>
      </c>
      <c r="BV96" s="73" t="str">
        <f t="shared" si="114"/>
        <v/>
      </c>
      <c r="BW96" s="165"/>
      <c r="BZ96" s="422"/>
      <c r="CA96" s="216"/>
    </row>
    <row r="97" spans="1:97" ht="15.75">
      <c r="B97" s="341" t="s">
        <v>369</v>
      </c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AG97" s="165"/>
      <c r="AH97" s="165"/>
      <c r="AI97" s="165"/>
      <c r="AJ97" s="400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381"/>
      <c r="BB97" s="165"/>
      <c r="BC97" s="165"/>
      <c r="BD97" s="165"/>
      <c r="BE97" s="256">
        <f>BP86</f>
        <v>9</v>
      </c>
      <c r="BF97" s="136">
        <f t="shared" si="117"/>
        <v>3.3770426756935423E-2</v>
      </c>
      <c r="BG97" s="73">
        <f t="shared" si="113"/>
        <v>-9477435.9429999981</v>
      </c>
      <c r="BH97" s="73">
        <f t="shared" si="118"/>
        <v>543681.76337777323</v>
      </c>
      <c r="BI97" s="73">
        <f t="shared" si="119"/>
        <v>530781.66337777313</v>
      </c>
      <c r="BJ97" s="73">
        <f t="shared" si="120"/>
        <v>267623.56137777318</v>
      </c>
      <c r="BK97" s="73">
        <f t="shared" si="121"/>
        <v>-995797.70266222686</v>
      </c>
      <c r="BL97" s="73">
        <f>(BL$86&lt;&gt;"") * ($BE97&lt;&gt;"") * ((BL$86&lt;=$BE97)*(-$BL$14+$BL$13+$BL$28) + (BL$86=$BE97)*($BL$34-$BL$38))</f>
        <v>490512.60801697301</v>
      </c>
      <c r="BM97" s="73">
        <f>(BM$86&lt;&gt;"") * ($BE97&lt;&gt;"") * ((BM$86&lt;=$BE97)*(-$BM$14+$BM$13+$BM$28) + (BM$86=$BE97)*($BM$34-$BM$38))</f>
        <v>681259.87965375686</v>
      </c>
      <c r="BN97" s="73">
        <f>(BN$86&lt;&gt;"") * ($BE97&lt;&gt;"") * ((BN$86&lt;=$BE97)*(-$BN$14+$BN$13+$BN$28) + (BN$86=$BE97)*($BN$34-$BN$38))</f>
        <v>667017.12688439654</v>
      </c>
      <c r="BO97" s="73">
        <f>(BO$86&lt;&gt;"") * ($BE97&lt;&gt;"") * ((BO$86&lt;=$BE97)*(-$BO$14+$BO$13+$BO$28) + (BO$86=$BE97)*($BO$34-$BO$38))</f>
        <v>652489.51905964885</v>
      </c>
      <c r="BP97" s="73">
        <f>(BP$86&lt;&gt;"") * ($BE97&lt;&gt;"") * ((BP$86&lt;=$BE97)*(-$BP$14+$BP$13+$BP$28) + (BP$86=$BE97)*($BP$34-$BP$37))</f>
        <v>9549318.846677674</v>
      </c>
      <c r="BQ97" s="73" t="str">
        <f t="shared" si="114"/>
        <v/>
      </c>
      <c r="BR97" s="73" t="str">
        <f t="shared" si="114"/>
        <v/>
      </c>
      <c r="BS97" s="73" t="str">
        <f t="shared" si="114"/>
        <v/>
      </c>
      <c r="BT97" s="73" t="str">
        <f t="shared" si="114"/>
        <v/>
      </c>
      <c r="BU97" s="73" t="str">
        <f t="shared" si="114"/>
        <v/>
      </c>
      <c r="BV97" s="73" t="str">
        <f t="shared" si="114"/>
        <v/>
      </c>
      <c r="BW97" s="165"/>
      <c r="BZ97" s="431" t="s">
        <v>370</v>
      </c>
      <c r="CA97" s="240"/>
      <c r="CB97" s="240"/>
      <c r="CC97" s="240"/>
      <c r="CD97" s="240" t="s">
        <v>46</v>
      </c>
      <c r="CE97" s="200" t="s">
        <v>47</v>
      </c>
      <c r="CF97" s="200" t="s">
        <v>48</v>
      </c>
      <c r="CG97" s="200" t="s">
        <v>49</v>
      </c>
      <c r="CH97" s="200" t="s">
        <v>50</v>
      </c>
      <c r="CI97" s="200" t="s">
        <v>51</v>
      </c>
      <c r="CJ97" s="200" t="s">
        <v>52</v>
      </c>
      <c r="CK97" s="200" t="s">
        <v>53</v>
      </c>
      <c r="CL97" s="200" t="s">
        <v>54</v>
      </c>
      <c r="CM97" s="200" t="s">
        <v>55</v>
      </c>
      <c r="CN97" s="200" t="s">
        <v>56</v>
      </c>
      <c r="CO97" s="200" t="s">
        <v>1</v>
      </c>
      <c r="CP97" s="242" t="str">
        <f>CP$20</f>
        <v> </v>
      </c>
      <c r="CQ97" s="242" t="str">
        <f>CQ$20</f>
        <v> </v>
      </c>
      <c r="CR97" s="242" t="str">
        <f>CR$20</f>
        <v> </v>
      </c>
      <c r="CS97" s="242" t="str">
        <f>CS$20</f>
        <v> </v>
      </c>
    </row>
    <row r="98" spans="1:97">
      <c r="B98" s="341" t="s">
        <v>371</v>
      </c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AG98" s="165"/>
      <c r="AH98" s="165"/>
      <c r="AI98" s="165"/>
      <c r="AJ98" s="400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381"/>
      <c r="BB98" s="165"/>
      <c r="BC98" s="165"/>
      <c r="BD98" s="165"/>
      <c r="BE98" s="256">
        <f>BQ86</f>
        <v>10</v>
      </c>
      <c r="BF98" s="136">
        <f>IF(BE98="","",IRR(BG98:BV98))</f>
        <v>3.7141068414942913E-2</v>
      </c>
      <c r="BG98" s="73">
        <f t="shared" si="113"/>
        <v>-9477435.9429999981</v>
      </c>
      <c r="BH98" s="73">
        <f t="shared" si="118"/>
        <v>543681.76337777323</v>
      </c>
      <c r="BI98" s="73">
        <f t="shared" si="119"/>
        <v>530781.66337777313</v>
      </c>
      <c r="BJ98" s="73">
        <f t="shared" si="120"/>
        <v>267623.56137777318</v>
      </c>
      <c r="BK98" s="73">
        <f t="shared" si="121"/>
        <v>-995797.70266222686</v>
      </c>
      <c r="BL98" s="73">
        <f>(BL$86&lt;&gt;"") * ($BE98&lt;&gt;"") * ((BL$86&lt;=$BE98)*(-$BL$14+$BL$13+$BL$28) + (BL$86=$BE98)*($BL$34-$BL$38))</f>
        <v>490512.60801697301</v>
      </c>
      <c r="BM98" s="73">
        <f>(BM$86&lt;&gt;"") * ($BE98&lt;&gt;"") * ((BM$86&lt;=$BE98)*(-$BM$14+$BM$13+$BM$28) + (BM$86=$BE98)*($BM$34-$BM$38))</f>
        <v>681259.87965375686</v>
      </c>
      <c r="BN98" s="73">
        <f>(BN$86&lt;&gt;"") * ($BE98&lt;&gt;"") * ((BN$86&lt;=$BE98)*(-$BN$14+$BN$13+$BN$28) + (BN$86=$BE98)*($BN$34-$BN$38))</f>
        <v>667017.12688439654</v>
      </c>
      <c r="BO98" s="73">
        <f>(BO$86&lt;&gt;"") * ($BE98&lt;&gt;"") * ((BO$86&lt;=$BE98)*(-$BO$14+$BO$13+$BO$28) + (BO$86=$BE98)*($BO$34-$BO$38))</f>
        <v>652489.51905964885</v>
      </c>
      <c r="BP98" s="73">
        <f>(BP$86&lt;&gt;"") * ($BE98&lt;&gt;"") * ((BP$86&lt;=$BE98)*(-$BP$14+$BP$13+$BP$28) + (BP$86=$BE98)*($BP$34-$BP$38))</f>
        <v>637671.35907840647</v>
      </c>
      <c r="BQ98" s="73">
        <f>(BQ$86&lt;&gt;"") * ($BE98&lt;&gt;"") * ((BQ$86&lt;=$BE98)*(-$BQ$14+$BQ$13+$BQ$28) + (BQ$86=$BE98)*($BQ$34-$BQ$37))</f>
        <v>9592209.7469887324</v>
      </c>
      <c r="BR98" s="73" t="str">
        <f t="shared" si="114"/>
        <v/>
      </c>
      <c r="BS98" s="73" t="str">
        <f t="shared" si="114"/>
        <v/>
      </c>
      <c r="BT98" s="73" t="str">
        <f t="shared" si="114"/>
        <v/>
      </c>
      <c r="BU98" s="73" t="str">
        <f t="shared" si="114"/>
        <v/>
      </c>
      <c r="BV98" s="73" t="str">
        <f t="shared" si="114"/>
        <v/>
      </c>
      <c r="BW98" s="165"/>
      <c r="BZ98" s="253" t="s">
        <v>372</v>
      </c>
      <c r="CA98" s="55" t="str">
        <f>CA83</f>
        <v> </v>
      </c>
    </row>
    <row r="99" spans="1:97"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AG99" s="165"/>
      <c r="AH99" s="165"/>
      <c r="AI99" s="165"/>
      <c r="AJ99" s="400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381"/>
      <c r="BB99" s="165"/>
      <c r="BC99" s="165"/>
      <c r="BD99" s="165"/>
      <c r="BE99" s="256" t="str">
        <f>BR86</f>
        <v/>
      </c>
      <c r="BF99" s="136" t="str">
        <f t="shared" si="117"/>
        <v/>
      </c>
      <c r="BG99" s="73" t="str">
        <f t="shared" ref="BG99:BQ103" si="122">IF(OR(BG$65="",$AU99=""),"",(BG$65&lt;=$AU99)*(-BG$13+BG$17+BG$26)+(BG$65=$AU99)*(BG$33-BG$36))</f>
        <v/>
      </c>
      <c r="BH99" s="73" t="str">
        <f t="shared" si="122"/>
        <v/>
      </c>
      <c r="BI99" s="73" t="str">
        <f t="shared" si="122"/>
        <v/>
      </c>
      <c r="BJ99" s="73" t="str">
        <f t="shared" si="122"/>
        <v/>
      </c>
      <c r="BK99" s="73" t="str">
        <f t="shared" si="122"/>
        <v/>
      </c>
      <c r="BL99" s="73" t="str">
        <f t="shared" si="122"/>
        <v/>
      </c>
      <c r="BM99" s="73" t="str">
        <f t="shared" si="122"/>
        <v/>
      </c>
      <c r="BN99" s="73" t="str">
        <f t="shared" si="122"/>
        <v/>
      </c>
      <c r="BO99" s="73" t="str">
        <f t="shared" si="122"/>
        <v/>
      </c>
      <c r="BP99" s="73" t="str">
        <f t="shared" si="122"/>
        <v/>
      </c>
      <c r="BQ99" s="73" t="str">
        <f t="shared" si="122"/>
        <v/>
      </c>
      <c r="BR99" s="73" t="str">
        <f t="shared" si="114"/>
        <v/>
      </c>
      <c r="BS99" s="73" t="str">
        <f t="shared" si="114"/>
        <v/>
      </c>
      <c r="BT99" s="73" t="str">
        <f t="shared" si="114"/>
        <v/>
      </c>
      <c r="BU99" s="73" t="str">
        <f t="shared" si="114"/>
        <v/>
      </c>
      <c r="BV99" s="73" t="str">
        <f t="shared" si="114"/>
        <v/>
      </c>
      <c r="BW99" s="165"/>
      <c r="BZ99" s="253" t="s">
        <v>315</v>
      </c>
      <c r="CD99" s="55" t="str">
        <f t="shared" ref="CD99:CS99" si="123">IF(CD84="","",CD95*$I$18)</f>
        <v/>
      </c>
      <c r="CE99" s="55" t="str">
        <f t="shared" si="123"/>
        <v/>
      </c>
      <c r="CF99" s="55" t="str">
        <f t="shared" si="123"/>
        <v/>
      </c>
      <c r="CG99" s="55" t="str">
        <f t="shared" si="123"/>
        <v/>
      </c>
      <c r="CH99" s="55" t="str">
        <f t="shared" si="123"/>
        <v/>
      </c>
      <c r="CI99" s="55" t="str">
        <f t="shared" si="123"/>
        <v/>
      </c>
      <c r="CJ99" s="55" t="str">
        <f t="shared" si="123"/>
        <v/>
      </c>
      <c r="CK99" s="55" t="str">
        <f t="shared" si="123"/>
        <v/>
      </c>
      <c r="CL99" s="55" t="str">
        <f t="shared" si="123"/>
        <v/>
      </c>
      <c r="CM99" s="55" t="str">
        <f t="shared" si="123"/>
        <v/>
      </c>
      <c r="CN99" s="55" t="str">
        <f t="shared" si="123"/>
        <v/>
      </c>
      <c r="CO99" s="55" t="str">
        <f t="shared" si="123"/>
        <v/>
      </c>
      <c r="CP99" s="55" t="str">
        <f t="shared" si="123"/>
        <v/>
      </c>
      <c r="CQ99" s="55" t="str">
        <f t="shared" si="123"/>
        <v/>
      </c>
      <c r="CR99" s="55" t="str">
        <f t="shared" si="123"/>
        <v/>
      </c>
      <c r="CS99" s="55" t="str">
        <f t="shared" si="123"/>
        <v/>
      </c>
    </row>
    <row r="100" spans="1:97">
      <c r="A100" s="329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AG100" s="165"/>
      <c r="AH100" s="165"/>
      <c r="AI100" s="165"/>
      <c r="AJ100" s="400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381"/>
      <c r="BB100" s="165"/>
      <c r="BC100" s="165"/>
      <c r="BD100" s="165"/>
      <c r="BE100" s="256" t="str">
        <f>BS86</f>
        <v/>
      </c>
      <c r="BF100" s="136" t="str">
        <f t="shared" si="117"/>
        <v/>
      </c>
      <c r="BG100" s="73" t="str">
        <f t="shared" si="122"/>
        <v/>
      </c>
      <c r="BH100" s="73" t="str">
        <f t="shared" si="122"/>
        <v/>
      </c>
      <c r="BI100" s="73" t="str">
        <f t="shared" si="122"/>
        <v/>
      </c>
      <c r="BJ100" s="73" t="str">
        <f t="shared" si="122"/>
        <v/>
      </c>
      <c r="BK100" s="73" t="str">
        <f t="shared" si="122"/>
        <v/>
      </c>
      <c r="BL100" s="73" t="str">
        <f t="shared" si="122"/>
        <v/>
      </c>
      <c r="BM100" s="73" t="str">
        <f t="shared" si="122"/>
        <v/>
      </c>
      <c r="BN100" s="73" t="str">
        <f t="shared" si="122"/>
        <v/>
      </c>
      <c r="BO100" s="73" t="str">
        <f t="shared" si="122"/>
        <v/>
      </c>
      <c r="BP100" s="73" t="str">
        <f t="shared" si="122"/>
        <v/>
      </c>
      <c r="BQ100" s="73" t="str">
        <f t="shared" si="122"/>
        <v/>
      </c>
      <c r="BR100" s="73" t="str">
        <f t="shared" si="114"/>
        <v/>
      </c>
      <c r="BS100" s="73" t="str">
        <f t="shared" si="114"/>
        <v/>
      </c>
      <c r="BT100" s="73" t="str">
        <f t="shared" si="114"/>
        <v/>
      </c>
      <c r="BU100" s="73" t="str">
        <f t="shared" si="114"/>
        <v/>
      </c>
      <c r="BV100" s="73" t="str">
        <f t="shared" si="114"/>
        <v/>
      </c>
      <c r="BW100" s="165"/>
      <c r="BZ100" s="253" t="s">
        <v>321</v>
      </c>
      <c r="CD100" s="55" t="str">
        <f t="shared" ref="CD100:CS100" si="124">IF(CD99="","",CD95-CD99)</f>
        <v/>
      </c>
      <c r="CE100" s="55" t="str">
        <f t="shared" si="124"/>
        <v/>
      </c>
      <c r="CF100" s="55" t="str">
        <f t="shared" si="124"/>
        <v/>
      </c>
      <c r="CG100" s="55" t="str">
        <f t="shared" si="124"/>
        <v/>
      </c>
      <c r="CH100" s="55" t="str">
        <f t="shared" si="124"/>
        <v/>
      </c>
      <c r="CI100" s="55" t="str">
        <f t="shared" si="124"/>
        <v/>
      </c>
      <c r="CJ100" s="55" t="str">
        <f t="shared" si="124"/>
        <v/>
      </c>
      <c r="CK100" s="55" t="str">
        <f t="shared" si="124"/>
        <v/>
      </c>
      <c r="CL100" s="55" t="str">
        <f t="shared" si="124"/>
        <v/>
      </c>
      <c r="CM100" s="55" t="str">
        <f t="shared" si="124"/>
        <v/>
      </c>
      <c r="CN100" s="55" t="str">
        <f t="shared" si="124"/>
        <v/>
      </c>
      <c r="CO100" s="55" t="str">
        <f t="shared" si="124"/>
        <v/>
      </c>
      <c r="CP100" s="55" t="str">
        <f t="shared" si="124"/>
        <v/>
      </c>
      <c r="CQ100" s="55" t="str">
        <f t="shared" si="124"/>
        <v/>
      </c>
      <c r="CR100" s="55" t="str">
        <f t="shared" si="124"/>
        <v/>
      </c>
      <c r="CS100" s="55" t="str">
        <f t="shared" si="124"/>
        <v/>
      </c>
    </row>
    <row r="101" spans="1:97">
      <c r="A101" s="329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AG101" s="165"/>
      <c r="AH101" s="165"/>
      <c r="AI101" s="165"/>
      <c r="AJ101" s="400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381"/>
      <c r="BB101" s="165"/>
      <c r="BC101" s="165"/>
      <c r="BD101" s="165"/>
      <c r="BE101" s="256" t="str">
        <f>BT86</f>
        <v/>
      </c>
      <c r="BF101" s="136" t="str">
        <f t="shared" si="117"/>
        <v/>
      </c>
      <c r="BG101" s="73" t="str">
        <f t="shared" si="122"/>
        <v/>
      </c>
      <c r="BH101" s="73" t="str">
        <f t="shared" si="122"/>
        <v/>
      </c>
      <c r="BI101" s="73" t="str">
        <f t="shared" si="122"/>
        <v/>
      </c>
      <c r="BJ101" s="73" t="str">
        <f t="shared" si="122"/>
        <v/>
      </c>
      <c r="BK101" s="73" t="str">
        <f t="shared" si="122"/>
        <v/>
      </c>
      <c r="BL101" s="73" t="str">
        <f t="shared" si="122"/>
        <v/>
      </c>
      <c r="BM101" s="73" t="str">
        <f t="shared" si="122"/>
        <v/>
      </c>
      <c r="BN101" s="73" t="str">
        <f t="shared" si="122"/>
        <v/>
      </c>
      <c r="BO101" s="73" t="str">
        <f t="shared" si="122"/>
        <v/>
      </c>
      <c r="BP101" s="73" t="str">
        <f t="shared" si="122"/>
        <v/>
      </c>
      <c r="BQ101" s="73" t="str">
        <f t="shared" si="122"/>
        <v/>
      </c>
      <c r="BR101" s="73" t="str">
        <f t="shared" si="114"/>
        <v/>
      </c>
      <c r="BS101" s="73" t="str">
        <f t="shared" si="114"/>
        <v/>
      </c>
      <c r="BT101" s="73" t="str">
        <f t="shared" si="114"/>
        <v/>
      </c>
      <c r="BU101" s="73" t="str">
        <f t="shared" si="114"/>
        <v/>
      </c>
      <c r="BV101" s="73" t="str">
        <f t="shared" si="114"/>
        <v/>
      </c>
      <c r="BW101" s="165"/>
      <c r="BZ101" s="253" t="str">
        <f>"Total Distributions ("&amp;BZ97&amp;")"</f>
        <v>Total Distributions (Tier 4)</v>
      </c>
      <c r="CD101" s="55" t="str">
        <f t="shared" ref="CD101:CS101" si="125">IF(CD99="","",CD99+CD100)</f>
        <v/>
      </c>
      <c r="CE101" s="55" t="str">
        <f t="shared" si="125"/>
        <v/>
      </c>
      <c r="CF101" s="55" t="str">
        <f t="shared" si="125"/>
        <v/>
      </c>
      <c r="CG101" s="55" t="str">
        <f t="shared" si="125"/>
        <v/>
      </c>
      <c r="CH101" s="55" t="str">
        <f t="shared" si="125"/>
        <v/>
      </c>
      <c r="CI101" s="55" t="str">
        <f t="shared" si="125"/>
        <v/>
      </c>
      <c r="CJ101" s="55" t="str">
        <f t="shared" si="125"/>
        <v/>
      </c>
      <c r="CK101" s="55" t="str">
        <f t="shared" si="125"/>
        <v/>
      </c>
      <c r="CL101" s="55" t="str">
        <f t="shared" si="125"/>
        <v/>
      </c>
      <c r="CM101" s="55" t="str">
        <f t="shared" si="125"/>
        <v/>
      </c>
      <c r="CN101" s="55" t="str">
        <f t="shared" si="125"/>
        <v/>
      </c>
      <c r="CO101" s="55" t="str">
        <f t="shared" si="125"/>
        <v/>
      </c>
      <c r="CP101" s="55" t="str">
        <f t="shared" si="125"/>
        <v/>
      </c>
      <c r="CQ101" s="55" t="str">
        <f t="shared" si="125"/>
        <v/>
      </c>
      <c r="CR101" s="55" t="str">
        <f t="shared" si="125"/>
        <v/>
      </c>
      <c r="CS101" s="55" t="str">
        <f t="shared" si="125"/>
        <v/>
      </c>
    </row>
    <row r="102" spans="1:97">
      <c r="A102" s="329"/>
      <c r="AG102" s="165"/>
      <c r="AH102" s="165"/>
      <c r="AI102" s="165"/>
      <c r="AJ102" s="400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381"/>
      <c r="BB102" s="165"/>
      <c r="BC102" s="165"/>
      <c r="BD102" s="165"/>
      <c r="BE102" s="256" t="str">
        <f>BU86</f>
        <v/>
      </c>
      <c r="BF102" s="136" t="str">
        <f t="shared" si="117"/>
        <v/>
      </c>
      <c r="BG102" s="73" t="str">
        <f t="shared" si="122"/>
        <v/>
      </c>
      <c r="BH102" s="73" t="str">
        <f t="shared" si="122"/>
        <v/>
      </c>
      <c r="BI102" s="73" t="str">
        <f t="shared" si="122"/>
        <v/>
      </c>
      <c r="BJ102" s="73" t="str">
        <f t="shared" si="122"/>
        <v/>
      </c>
      <c r="BK102" s="73" t="str">
        <f t="shared" si="122"/>
        <v/>
      </c>
      <c r="BL102" s="73" t="str">
        <f t="shared" si="122"/>
        <v/>
      </c>
      <c r="BM102" s="73" t="str">
        <f t="shared" si="122"/>
        <v/>
      </c>
      <c r="BN102" s="73" t="str">
        <f t="shared" si="122"/>
        <v/>
      </c>
      <c r="BO102" s="73" t="str">
        <f t="shared" si="122"/>
        <v/>
      </c>
      <c r="BP102" s="73" t="str">
        <f t="shared" si="122"/>
        <v/>
      </c>
      <c r="BQ102" s="73" t="str">
        <f t="shared" si="122"/>
        <v/>
      </c>
      <c r="BR102" s="73" t="str">
        <f t="shared" si="114"/>
        <v/>
      </c>
      <c r="BS102" s="73" t="str">
        <f t="shared" si="114"/>
        <v/>
      </c>
      <c r="BT102" s="73" t="str">
        <f t="shared" si="114"/>
        <v/>
      </c>
      <c r="BU102" s="73" t="str">
        <f t="shared" si="114"/>
        <v/>
      </c>
      <c r="BV102" s="73" t="str">
        <f t="shared" si="114"/>
        <v/>
      </c>
      <c r="BW102" s="165"/>
      <c r="BZ102" s="253" t="s">
        <v>328</v>
      </c>
      <c r="CD102" s="55" t="str">
        <f t="shared" ref="CD102:CS102" si="126">IF(CD99="","",CD95-CD101)</f>
        <v/>
      </c>
      <c r="CE102" s="55" t="str">
        <f t="shared" si="126"/>
        <v/>
      </c>
      <c r="CF102" s="55" t="str">
        <f t="shared" si="126"/>
        <v/>
      </c>
      <c r="CG102" s="55" t="str">
        <f t="shared" si="126"/>
        <v/>
      </c>
      <c r="CH102" s="55" t="str">
        <f t="shared" si="126"/>
        <v/>
      </c>
      <c r="CI102" s="55" t="str">
        <f t="shared" si="126"/>
        <v/>
      </c>
      <c r="CJ102" s="55" t="str">
        <f t="shared" si="126"/>
        <v/>
      </c>
      <c r="CK102" s="55" t="str">
        <f t="shared" si="126"/>
        <v/>
      </c>
      <c r="CL102" s="55" t="str">
        <f t="shared" si="126"/>
        <v/>
      </c>
      <c r="CM102" s="55" t="str">
        <f t="shared" si="126"/>
        <v/>
      </c>
      <c r="CN102" s="55" t="str">
        <f t="shared" si="126"/>
        <v/>
      </c>
      <c r="CO102" s="55" t="str">
        <f t="shared" si="126"/>
        <v/>
      </c>
      <c r="CP102" s="55" t="str">
        <f t="shared" si="126"/>
        <v/>
      </c>
      <c r="CQ102" s="55" t="str">
        <f t="shared" si="126"/>
        <v/>
      </c>
      <c r="CR102" s="55" t="str">
        <f t="shared" si="126"/>
        <v/>
      </c>
      <c r="CS102" s="55" t="str">
        <f t="shared" si="126"/>
        <v/>
      </c>
    </row>
    <row r="103" spans="1:97">
      <c r="A103" s="329"/>
      <c r="AG103" s="165"/>
      <c r="AH103" s="165"/>
      <c r="AI103" s="165"/>
      <c r="AJ103" s="400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381"/>
      <c r="BB103" s="165"/>
      <c r="BC103" s="165"/>
      <c r="BD103" s="165"/>
      <c r="BE103" s="256" t="str">
        <f>BV86</f>
        <v/>
      </c>
      <c r="BF103" s="136" t="str">
        <f t="shared" si="117"/>
        <v/>
      </c>
      <c r="BG103" s="73" t="str">
        <f t="shared" si="122"/>
        <v/>
      </c>
      <c r="BH103" s="73" t="str">
        <f t="shared" si="122"/>
        <v/>
      </c>
      <c r="BI103" s="73" t="str">
        <f t="shared" si="122"/>
        <v/>
      </c>
      <c r="BJ103" s="73" t="str">
        <f t="shared" si="122"/>
        <v/>
      </c>
      <c r="BK103" s="73" t="str">
        <f t="shared" si="122"/>
        <v/>
      </c>
      <c r="BL103" s="73" t="str">
        <f t="shared" si="122"/>
        <v/>
      </c>
      <c r="BM103" s="73" t="str">
        <f t="shared" si="122"/>
        <v/>
      </c>
      <c r="BN103" s="73" t="str">
        <f t="shared" si="122"/>
        <v/>
      </c>
      <c r="BO103" s="73" t="str">
        <f t="shared" si="122"/>
        <v/>
      </c>
      <c r="BP103" s="73" t="str">
        <f t="shared" si="122"/>
        <v/>
      </c>
      <c r="BQ103" s="73" t="str">
        <f t="shared" si="122"/>
        <v/>
      </c>
      <c r="BR103" s="73" t="str">
        <f>IF(OR(BR$65="",$AU103=""),"",(BR$65&lt;=$AU103)*(-BR$13+BR$17+BR$26)+(BR$65=$AU103)*(BR$33-BR$36))</f>
        <v/>
      </c>
      <c r="BS103" s="73" t="str">
        <f>IF(OR(BS$65="",$AU103=""),"",(BS$65&lt;=$AU103)*(-BS$13+BS$17+BS$26)+(BS$65=$AU103)*(BS$33-BS$36))</f>
        <v/>
      </c>
      <c r="BT103" s="73" t="str">
        <f>IF(OR(BT$65="",$AU103=""),"",(BT$65&lt;=$AU103)*(-BT$13+BT$17+BT$26)+(BT$65=$AU103)*(BT$33-BT$36))</f>
        <v/>
      </c>
      <c r="BU103" s="73" t="str">
        <f>IF(OR(BU$65="",$AU103=""),"",(BU$65&lt;=$AU103)*(-BU$13+BU$17+BU$26)+(BU$65=$AU103)*(BU$33-BU$36))</f>
        <v/>
      </c>
      <c r="BV103" s="73" t="str">
        <f t="shared" si="114"/>
        <v/>
      </c>
      <c r="BW103" s="165"/>
      <c r="BZ103" s="253"/>
    </row>
    <row r="104" spans="1:97">
      <c r="A104" s="329"/>
      <c r="AG104" s="165"/>
      <c r="AH104" s="165"/>
      <c r="AI104" s="165"/>
      <c r="AJ104" s="400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381"/>
      <c r="BB104" s="165"/>
      <c r="BC104" s="165"/>
      <c r="BD104" s="165"/>
      <c r="BE104" s="165" t="s">
        <v>373</v>
      </c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Z104" s="253"/>
    </row>
    <row r="105" spans="1:97" ht="15" customHeight="1"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</row>
    <row r="106" spans="1:97" ht="15" customHeight="1">
      <c r="B106" s="449" t="s">
        <v>243</v>
      </c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</row>
    <row r="107" spans="1:97" ht="15" customHeight="1">
      <c r="B107" s="449" t="s">
        <v>374</v>
      </c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</row>
    <row r="108" spans="1:97" ht="15" customHeight="1"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</row>
    <row r="109" spans="1:97" ht="15" customHeight="1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</row>
    <row r="110" spans="1:97" ht="15" customHeight="1">
      <c r="A110" s="449"/>
      <c r="B110" s="466" t="s">
        <v>22</v>
      </c>
      <c r="C110" s="452" t="s">
        <v>1</v>
      </c>
      <c r="D110" s="449"/>
      <c r="E110" s="449"/>
      <c r="F110" s="449"/>
      <c r="G110" s="449"/>
      <c r="H110" s="449"/>
      <c r="I110" s="449"/>
      <c r="J110" s="449" t="s">
        <v>1</v>
      </c>
      <c r="K110" s="449" t="s">
        <v>1</v>
      </c>
      <c r="L110" s="449" t="s">
        <v>1</v>
      </c>
      <c r="M110" s="467" t="s">
        <v>1</v>
      </c>
      <c r="N110" s="449" t="s">
        <v>1</v>
      </c>
      <c r="O110" s="449" t="s">
        <v>1</v>
      </c>
      <c r="P110" s="449" t="s">
        <v>1</v>
      </c>
      <c r="Q110" s="449"/>
      <c r="R110" s="449"/>
      <c r="S110" s="449"/>
      <c r="T110" s="449"/>
      <c r="U110" s="449"/>
    </row>
    <row r="111" spans="1:97" ht="15" customHeight="1">
      <c r="A111" s="449"/>
      <c r="B111" s="468" t="s">
        <v>3</v>
      </c>
      <c r="C111" s="469" t="s">
        <v>1</v>
      </c>
      <c r="D111" s="470" t="s">
        <v>4</v>
      </c>
      <c r="E111" s="469" t="s">
        <v>1</v>
      </c>
      <c r="F111" s="471"/>
      <c r="G111" s="469"/>
      <c r="H111" s="469"/>
      <c r="I111" s="469"/>
      <c r="J111" s="469" t="s">
        <v>1</v>
      </c>
      <c r="K111" s="469" t="s">
        <v>1</v>
      </c>
      <c r="L111" s="469" t="s">
        <v>1</v>
      </c>
      <c r="M111" s="469" t="s">
        <v>1</v>
      </c>
      <c r="N111" s="469" t="s">
        <v>1</v>
      </c>
      <c r="O111" s="471" t="s">
        <v>1</v>
      </c>
      <c r="P111" s="471" t="s">
        <v>1</v>
      </c>
      <c r="Q111" s="471"/>
      <c r="R111" s="471"/>
      <c r="S111" s="471"/>
      <c r="T111" s="471"/>
      <c r="U111" s="449"/>
    </row>
    <row r="112" spans="1:97" ht="15" customHeight="1">
      <c r="A112" s="449"/>
      <c r="B112" s="472" t="s">
        <v>5</v>
      </c>
      <c r="C112" s="467" t="s">
        <v>1</v>
      </c>
      <c r="D112" s="473"/>
      <c r="E112" s="467" t="s">
        <v>7</v>
      </c>
      <c r="F112" s="467"/>
      <c r="G112" s="467"/>
      <c r="H112" s="467"/>
      <c r="I112" s="467"/>
      <c r="J112" s="467" t="s">
        <v>1</v>
      </c>
      <c r="K112" s="467" t="s">
        <v>1</v>
      </c>
      <c r="L112" s="467" t="s">
        <v>1</v>
      </c>
      <c r="M112" s="467" t="s">
        <v>1</v>
      </c>
      <c r="N112" s="467" t="s">
        <v>1</v>
      </c>
      <c r="O112" s="449" t="s">
        <v>1</v>
      </c>
      <c r="P112" s="449" t="s">
        <v>1</v>
      </c>
      <c r="Q112" s="474"/>
      <c r="R112" s="474"/>
      <c r="S112" s="474"/>
      <c r="T112" s="474"/>
      <c r="U112" s="449"/>
    </row>
    <row r="113" spans="1:21" ht="15" customHeight="1">
      <c r="A113" s="449"/>
      <c r="B113" s="449" t="s">
        <v>1</v>
      </c>
      <c r="C113" s="449" t="s">
        <v>1</v>
      </c>
      <c r="D113" s="449"/>
      <c r="E113" s="449"/>
      <c r="F113" s="449"/>
      <c r="G113" s="449"/>
      <c r="H113" s="449"/>
      <c r="I113" s="449"/>
      <c r="J113" s="449" t="s">
        <v>1</v>
      </c>
      <c r="K113" s="449" t="s">
        <v>1</v>
      </c>
      <c r="L113" s="449" t="s">
        <v>1</v>
      </c>
      <c r="M113" s="467" t="s">
        <v>1</v>
      </c>
      <c r="N113" s="449" t="s">
        <v>1</v>
      </c>
      <c r="O113" s="449" t="s">
        <v>1</v>
      </c>
      <c r="P113" s="449" t="s">
        <v>1</v>
      </c>
      <c r="Q113" s="474"/>
      <c r="R113" s="474"/>
      <c r="S113" s="474"/>
      <c r="T113" s="474"/>
      <c r="U113" s="449"/>
    </row>
    <row r="114" spans="1:21" ht="15" customHeight="1">
      <c r="A114" s="449"/>
      <c r="B114" s="475" t="s">
        <v>8</v>
      </c>
      <c r="C114" s="476" t="s">
        <v>9</v>
      </c>
      <c r="D114" s="476" t="s">
        <v>10</v>
      </c>
      <c r="E114" s="449"/>
      <c r="F114" s="475"/>
      <c r="G114" s="449"/>
      <c r="H114" s="449"/>
      <c r="I114" s="449"/>
      <c r="J114" s="449" t="s">
        <v>1</v>
      </c>
      <c r="K114" s="449" t="s">
        <v>1</v>
      </c>
      <c r="L114" s="449" t="s">
        <v>1</v>
      </c>
      <c r="M114" s="467" t="s">
        <v>1</v>
      </c>
      <c r="N114" s="449" t="s">
        <v>1</v>
      </c>
      <c r="O114" s="449" t="s">
        <v>1</v>
      </c>
      <c r="P114" s="449" t="s">
        <v>1</v>
      </c>
      <c r="Q114" s="474"/>
      <c r="R114" s="474"/>
      <c r="S114" s="474"/>
      <c r="T114" s="474"/>
      <c r="U114" s="449"/>
    </row>
    <row r="115" spans="1:21" ht="15" customHeight="1">
      <c r="A115" s="449"/>
      <c r="B115" s="449" t="s">
        <v>11</v>
      </c>
      <c r="C115" s="477">
        <v>0.05</v>
      </c>
      <c r="D115" s="478">
        <f>(D20*(1-D29))*C115</f>
        <v>428898.08499999996</v>
      </c>
      <c r="E115" s="449" t="s">
        <v>1</v>
      </c>
      <c r="F115" s="449" t="s">
        <v>1</v>
      </c>
      <c r="G115" s="479" t="s">
        <v>1</v>
      </c>
      <c r="H115" s="449" t="s">
        <v>1</v>
      </c>
      <c r="I115" s="449" t="s">
        <v>1</v>
      </c>
      <c r="J115" s="449" t="s">
        <v>1</v>
      </c>
      <c r="K115" s="480"/>
      <c r="L115" s="481"/>
      <c r="M115" s="449" t="s">
        <v>1</v>
      </c>
      <c r="N115" s="449" t="s">
        <v>1</v>
      </c>
      <c r="O115" s="449" t="s">
        <v>1</v>
      </c>
      <c r="P115" s="449" t="s">
        <v>1</v>
      </c>
      <c r="Q115" s="474"/>
      <c r="R115" s="474"/>
      <c r="S115" s="474"/>
      <c r="T115" s="474"/>
      <c r="U115" s="449"/>
    </row>
    <row r="116" spans="1:21" ht="15" customHeight="1">
      <c r="A116" s="449"/>
      <c r="B116" s="449" t="s">
        <v>14</v>
      </c>
      <c r="C116" s="482">
        <v>0.95</v>
      </c>
      <c r="D116" s="483">
        <f>(D20*(1-D29))*C116</f>
        <v>8149063.6149999993</v>
      </c>
      <c r="E116" s="484"/>
      <c r="F116" s="449" t="s">
        <v>1</v>
      </c>
      <c r="G116" s="479" t="s">
        <v>1</v>
      </c>
      <c r="H116" s="449" t="s">
        <v>1</v>
      </c>
      <c r="I116" s="449" t="s">
        <v>1</v>
      </c>
      <c r="J116" s="449" t="s">
        <v>1</v>
      </c>
      <c r="K116" s="480"/>
      <c r="L116" s="485"/>
      <c r="M116" s="449" t="s">
        <v>1</v>
      </c>
      <c r="N116" s="449" t="s">
        <v>1</v>
      </c>
      <c r="O116" s="449" t="s">
        <v>1</v>
      </c>
      <c r="P116" s="449" t="s">
        <v>1</v>
      </c>
      <c r="Q116" s="449"/>
      <c r="R116" s="449"/>
      <c r="S116" s="449"/>
      <c r="T116" s="449"/>
      <c r="U116" s="449"/>
    </row>
    <row r="117" spans="1:21" ht="15" customHeight="1" thickBot="1">
      <c r="A117" s="449"/>
      <c r="B117" s="449" t="s">
        <v>17</v>
      </c>
      <c r="C117" s="449" t="s">
        <v>1</v>
      </c>
      <c r="D117" s="486">
        <f>SUM(D115:D116)</f>
        <v>8577961.6999999993</v>
      </c>
      <c r="E117" s="484"/>
      <c r="F117" s="449"/>
      <c r="G117" s="487"/>
      <c r="H117" s="449" t="s">
        <v>1</v>
      </c>
      <c r="I117" s="449" t="s">
        <v>1</v>
      </c>
      <c r="J117" s="449" t="s">
        <v>1</v>
      </c>
      <c r="K117" s="480"/>
      <c r="L117" s="485"/>
      <c r="M117" s="449" t="s">
        <v>1</v>
      </c>
      <c r="N117" s="449" t="s">
        <v>1</v>
      </c>
      <c r="O117" s="449" t="s">
        <v>1</v>
      </c>
      <c r="P117" s="449" t="s">
        <v>1</v>
      </c>
      <c r="Q117" s="449"/>
      <c r="R117" s="449"/>
      <c r="S117" s="449"/>
      <c r="T117" s="449"/>
      <c r="U117" s="449"/>
    </row>
    <row r="118" spans="1:21" ht="15" customHeight="1" thickTop="1">
      <c r="A118" s="449"/>
      <c r="B118" s="449" t="s">
        <v>1</v>
      </c>
      <c r="C118" s="449" t="s">
        <v>1</v>
      </c>
      <c r="D118" s="473" t="s">
        <v>1</v>
      </c>
      <c r="E118" s="449" t="s">
        <v>1</v>
      </c>
      <c r="F118" s="449" t="s">
        <v>1</v>
      </c>
      <c r="G118" s="479" t="s">
        <v>1</v>
      </c>
      <c r="H118" s="449" t="s">
        <v>1</v>
      </c>
      <c r="I118" s="449" t="s">
        <v>1</v>
      </c>
      <c r="J118" s="449" t="s">
        <v>1</v>
      </c>
      <c r="K118" s="449" t="s">
        <v>1</v>
      </c>
      <c r="L118" s="449" t="s">
        <v>1</v>
      </c>
      <c r="M118" s="449" t="s">
        <v>1</v>
      </c>
      <c r="N118" s="449" t="s">
        <v>1</v>
      </c>
      <c r="O118" s="449" t="s">
        <v>1</v>
      </c>
      <c r="P118" s="449" t="s">
        <v>1</v>
      </c>
      <c r="Q118" s="449"/>
      <c r="R118" s="449"/>
      <c r="S118" s="449"/>
      <c r="T118" s="449"/>
      <c r="U118" s="449"/>
    </row>
    <row r="119" spans="1:21" ht="27" customHeight="1">
      <c r="A119" s="449"/>
      <c r="B119" s="488" t="s">
        <v>19</v>
      </c>
      <c r="C119" s="488" t="s">
        <v>4</v>
      </c>
      <c r="D119" s="449" t="s">
        <v>1</v>
      </c>
      <c r="E119" s="449" t="s">
        <v>1</v>
      </c>
      <c r="F119" s="489" t="s">
        <v>20</v>
      </c>
      <c r="G119" s="489"/>
      <c r="H119" s="490" t="s">
        <v>21</v>
      </c>
      <c r="I119" s="490"/>
      <c r="J119" s="449" t="s">
        <v>1</v>
      </c>
      <c r="K119" s="449" t="s">
        <v>1</v>
      </c>
      <c r="L119" s="449" t="s">
        <v>1</v>
      </c>
      <c r="M119" s="449" t="s">
        <v>1</v>
      </c>
      <c r="N119" s="449" t="s">
        <v>1</v>
      </c>
      <c r="O119" s="449" t="s">
        <v>1</v>
      </c>
      <c r="P119" s="449" t="s">
        <v>1</v>
      </c>
      <c r="Q119" s="449"/>
      <c r="R119" s="449"/>
      <c r="S119" s="449"/>
      <c r="T119" s="449"/>
      <c r="U119" s="449"/>
    </row>
    <row r="120" spans="1:21" ht="15" customHeight="1">
      <c r="A120" s="449"/>
      <c r="B120" s="466" t="s">
        <v>22</v>
      </c>
      <c r="C120" s="449" t="s">
        <v>1</v>
      </c>
      <c r="D120" s="449" t="s">
        <v>1</v>
      </c>
      <c r="E120" s="449" t="s">
        <v>1</v>
      </c>
      <c r="F120" s="489"/>
      <c r="G120" s="489"/>
      <c r="H120" s="476" t="s">
        <v>23</v>
      </c>
      <c r="I120" s="476" t="s">
        <v>24</v>
      </c>
      <c r="J120" s="476" t="s">
        <v>25</v>
      </c>
      <c r="K120" s="449" t="s">
        <v>1</v>
      </c>
      <c r="L120" s="449" t="s">
        <v>1</v>
      </c>
      <c r="M120" s="449" t="s">
        <v>1</v>
      </c>
      <c r="N120" s="449" t="s">
        <v>1</v>
      </c>
      <c r="O120" s="449" t="s">
        <v>1</v>
      </c>
      <c r="P120" s="449" t="s">
        <v>1</v>
      </c>
      <c r="Q120" s="449"/>
      <c r="R120" s="449"/>
      <c r="S120" s="449"/>
      <c r="T120" s="449"/>
      <c r="U120" s="449"/>
    </row>
    <row r="121" spans="1:21" ht="15" customHeight="1">
      <c r="A121" s="449"/>
      <c r="B121" s="449" t="s">
        <v>26</v>
      </c>
      <c r="C121" s="491" t="s">
        <v>27</v>
      </c>
      <c r="D121" s="490" t="s">
        <v>4</v>
      </c>
      <c r="E121" s="473" t="s">
        <v>28</v>
      </c>
      <c r="F121" s="492" t="s">
        <v>29</v>
      </c>
      <c r="G121" s="492" t="s">
        <v>1</v>
      </c>
      <c r="H121" s="477">
        <f>C115</f>
        <v>0.05</v>
      </c>
      <c r="I121" s="493">
        <f>1-H121</f>
        <v>0.95</v>
      </c>
      <c r="J121" s="488" t="s">
        <v>30</v>
      </c>
      <c r="K121" s="488"/>
      <c r="L121" s="488"/>
      <c r="M121" s="488"/>
      <c r="N121" s="488"/>
      <c r="O121" s="449" t="s">
        <v>1</v>
      </c>
      <c r="P121" s="449" t="s">
        <v>1</v>
      </c>
      <c r="Q121" s="449"/>
      <c r="R121" s="449"/>
      <c r="S121" s="449"/>
      <c r="T121" s="449"/>
      <c r="U121" s="449"/>
    </row>
    <row r="122" spans="1:21" ht="15" customHeight="1">
      <c r="A122" s="449"/>
      <c r="B122" s="449" t="s">
        <v>31</v>
      </c>
      <c r="C122" s="494" t="s">
        <v>32</v>
      </c>
      <c r="D122" s="495">
        <v>0.08</v>
      </c>
      <c r="E122" s="473" t="s">
        <v>34</v>
      </c>
      <c r="F122" s="477">
        <v>0.2</v>
      </c>
      <c r="G122" s="449" t="s">
        <v>1</v>
      </c>
      <c r="H122" s="496">
        <f>1-($CA$9*(1-F122))</f>
        <v>0.24</v>
      </c>
      <c r="I122" s="493">
        <f>1-H122</f>
        <v>0.76</v>
      </c>
      <c r="J122" s="488" t="s">
        <v>35</v>
      </c>
      <c r="K122" s="488"/>
      <c r="L122" s="488"/>
      <c r="M122" s="488"/>
      <c r="N122" s="488"/>
      <c r="O122" s="449"/>
      <c r="P122" s="449"/>
      <c r="Q122" s="449"/>
      <c r="R122" s="449"/>
      <c r="S122" s="449"/>
      <c r="T122" s="449"/>
      <c r="U122" s="449"/>
    </row>
    <row r="123" spans="1:21" ht="15" customHeight="1">
      <c r="A123" s="449"/>
      <c r="B123" s="449" t="s">
        <v>36</v>
      </c>
      <c r="C123" s="494" t="s">
        <v>37</v>
      </c>
      <c r="D123" s="495">
        <v>0.12</v>
      </c>
      <c r="E123" s="473" t="s">
        <v>39</v>
      </c>
      <c r="F123" s="477">
        <v>0.3</v>
      </c>
      <c r="G123" s="449" t="s">
        <v>1</v>
      </c>
      <c r="H123" s="496">
        <f>1-($CA$9*(1-F123))</f>
        <v>0.33500000000000008</v>
      </c>
      <c r="I123" s="493">
        <f>1-H123</f>
        <v>0.66499999999999992</v>
      </c>
      <c r="J123" s="488" t="s">
        <v>40</v>
      </c>
      <c r="K123" s="488"/>
      <c r="L123" s="488"/>
      <c r="M123" s="488"/>
      <c r="N123" s="488"/>
      <c r="O123" s="449"/>
      <c r="P123" s="449"/>
      <c r="Q123" s="449"/>
      <c r="R123" s="449"/>
      <c r="S123" s="449"/>
      <c r="T123" s="449"/>
      <c r="U123" s="449"/>
    </row>
    <row r="124" spans="1:21" ht="15" customHeight="1">
      <c r="A124" s="449"/>
      <c r="B124" s="449" t="s">
        <v>41</v>
      </c>
      <c r="C124" s="494" t="s">
        <v>42</v>
      </c>
      <c r="D124" s="495">
        <v>0.15</v>
      </c>
      <c r="E124" s="473" t="s">
        <v>1</v>
      </c>
      <c r="F124" s="477">
        <v>0.4</v>
      </c>
      <c r="G124" s="449" t="s">
        <v>1</v>
      </c>
      <c r="H124" s="496">
        <f>1-($CA$9*(1-F124))</f>
        <v>0.43000000000000005</v>
      </c>
      <c r="I124" s="493">
        <f>1-H124</f>
        <v>0.56999999999999995</v>
      </c>
      <c r="J124" s="488" t="s">
        <v>44</v>
      </c>
      <c r="K124" s="488"/>
      <c r="L124" s="488"/>
      <c r="M124" s="488"/>
      <c r="N124" s="488"/>
      <c r="O124" s="449"/>
      <c r="P124" s="449"/>
      <c r="Q124" s="449"/>
      <c r="R124" s="449"/>
      <c r="S124" s="449"/>
      <c r="T124" s="449"/>
      <c r="U124" s="449"/>
    </row>
    <row r="125" spans="1:21" ht="15" customHeight="1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</row>
    <row r="126" spans="1:21" ht="15" customHeight="1">
      <c r="A126" s="449"/>
      <c r="B126" s="466" t="s">
        <v>379</v>
      </c>
      <c r="C126" s="479">
        <v>114000</v>
      </c>
      <c r="D126" s="497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</row>
    <row r="127" spans="1:21" ht="15" customHeight="1">
      <c r="A127" s="449"/>
      <c r="B127" s="498" t="s">
        <v>77</v>
      </c>
      <c r="C127" s="479">
        <v>367627</v>
      </c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</row>
    <row r="128" spans="1:21" ht="15" customHeight="1">
      <c r="A128" s="449"/>
      <c r="B128" s="499"/>
      <c r="C128" s="499"/>
      <c r="D128" s="500"/>
      <c r="E128" s="500"/>
      <c r="F128" s="501"/>
      <c r="G128" s="501"/>
      <c r="H128" s="502"/>
      <c r="I128" s="500"/>
      <c r="J128" s="502"/>
      <c r="K128" s="500"/>
      <c r="L128" s="500"/>
      <c r="M128" s="500"/>
      <c r="N128" s="500"/>
      <c r="O128" s="500"/>
      <c r="P128" s="500"/>
      <c r="Q128" s="449"/>
      <c r="R128" s="449"/>
      <c r="S128" s="449"/>
      <c r="T128" s="449"/>
      <c r="U128" s="449"/>
    </row>
    <row r="129" spans="1:21" ht="15" customHeight="1">
      <c r="A129" s="449"/>
      <c r="B129" s="503"/>
      <c r="C129" s="500"/>
      <c r="D129" s="500"/>
      <c r="E129" s="500"/>
      <c r="F129" s="501"/>
      <c r="G129" s="501"/>
      <c r="H129" s="504"/>
      <c r="I129" s="500"/>
      <c r="J129" s="504"/>
      <c r="K129" s="504"/>
      <c r="L129" s="500"/>
      <c r="M129" s="500"/>
      <c r="N129" s="500"/>
      <c r="O129" s="500"/>
      <c r="P129" s="500"/>
      <c r="Q129" s="449"/>
      <c r="R129" s="449"/>
      <c r="S129" s="449"/>
      <c r="T129" s="449"/>
      <c r="U129" s="449"/>
    </row>
    <row r="130" spans="1:21" ht="15" customHeight="1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</row>
    <row r="131" spans="1:21" ht="15" customHeight="1">
      <c r="A131" s="449"/>
      <c r="B131" s="505" t="s">
        <v>281</v>
      </c>
      <c r="C131" s="505"/>
      <c r="D131" s="505" t="s">
        <v>11</v>
      </c>
      <c r="E131" s="505"/>
      <c r="F131" s="505" t="s">
        <v>297</v>
      </c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</row>
    <row r="132" spans="1:21" ht="15" customHeight="1">
      <c r="B132" s="475" t="s">
        <v>4</v>
      </c>
      <c r="C132" s="476"/>
      <c r="D132" s="482">
        <v>1.2206999999999999</v>
      </c>
      <c r="E132" s="493"/>
      <c r="F132" s="493">
        <v>6.0100000000000001E-2</v>
      </c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</row>
    <row r="133" spans="1:21" ht="15" customHeight="1">
      <c r="B133" s="449" t="s">
        <v>286</v>
      </c>
      <c r="C133" s="477"/>
      <c r="D133" s="506">
        <v>2351464</v>
      </c>
      <c r="E133" s="506"/>
      <c r="F133" s="506">
        <v>16032900</v>
      </c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</row>
    <row r="134" spans="1:21" ht="15" customHeight="1">
      <c r="B134" s="449" t="s">
        <v>287</v>
      </c>
      <c r="C134" s="482"/>
      <c r="D134" s="506">
        <v>539446</v>
      </c>
      <c r="E134" s="506"/>
      <c r="F134" s="506">
        <v>10249467</v>
      </c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</row>
    <row r="135" spans="1:21" ht="15" customHeight="1">
      <c r="B135" s="449" t="s">
        <v>289</v>
      </c>
      <c r="C135" s="449"/>
      <c r="D135" s="506">
        <v>1812018</v>
      </c>
      <c r="E135" s="506"/>
      <c r="F135" s="506">
        <v>5783433</v>
      </c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</row>
    <row r="136" spans="1:21" ht="15" customHeight="1">
      <c r="B136" s="449" t="s">
        <v>27</v>
      </c>
      <c r="C136" s="449"/>
      <c r="D136" s="506" t="s">
        <v>380</v>
      </c>
      <c r="E136" s="449"/>
      <c r="F136" s="507" t="s">
        <v>380</v>
      </c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</row>
    <row r="137" spans="1:21" ht="15" customHeight="1"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</row>
    <row r="138" spans="1:21" ht="15" customHeight="1"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</row>
  </sheetData>
  <mergeCells count="9">
    <mergeCell ref="CH17:CL17"/>
    <mergeCell ref="Z28:AB28"/>
    <mergeCell ref="Z37:AB37"/>
    <mergeCell ref="B3:D3"/>
    <mergeCell ref="CD12:CE13"/>
    <mergeCell ref="CF12:CG12"/>
    <mergeCell ref="CH14:CL14"/>
    <mergeCell ref="CH15:CL15"/>
    <mergeCell ref="CH16:CL16"/>
  </mergeCells>
  <conditionalFormatting sqref="D16">
    <cfRule type="expression" dxfId="31" priority="3" stopIfTrue="1">
      <formula>$C4&lt;&gt;""</formula>
    </cfRule>
  </conditionalFormatting>
  <conditionalFormatting sqref="D17">
    <cfRule type="expression" dxfId="30" priority="6" stopIfTrue="1">
      <formula>$C8&lt;&gt;""</formula>
    </cfRule>
  </conditionalFormatting>
  <conditionalFormatting sqref="D18:D19">
    <cfRule type="expression" dxfId="29" priority="4" stopIfTrue="1">
      <formula>$C10&lt;&gt;""</formula>
    </cfRule>
  </conditionalFormatting>
  <conditionalFormatting sqref="D24:D26 D29">
    <cfRule type="expression" dxfId="28" priority="1" stopIfTrue="1">
      <formula>$C25&lt;&gt;""</formula>
    </cfRule>
  </conditionalFormatting>
  <conditionalFormatting sqref="D27:D28">
    <cfRule type="expression" dxfId="27" priority="5" stopIfTrue="1">
      <formula>$C29&lt;&gt;""</formula>
    </cfRule>
  </conditionalFormatting>
  <conditionalFormatting sqref="D30">
    <cfRule type="expression" dxfId="26" priority="2" stopIfTrue="1">
      <formula>#REF!&lt;&gt;""</formula>
    </cfRule>
  </conditionalFormatting>
  <dataValidations disablePrompts="1" count="6">
    <dataValidation type="list" allowBlank="1" showInputMessage="1" showErrorMessage="1" sqref="AG9" xr:uid="{7F7930E9-EBBD-43BE-AC54-83C5FCAF3A81}">
      <formula1>"Simple, Detailed"</formula1>
    </dataValidation>
    <dataValidation type="whole" allowBlank="1" showInputMessage="1" showErrorMessage="1" errorTitle="Invalid Year" error="Mininum of 1 year._x000a_Maximum of 15 years." sqref="D10" xr:uid="{881792F7-69A1-47E5-9C67-9BEEC89E3B56}">
      <formula1>1</formula1>
      <formula2>15</formula2>
    </dataValidation>
    <dataValidation type="list" allowBlank="1" showInputMessage="1" showErrorMessage="1" sqref="D7" xr:uid="{5E4BB3FF-71B2-4BFE-B3EE-04B2718E8946}">
      <formula1>"Manual Input,DCF Value,Cap Year 1 NOI,Replacement Cost"</formula1>
    </dataValidation>
    <dataValidation type="decimal" operator="greaterThan" allowBlank="1" showInputMessage="1" showErrorMessage="1" sqref="D15" xr:uid="{81C93A8C-7011-4C81-A608-AB61926805D8}">
      <formula1>0</formula1>
    </dataValidation>
    <dataValidation type="list" allowBlank="1" showInputMessage="1" showErrorMessage="1" sqref="I3 D9" xr:uid="{72D4724D-2CFB-4D3E-A8BD-1398BFCF17A3}">
      <formula1>"SF,M2"</formula1>
    </dataValidation>
    <dataValidation type="list" allowBlank="1" showInputMessage="1" showErrorMessage="1" errorTitle="Invalid Entry" error="Enter a value lesser than or equal to 15 years (max length available in this model)" sqref="D11" xr:uid="{E5B297E5-1131-42E8-917B-60F77ADB9245}">
      <formula1>"T12,Forward 12"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6A81-D2AB-4425-B189-9BB52E74B419}">
  <dimension ref="A1:DO138"/>
  <sheetViews>
    <sheetView topLeftCell="F1" workbookViewId="0">
      <selection activeCell="G1" sqref="G1:G1048576"/>
    </sheetView>
  </sheetViews>
  <sheetFormatPr defaultColWidth="10.7109375" defaultRowHeight="15.4"/>
  <cols>
    <col min="1" max="1" width="3.5703125" style="55" customWidth="1"/>
    <col min="2" max="2" width="31.7109375" style="55" bestFit="1" customWidth="1"/>
    <col min="3" max="3" width="17" style="55" customWidth="1"/>
    <col min="4" max="4" width="14.7109375" style="55" bestFit="1" customWidth="1"/>
    <col min="5" max="5" width="22.42578125" style="55" customWidth="1"/>
    <col min="6" max="6" width="18.85546875" style="55" customWidth="1"/>
    <col min="7" max="7" width="19.140625" style="55" customWidth="1"/>
    <col min="8" max="8" width="16.85546875" style="55" customWidth="1"/>
    <col min="9" max="9" width="19.28515625" style="55" customWidth="1"/>
    <col min="10" max="10" width="21.28515625" style="55" customWidth="1"/>
    <col min="11" max="11" width="18.42578125" style="55" customWidth="1"/>
    <col min="12" max="12" width="10.7109375" style="55"/>
    <col min="13" max="13" width="11.85546875" style="55" bestFit="1" customWidth="1"/>
    <col min="14" max="23" width="10.7109375" style="55"/>
    <col min="24" max="24" width="10.7109375" style="161"/>
    <col min="25" max="25" width="10.7109375" style="55"/>
    <col min="26" max="26" width="24.85546875" style="55" customWidth="1"/>
    <col min="27" max="27" width="1.7109375" style="55" customWidth="1"/>
    <col min="28" max="28" width="18.140625" style="55" customWidth="1"/>
    <col min="29" max="29" width="19.85546875" style="163" customWidth="1"/>
    <col min="30" max="30" width="11" style="55" customWidth="1"/>
    <col min="31" max="32" width="10.7109375" style="55"/>
    <col min="33" max="33" width="30" style="55" customWidth="1"/>
    <col min="34" max="34" width="25.28515625" style="55" customWidth="1"/>
    <col min="35" max="35" width="11.28515625" style="55" customWidth="1"/>
    <col min="36" max="36" width="14.7109375" style="399" customWidth="1"/>
    <col min="37" max="37" width="14.42578125" style="55" customWidth="1"/>
    <col min="38" max="38" width="15" style="55" customWidth="1"/>
    <col min="39" max="39" width="21.140625" style="55" customWidth="1"/>
    <col min="40" max="40" width="11.85546875" style="55" customWidth="1"/>
    <col min="41" max="41" width="12.140625" style="55" customWidth="1"/>
    <col min="42" max="42" width="13.28515625" style="55" customWidth="1"/>
    <col min="43" max="43" width="11.7109375" style="55" bestFit="1" customWidth="1"/>
    <col min="44" max="44" width="13.5703125" style="55" bestFit="1" customWidth="1"/>
    <col min="45" max="45" width="12.85546875" style="55" customWidth="1"/>
    <col min="46" max="46" width="13" style="55" customWidth="1"/>
    <col min="47" max="47" width="12" style="55" customWidth="1"/>
    <col min="48" max="48" width="12.85546875" style="55" customWidth="1"/>
    <col min="49" max="49" width="12.42578125" style="55" customWidth="1"/>
    <col min="50" max="50" width="13.5703125" style="55" customWidth="1"/>
    <col min="51" max="51" width="12.5703125" style="55" customWidth="1"/>
    <col min="52" max="52" width="13.28515625" style="55" customWidth="1"/>
    <col min="53" max="53" width="36" style="380" customWidth="1"/>
    <col min="54" max="55" width="10.7109375" style="55"/>
    <col min="56" max="56" width="5.7109375" style="55" bestFit="1" customWidth="1"/>
    <col min="57" max="57" width="70.85546875" style="55" bestFit="1" customWidth="1"/>
    <col min="58" max="58" width="11.140625" style="55" bestFit="1" customWidth="1"/>
    <col min="59" max="60" width="11.7109375" style="55" customWidth="1"/>
    <col min="61" max="61" width="12.28515625" style="55" bestFit="1" customWidth="1"/>
    <col min="62" max="69" width="11.7109375" style="55" customWidth="1"/>
    <col min="70" max="70" width="14.42578125" style="55" customWidth="1"/>
    <col min="71" max="74" width="2.5703125" style="55" bestFit="1" customWidth="1"/>
    <col min="75" max="76" width="10.7109375" style="55"/>
    <col min="77" max="77" width="5.7109375" style="55" bestFit="1" customWidth="1"/>
    <col min="78" max="78" width="51" style="55" customWidth="1"/>
    <col min="79" max="79" width="16" style="55" bestFit="1" customWidth="1"/>
    <col min="80" max="80" width="16.28515625" style="55" customWidth="1"/>
    <col min="81" max="81" width="20.42578125" style="55" bestFit="1" customWidth="1"/>
    <col min="82" max="82" width="13.5703125" style="55" bestFit="1" customWidth="1"/>
    <col min="83" max="83" width="11.7109375" style="55" customWidth="1"/>
    <col min="84" max="84" width="10.5703125" style="55" customWidth="1"/>
    <col min="85" max="85" width="13.42578125" style="55" customWidth="1"/>
    <col min="86" max="86" width="12" style="55" bestFit="1" customWidth="1"/>
    <col min="87" max="87" width="12.28515625" style="55" customWidth="1"/>
    <col min="88" max="88" width="10.7109375" style="55"/>
    <col min="89" max="89" width="11.140625" style="55" customWidth="1"/>
    <col min="90" max="90" width="11.5703125" style="55" customWidth="1"/>
    <col min="91" max="92" width="11.85546875" style="55" customWidth="1"/>
    <col min="93" max="98" width="2.7109375" style="55" bestFit="1" customWidth="1"/>
    <col min="99" max="100" width="10.7109375" style="55"/>
    <col min="101" max="101" width="15.5703125" style="55" customWidth="1"/>
    <col min="102" max="103" width="13" style="55" bestFit="1" customWidth="1"/>
    <col min="104" max="104" width="22.7109375" style="55" customWidth="1"/>
    <col min="105" max="16384" width="10.7109375" style="55"/>
  </cols>
  <sheetData>
    <row r="1" spans="2:119" ht="51.95" customHeight="1">
      <c r="B1" s="160" t="s">
        <v>343</v>
      </c>
      <c r="Z1" s="162" t="s">
        <v>573</v>
      </c>
      <c r="AG1" s="160" t="s">
        <v>574</v>
      </c>
      <c r="AO1" s="164"/>
      <c r="BE1" s="160" t="s">
        <v>575</v>
      </c>
      <c r="BZ1" s="509" t="s">
        <v>122</v>
      </c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W1" s="160" t="s">
        <v>576</v>
      </c>
    </row>
    <row r="2" spans="2:119" ht="16.899999999999999">
      <c r="Z2" s="286" t="s">
        <v>125</v>
      </c>
      <c r="AA2" s="286"/>
      <c r="AB2" s="286"/>
      <c r="AG2" s="165"/>
      <c r="AH2" s="165"/>
      <c r="AI2" s="165"/>
      <c r="AJ2" s="400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381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Z2" s="510" t="str">
        <f>D4</f>
        <v>Hiland Office</v>
      </c>
      <c r="CA2" s="511" t="s">
        <v>1</v>
      </c>
      <c r="CB2" s="511" t="s">
        <v>1</v>
      </c>
      <c r="CC2" s="511" t="s">
        <v>1</v>
      </c>
      <c r="CD2" s="511" t="s">
        <v>1</v>
      </c>
      <c r="CE2" s="511" t="s">
        <v>1</v>
      </c>
      <c r="CF2" s="511" t="s">
        <v>1</v>
      </c>
      <c r="CG2" s="511" t="s">
        <v>1</v>
      </c>
      <c r="CH2" s="511" t="s">
        <v>1</v>
      </c>
      <c r="CI2" s="511" t="s">
        <v>1</v>
      </c>
      <c r="CJ2" s="511" t="s">
        <v>1</v>
      </c>
      <c r="CK2" s="511" t="s">
        <v>1</v>
      </c>
      <c r="CL2" s="511" t="s">
        <v>1</v>
      </c>
      <c r="CM2" s="511" t="s">
        <v>1</v>
      </c>
      <c r="CN2" s="511" t="s">
        <v>1</v>
      </c>
      <c r="CO2" s="511" t="s">
        <v>1</v>
      </c>
      <c r="CP2" s="511" t="s">
        <v>1</v>
      </c>
      <c r="CQ2" s="511" t="s">
        <v>1</v>
      </c>
      <c r="CR2" s="511" t="s">
        <v>1</v>
      </c>
      <c r="CS2" s="511" t="s">
        <v>1</v>
      </c>
      <c r="CT2" s="449"/>
    </row>
    <row r="3" spans="2:119" ht="34.9">
      <c r="B3" s="837" t="s">
        <v>125</v>
      </c>
      <c r="C3" s="837"/>
      <c r="D3" s="837"/>
      <c r="F3" s="168"/>
      <c r="G3" s="169"/>
      <c r="Z3" s="263" t="s">
        <v>126</v>
      </c>
      <c r="AA3" s="263"/>
      <c r="AB3" s="287">
        <f>(1+D18)*AB12+AB29*D30+D17</f>
        <v>25407936.243000001</v>
      </c>
      <c r="AC3" s="163" t="s">
        <v>127</v>
      </c>
      <c r="AG3" s="170" t="s">
        <v>128</v>
      </c>
      <c r="AH3" s="170"/>
      <c r="AI3" s="170"/>
      <c r="AJ3" s="401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382"/>
      <c r="BB3" s="170"/>
      <c r="BC3" s="170"/>
      <c r="BD3" s="293"/>
      <c r="BE3" s="170" t="s">
        <v>128</v>
      </c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1"/>
      <c r="BZ3" s="512" t="s">
        <v>1</v>
      </c>
      <c r="CA3" s="494" t="s">
        <v>1</v>
      </c>
      <c r="CB3" s="494" t="s">
        <v>1</v>
      </c>
      <c r="CC3" s="513" t="s">
        <v>1</v>
      </c>
      <c r="CD3" s="513" t="s">
        <v>1</v>
      </c>
      <c r="CE3" s="513" t="s">
        <v>1</v>
      </c>
      <c r="CF3" s="513" t="s">
        <v>1</v>
      </c>
      <c r="CG3" s="513" t="s">
        <v>1</v>
      </c>
      <c r="CH3" s="513" t="s">
        <v>1</v>
      </c>
      <c r="CI3" s="513" t="s">
        <v>1</v>
      </c>
      <c r="CJ3" s="513" t="s">
        <v>1</v>
      </c>
      <c r="CK3" s="513" t="s">
        <v>1</v>
      </c>
      <c r="CL3" s="513" t="s">
        <v>1</v>
      </c>
      <c r="CM3" s="513" t="s">
        <v>1</v>
      </c>
      <c r="CN3" s="513" t="s">
        <v>1</v>
      </c>
      <c r="CO3" s="513" t="s">
        <v>1</v>
      </c>
      <c r="CP3" s="513" t="s">
        <v>1</v>
      </c>
      <c r="CQ3" s="513" t="s">
        <v>1</v>
      </c>
      <c r="CR3" s="513" t="s">
        <v>1</v>
      </c>
      <c r="CS3" s="513" t="s">
        <v>1</v>
      </c>
      <c r="CT3" s="449"/>
      <c r="CW3" s="231"/>
      <c r="CX3" s="231" t="s">
        <v>46</v>
      </c>
      <c r="CY3" s="231" t="s">
        <v>129</v>
      </c>
      <c r="CZ3" s="248" t="s">
        <v>130</v>
      </c>
      <c r="DA3" s="598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</row>
    <row r="4" spans="2:119" ht="15.75">
      <c r="B4" s="35" t="s">
        <v>131</v>
      </c>
      <c r="C4" s="174"/>
      <c r="D4" s="36" t="s">
        <v>132</v>
      </c>
      <c r="G4" s="175"/>
      <c r="Z4" s="263" t="s">
        <v>133</v>
      </c>
      <c r="AA4" s="263"/>
      <c r="AB4" s="288">
        <f>AB6/AB12</f>
        <v>6.5000013024073072E-2</v>
      </c>
      <c r="AC4" s="163" t="s">
        <v>134</v>
      </c>
      <c r="AG4" s="165"/>
      <c r="AH4" s="165"/>
      <c r="AI4" s="165"/>
      <c r="AJ4" s="400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381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Z4" s="514" t="s">
        <v>3</v>
      </c>
      <c r="CA4" s="515" t="s">
        <v>1</v>
      </c>
      <c r="CB4" s="470"/>
      <c r="CC4" s="515" t="s">
        <v>1</v>
      </c>
      <c r="CD4" s="471"/>
      <c r="CE4" s="469"/>
      <c r="CF4" s="469"/>
      <c r="CG4" s="469"/>
      <c r="CH4" s="515" t="s">
        <v>1</v>
      </c>
      <c r="CI4" s="515" t="s">
        <v>1</v>
      </c>
      <c r="CJ4" s="515" t="s">
        <v>1</v>
      </c>
      <c r="CK4" s="515" t="s">
        <v>1</v>
      </c>
      <c r="CL4" s="515" t="s">
        <v>1</v>
      </c>
      <c r="CM4" s="515" t="s">
        <v>1</v>
      </c>
      <c r="CN4" s="515" t="s">
        <v>1</v>
      </c>
      <c r="CO4" s="515" t="s">
        <v>1</v>
      </c>
      <c r="CP4" s="515" t="s">
        <v>1</v>
      </c>
      <c r="CQ4" s="515" t="s">
        <v>1</v>
      </c>
      <c r="CR4" s="516" t="s">
        <v>1</v>
      </c>
      <c r="CS4" s="513" t="s">
        <v>1</v>
      </c>
      <c r="CT4" s="449"/>
      <c r="CW4" s="55" t="s">
        <v>135</v>
      </c>
      <c r="CX4" s="441">
        <f>G88</f>
        <v>645198</v>
      </c>
      <c r="CY4" s="441">
        <f>I88</f>
        <v>782198.00000000047</v>
      </c>
      <c r="CZ4" s="446">
        <f>K88</f>
        <v>782198</v>
      </c>
    </row>
    <row r="5" spans="2:119" ht="23.25">
      <c r="B5" s="35" t="s">
        <v>136</v>
      </c>
      <c r="C5" s="174"/>
      <c r="D5" s="37" t="s">
        <v>137</v>
      </c>
      <c r="G5" s="177"/>
      <c r="Z5" s="263" t="s">
        <v>138</v>
      </c>
      <c r="AA5" s="263"/>
      <c r="AB5" s="289">
        <f>AB12/D16</f>
        <v>490.16924</v>
      </c>
      <c r="AC5" s="163" t="s">
        <v>139</v>
      </c>
      <c r="AG5" s="165"/>
      <c r="AH5" s="165"/>
      <c r="AI5" s="165"/>
      <c r="AJ5" s="400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381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Z5" s="517" t="s">
        <v>5</v>
      </c>
      <c r="CA5" s="513" t="s">
        <v>1</v>
      </c>
      <c r="CB5" s="473"/>
      <c r="CC5" s="467" t="s">
        <v>7</v>
      </c>
      <c r="CD5" s="467"/>
      <c r="CE5" s="467"/>
      <c r="CF5" s="467"/>
      <c r="CG5" s="467"/>
      <c r="CH5" s="513" t="s">
        <v>1</v>
      </c>
      <c r="CI5" s="513" t="s">
        <v>1</v>
      </c>
      <c r="CJ5" s="513" t="s">
        <v>1</v>
      </c>
      <c r="CK5" s="513" t="s">
        <v>1</v>
      </c>
      <c r="CL5" s="513" t="s">
        <v>1</v>
      </c>
      <c r="CM5" s="513" t="s">
        <v>1</v>
      </c>
      <c r="CN5" s="513" t="s">
        <v>1</v>
      </c>
      <c r="CO5" s="513" t="s">
        <v>1</v>
      </c>
      <c r="CP5" s="513" t="s">
        <v>1</v>
      </c>
      <c r="CQ5" s="513" t="s">
        <v>1</v>
      </c>
      <c r="CR5" s="518" t="s">
        <v>1</v>
      </c>
      <c r="CS5" s="513" t="s">
        <v>1</v>
      </c>
      <c r="CT5" s="449"/>
      <c r="CW5" s="55" t="s">
        <v>140</v>
      </c>
      <c r="CX5" s="441">
        <f>G89</f>
        <v>322597.19999999995</v>
      </c>
      <c r="CY5" s="441">
        <f>I89</f>
        <v>322597.19999999995</v>
      </c>
      <c r="CZ5" s="446">
        <f>K89</f>
        <v>322597.19999999995</v>
      </c>
    </row>
    <row r="6" spans="2:119" ht="18.399999999999999">
      <c r="B6" s="35"/>
      <c r="C6" s="174"/>
      <c r="D6" s="38"/>
      <c r="Z6" s="263" t="s">
        <v>141</v>
      </c>
      <c r="AA6" s="263"/>
      <c r="AB6" s="290">
        <f>BH23</f>
        <v>1593050.3491999998</v>
      </c>
      <c r="AC6" s="163" t="s">
        <v>142</v>
      </c>
      <c r="AG6" s="179" t="s">
        <v>143</v>
      </c>
      <c r="AH6" s="180"/>
      <c r="AI6" s="180"/>
      <c r="AJ6" s="402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383"/>
      <c r="BB6" s="180"/>
      <c r="BC6" s="180"/>
      <c r="BD6" s="181"/>
      <c r="BE6" s="179" t="str">
        <f>UPPER("Property-Level Cash Flow and Returns")</f>
        <v>PROPERTY-LEVEL CASH FLOW AND RETURNS</v>
      </c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1"/>
      <c r="BZ6" s="519" t="s">
        <v>1</v>
      </c>
      <c r="CA6" s="520" t="s">
        <v>1</v>
      </c>
      <c r="CB6" s="449"/>
      <c r="CC6" s="449"/>
      <c r="CD6" s="449"/>
      <c r="CE6" s="449"/>
      <c r="CF6" s="449"/>
      <c r="CG6" s="449"/>
      <c r="CH6" s="520" t="s">
        <v>1</v>
      </c>
      <c r="CI6" s="520" t="s">
        <v>1</v>
      </c>
      <c r="CJ6" s="520" t="s">
        <v>1</v>
      </c>
      <c r="CK6" s="513" t="s">
        <v>1</v>
      </c>
      <c r="CL6" s="520" t="s">
        <v>1</v>
      </c>
      <c r="CM6" s="520" t="s">
        <v>1</v>
      </c>
      <c r="CN6" s="520" t="s">
        <v>1</v>
      </c>
      <c r="CO6" s="520" t="s">
        <v>1</v>
      </c>
      <c r="CP6" s="520" t="s">
        <v>1</v>
      </c>
      <c r="CQ6" s="520" t="s">
        <v>1</v>
      </c>
      <c r="CR6" s="521" t="s">
        <v>1</v>
      </c>
      <c r="CS6" s="520" t="s">
        <v>1</v>
      </c>
      <c r="CT6" s="449"/>
      <c r="CW6" s="55" t="s">
        <v>144</v>
      </c>
      <c r="CX6" s="441">
        <f>G90</f>
        <v>258085.19999999998</v>
      </c>
      <c r="CY6" s="441">
        <f>I90</f>
        <v>258085.19999999998</v>
      </c>
      <c r="CZ6" s="446">
        <f>K90</f>
        <v>258085.19999999998</v>
      </c>
    </row>
    <row r="7" spans="2:119" ht="15.75">
      <c r="B7" s="255" t="s">
        <v>145</v>
      </c>
      <c r="C7" s="183"/>
      <c r="D7" s="37" t="s">
        <v>146</v>
      </c>
      <c r="Z7" s="263" t="s">
        <v>147</v>
      </c>
      <c r="AA7" s="263"/>
      <c r="AB7" s="290">
        <f>BJ23</f>
        <v>1568002.1472</v>
      </c>
      <c r="AC7" s="163" t="s">
        <v>142</v>
      </c>
      <c r="AG7" s="184" t="str">
        <f>UPPER(_xlfn.SINGLE(Name))</f>
        <v>HILAND OFFICE</v>
      </c>
      <c r="AH7" s="185"/>
      <c r="AI7" s="185"/>
      <c r="AJ7" s="400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384"/>
      <c r="BB7" s="185"/>
      <c r="BC7" s="185"/>
      <c r="BD7" s="165"/>
      <c r="BE7" s="184" t="str" cm="1">
        <f t="array" ref="BE7">UPPER(Name)</f>
        <v>HILAND OFFICE</v>
      </c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65"/>
      <c r="BZ7" s="522" t="s">
        <v>8</v>
      </c>
      <c r="CA7" s="523" t="s">
        <v>9</v>
      </c>
      <c r="CB7" s="523" t="s">
        <v>10</v>
      </c>
      <c r="CC7" s="449"/>
      <c r="CD7" s="475"/>
      <c r="CE7" s="449"/>
      <c r="CF7" s="449"/>
      <c r="CG7" s="449"/>
      <c r="CH7" s="520" t="s">
        <v>1</v>
      </c>
      <c r="CI7" s="520" t="s">
        <v>1</v>
      </c>
      <c r="CJ7" s="520" t="s">
        <v>1</v>
      </c>
      <c r="CK7" s="513" t="s">
        <v>1</v>
      </c>
      <c r="CL7" s="520" t="s">
        <v>1</v>
      </c>
      <c r="CM7" s="520" t="s">
        <v>1</v>
      </c>
      <c r="CN7" s="520" t="s">
        <v>1</v>
      </c>
      <c r="CO7" s="520" t="s">
        <v>1</v>
      </c>
      <c r="CP7" s="520" t="s">
        <v>1</v>
      </c>
      <c r="CQ7" s="520" t="s">
        <v>1</v>
      </c>
      <c r="CR7" s="521" t="s">
        <v>1</v>
      </c>
      <c r="CS7" s="520" t="s">
        <v>1</v>
      </c>
      <c r="CT7" s="449"/>
      <c r="CW7" s="55" t="s">
        <v>148</v>
      </c>
      <c r="CX7" s="441">
        <f>G91</f>
        <v>387120</v>
      </c>
      <c r="CY7" s="441">
        <f>I91</f>
        <v>387120</v>
      </c>
      <c r="CZ7" s="446">
        <f>K91</f>
        <v>387120</v>
      </c>
    </row>
    <row r="8" spans="2:119" ht="24.75" customHeight="1">
      <c r="B8" s="35" t="s">
        <v>149</v>
      </c>
      <c r="C8" s="174"/>
      <c r="D8" s="39">
        <v>45839</v>
      </c>
      <c r="E8" s="187"/>
      <c r="Z8" s="263" t="s">
        <v>150</v>
      </c>
      <c r="AA8" s="263"/>
      <c r="AB8" s="288">
        <f>D13+(D10*(D12/10000))</f>
        <v>7.0000000000000007E-2</v>
      </c>
      <c r="AC8" s="163" t="s">
        <v>151</v>
      </c>
      <c r="AG8" s="188" t="s">
        <v>152</v>
      </c>
      <c r="AH8" s="103"/>
      <c r="AI8" s="61"/>
      <c r="AJ8" s="400"/>
      <c r="AK8" s="189"/>
      <c r="AL8" s="190">
        <f>D16</f>
        <v>50000</v>
      </c>
      <c r="AM8" s="58"/>
      <c r="AN8" s="191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385"/>
      <c r="BB8" s="58"/>
      <c r="BC8" s="58"/>
      <c r="BD8" s="165"/>
      <c r="BE8" s="150"/>
      <c r="BF8" s="275"/>
      <c r="BG8" s="308">
        <v>0</v>
      </c>
      <c r="BH8" s="309">
        <f>IF(OR(BG8="",BG8=Analysis_Period+1),"",BG8+1)</f>
        <v>1</v>
      </c>
      <c r="BI8" s="309">
        <f t="shared" ref="BI8:BV8" si="0">IF(OR(BH8="",BH8=_xlfn.SINGLE(Analysis_Period)+1),"",BH8+1)</f>
        <v>2</v>
      </c>
      <c r="BJ8" s="309">
        <f t="shared" si="0"/>
        <v>3</v>
      </c>
      <c r="BK8" s="309">
        <f t="shared" si="0"/>
        <v>4</v>
      </c>
      <c r="BL8" s="309">
        <f t="shared" si="0"/>
        <v>5</v>
      </c>
      <c r="BM8" s="309">
        <f t="shared" si="0"/>
        <v>6</v>
      </c>
      <c r="BN8" s="309">
        <f t="shared" si="0"/>
        <v>7</v>
      </c>
      <c r="BO8" s="309">
        <f t="shared" si="0"/>
        <v>8</v>
      </c>
      <c r="BP8" s="309">
        <f t="shared" si="0"/>
        <v>9</v>
      </c>
      <c r="BQ8" s="309">
        <f t="shared" si="0"/>
        <v>10</v>
      </c>
      <c r="BR8" s="309">
        <f t="shared" si="0"/>
        <v>11</v>
      </c>
      <c r="BS8" s="309" t="str">
        <f t="shared" si="0"/>
        <v/>
      </c>
      <c r="BT8" s="309" t="str">
        <f t="shared" si="0"/>
        <v/>
      </c>
      <c r="BU8" s="309" t="str">
        <f t="shared" si="0"/>
        <v/>
      </c>
      <c r="BV8" s="309" t="str">
        <f t="shared" si="0"/>
        <v/>
      </c>
      <c r="BW8" s="165"/>
      <c r="BZ8" s="519" t="s">
        <v>11</v>
      </c>
      <c r="CA8" s="524">
        <v>0.05</v>
      </c>
      <c r="CB8" s="525">
        <f>CB10*CA8</f>
        <v>1582372.5735764557</v>
      </c>
      <c r="CC8" s="520" t="s">
        <v>1</v>
      </c>
      <c r="CD8" s="520" t="s">
        <v>1</v>
      </c>
      <c r="CE8" s="526" t="s">
        <v>1</v>
      </c>
      <c r="CF8" s="520" t="s">
        <v>1</v>
      </c>
      <c r="CG8" s="520" t="s">
        <v>1</v>
      </c>
      <c r="CH8" s="520" t="s">
        <v>1</v>
      </c>
      <c r="CI8" s="527" t="s">
        <v>12</v>
      </c>
      <c r="CJ8" s="528" t="s">
        <v>13</v>
      </c>
      <c r="CK8" s="520" t="s">
        <v>1</v>
      </c>
      <c r="CL8" s="520" t="s">
        <v>1</v>
      </c>
      <c r="CM8" s="520" t="s">
        <v>1</v>
      </c>
      <c r="CN8" s="520" t="s">
        <v>1</v>
      </c>
      <c r="CO8" s="520" t="s">
        <v>1</v>
      </c>
      <c r="CP8" s="520" t="s">
        <v>1</v>
      </c>
      <c r="CQ8" s="520" t="s">
        <v>1</v>
      </c>
      <c r="CR8" s="521" t="s">
        <v>1</v>
      </c>
      <c r="CS8" s="520" t="s">
        <v>1</v>
      </c>
      <c r="CT8" s="449"/>
      <c r="CW8" s="55" t="s">
        <v>153</v>
      </c>
      <c r="CX8" s="441"/>
      <c r="CY8" s="441"/>
    </row>
    <row r="9" spans="2:119" ht="10.9" customHeight="1">
      <c r="B9" s="35" t="s">
        <v>154</v>
      </c>
      <c r="C9" s="174"/>
      <c r="D9" s="40" t="s">
        <v>155</v>
      </c>
      <c r="Z9" s="263" t="s">
        <v>156</v>
      </c>
      <c r="AA9" s="263"/>
      <c r="AB9" s="599">
        <f>INDEX(BH32:BV32,1,D10)</f>
        <v>24365431.886493862</v>
      </c>
      <c r="AC9" s="163" t="s">
        <v>157</v>
      </c>
      <c r="AG9" s="194"/>
      <c r="AH9" s="60" t="str">
        <f>IF(AG9="Simple","","See row 45")</f>
        <v>See row 45</v>
      </c>
      <c r="AI9" s="61"/>
      <c r="AJ9" s="403"/>
      <c r="AK9" s="62" t="str">
        <f>C37</f>
        <v>Year 0</v>
      </c>
      <c r="AL9" s="62" t="str">
        <f>D37</f>
        <v>T12</v>
      </c>
      <c r="AM9" s="62" t="s">
        <v>130</v>
      </c>
      <c r="AN9" s="63" t="str">
        <f>"/"&amp;D9</f>
        <v>/SF</v>
      </c>
      <c r="AO9" s="64"/>
      <c r="AP9" s="65">
        <f t="shared" ref="AP9:AZ9" si="1">BH8</f>
        <v>1</v>
      </c>
      <c r="AQ9" s="65">
        <f t="shared" si="1"/>
        <v>2</v>
      </c>
      <c r="AR9" s="65">
        <f t="shared" si="1"/>
        <v>3</v>
      </c>
      <c r="AS9" s="65">
        <f t="shared" si="1"/>
        <v>4</v>
      </c>
      <c r="AT9" s="65">
        <f t="shared" si="1"/>
        <v>5</v>
      </c>
      <c r="AU9" s="65">
        <f t="shared" si="1"/>
        <v>6</v>
      </c>
      <c r="AV9" s="65">
        <f t="shared" si="1"/>
        <v>7</v>
      </c>
      <c r="AW9" s="65">
        <f t="shared" si="1"/>
        <v>8</v>
      </c>
      <c r="AX9" s="65">
        <f t="shared" si="1"/>
        <v>9</v>
      </c>
      <c r="AY9" s="65">
        <f t="shared" si="1"/>
        <v>10</v>
      </c>
      <c r="AZ9" s="65">
        <f t="shared" si="1"/>
        <v>11</v>
      </c>
      <c r="BA9" s="386"/>
      <c r="BB9" s="65"/>
      <c r="BC9" s="65"/>
      <c r="BD9" s="294"/>
      <c r="BE9" s="310" t="s">
        <v>158</v>
      </c>
      <c r="BF9" s="311" t="s">
        <v>75</v>
      </c>
      <c r="BG9" s="312">
        <f>EOMONTH(Analysis_Start,-1)</f>
        <v>45838</v>
      </c>
      <c r="BH9" s="312">
        <f>EOMONTH(Analysis_Start,11)</f>
        <v>46203</v>
      </c>
      <c r="BI9" s="312">
        <f t="shared" ref="BI9:BV9" si="2">_xlfn.SINGLE(IF(BI8="","",EOMONTH(Analysis_Start,(11*BI8)+BH8)))</f>
        <v>46568</v>
      </c>
      <c r="BJ9" s="312">
        <f t="shared" si="2"/>
        <v>46934</v>
      </c>
      <c r="BK9" s="312">
        <f t="shared" si="2"/>
        <v>47299</v>
      </c>
      <c r="BL9" s="312">
        <f t="shared" si="2"/>
        <v>47664</v>
      </c>
      <c r="BM9" s="312">
        <f t="shared" si="2"/>
        <v>48029</v>
      </c>
      <c r="BN9" s="312">
        <f t="shared" si="2"/>
        <v>48395</v>
      </c>
      <c r="BO9" s="312">
        <f t="shared" si="2"/>
        <v>48760</v>
      </c>
      <c r="BP9" s="312">
        <f t="shared" si="2"/>
        <v>49125</v>
      </c>
      <c r="BQ9" s="312">
        <f t="shared" si="2"/>
        <v>49490</v>
      </c>
      <c r="BR9" s="312">
        <f>_xlfn.SINGLE(IF(BR8="","",EOMONTH(Analysis_Start,(11*BR8)+BQ8)))</f>
        <v>49856</v>
      </c>
      <c r="BS9" s="312" t="str">
        <f t="shared" si="2"/>
        <v/>
      </c>
      <c r="BT9" s="312" t="str">
        <f t="shared" si="2"/>
        <v/>
      </c>
      <c r="BU9" s="312" t="str">
        <f t="shared" si="2"/>
        <v/>
      </c>
      <c r="BV9" s="312" t="str">
        <f t="shared" si="2"/>
        <v/>
      </c>
      <c r="BW9" s="165"/>
      <c r="BZ9" s="519" t="s">
        <v>14</v>
      </c>
      <c r="CA9" s="529">
        <f>100%-CA8</f>
        <v>0.95</v>
      </c>
      <c r="CB9" s="530">
        <f>CB10*CA9</f>
        <v>30065078.897952653</v>
      </c>
      <c r="CC9" s="520" t="s">
        <v>1</v>
      </c>
      <c r="CD9" s="520" t="s">
        <v>1</v>
      </c>
      <c r="CE9" s="526" t="s">
        <v>1</v>
      </c>
      <c r="CF9" s="520" t="s">
        <v>1</v>
      </c>
      <c r="CG9" s="520" t="s">
        <v>1</v>
      </c>
      <c r="CH9" s="520" t="s">
        <v>1</v>
      </c>
      <c r="CI9" s="527" t="s">
        <v>15</v>
      </c>
      <c r="CJ9" s="531" t="e">
        <f>(CB23+CB32)/1000000</f>
        <v>#VALUE!</v>
      </c>
      <c r="CK9" s="520" t="s">
        <v>1</v>
      </c>
      <c r="CL9" s="520" t="s">
        <v>1</v>
      </c>
      <c r="CM9" s="520" t="s">
        <v>1</v>
      </c>
      <c r="CN9" s="520" t="s">
        <v>1</v>
      </c>
      <c r="CO9" s="520" t="s">
        <v>1</v>
      </c>
      <c r="CP9" s="520" t="s">
        <v>1</v>
      </c>
      <c r="CQ9" s="520" t="s">
        <v>1</v>
      </c>
      <c r="CR9" s="521" t="s">
        <v>1</v>
      </c>
      <c r="CS9" s="520" t="s">
        <v>1</v>
      </c>
      <c r="CT9" s="449"/>
      <c r="CW9" s="55" t="s">
        <v>159</v>
      </c>
      <c r="CX9" s="441"/>
      <c r="CY9" s="441"/>
    </row>
    <row r="10" spans="2:119">
      <c r="B10" s="35" t="s">
        <v>160</v>
      </c>
      <c r="C10" s="174"/>
      <c r="D10" s="36">
        <v>10</v>
      </c>
      <c r="Z10" s="253"/>
      <c r="AA10" s="253"/>
      <c r="AB10" s="257"/>
      <c r="AG10" s="195">
        <f>_xlfn.RRI(Analysis_Period-1,AP10,INDEX(AP10:BC10,1,Analysis_Period))</f>
        <v>1.0646292707510829E-2</v>
      </c>
      <c r="AH10" s="67" t="s">
        <v>161</v>
      </c>
      <c r="AI10" s="61"/>
      <c r="AJ10" s="399" t="s">
        <v>162</v>
      </c>
      <c r="AK10" s="307">
        <f t="shared" ref="AK10:AL10" si="3">CX19</f>
        <v>1613000.4</v>
      </c>
      <c r="AL10" s="307">
        <f t="shared" si="3"/>
        <v>1750000.4000000004</v>
      </c>
      <c r="AM10" s="307">
        <f>CZ19</f>
        <v>1750000.4</v>
      </c>
      <c r="AN10" s="69">
        <f>+AP10/D16</f>
        <v>35.000008000000001</v>
      </c>
      <c r="AO10" s="70"/>
      <c r="AP10" s="71">
        <f>+AM10</f>
        <v>1750000.4</v>
      </c>
      <c r="AQ10" s="72">
        <f t="shared" ref="AQ10:AZ10" si="4">AP10*(1+G67)</f>
        <v>1750000.4</v>
      </c>
      <c r="AR10" s="72">
        <f t="shared" si="4"/>
        <v>1750000.4</v>
      </c>
      <c r="AS10" s="72">
        <f t="shared" si="4"/>
        <v>1750000.4</v>
      </c>
      <c r="AT10" s="72">
        <f t="shared" si="4"/>
        <v>1750000.4</v>
      </c>
      <c r="AU10" s="72">
        <f t="shared" si="4"/>
        <v>1925000.44</v>
      </c>
      <c r="AV10" s="72">
        <f t="shared" si="4"/>
        <v>1925000.44</v>
      </c>
      <c r="AW10" s="72">
        <f t="shared" si="4"/>
        <v>1925000.44</v>
      </c>
      <c r="AX10" s="72">
        <f t="shared" si="4"/>
        <v>1925000.44</v>
      </c>
      <c r="AY10" s="72">
        <f t="shared" si="4"/>
        <v>1925000.44</v>
      </c>
      <c r="AZ10" s="72">
        <f t="shared" si="4"/>
        <v>2117500.4840000002</v>
      </c>
      <c r="BA10" s="380" t="s">
        <v>162</v>
      </c>
      <c r="BB10" s="73"/>
      <c r="BC10" s="73"/>
      <c r="BD10" s="295"/>
      <c r="BE10" s="313" t="s">
        <v>163</v>
      </c>
      <c r="BF10" s="314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315"/>
      <c r="BW10" s="165"/>
      <c r="BZ10" s="519" t="s">
        <v>17</v>
      </c>
      <c r="CA10" s="520" t="s">
        <v>1</v>
      </c>
      <c r="CB10" s="532">
        <f>SUM(CD42:CN42)</f>
        <v>31647451.471529111</v>
      </c>
      <c r="CC10" s="520" t="s">
        <v>1</v>
      </c>
      <c r="CD10" s="520" t="s">
        <v>1</v>
      </c>
      <c r="CE10" s="526" t="s">
        <v>1</v>
      </c>
      <c r="CF10" s="520" t="s">
        <v>1</v>
      </c>
      <c r="CG10" s="520" t="s">
        <v>1</v>
      </c>
      <c r="CH10" s="520" t="s">
        <v>1</v>
      </c>
      <c r="CI10" s="527" t="s">
        <v>18</v>
      </c>
      <c r="CJ10" s="531">
        <f>SUM(CD38:CN38)/1000000</f>
        <v>33.155078471529109</v>
      </c>
      <c r="CK10" s="520" t="s">
        <v>1</v>
      </c>
      <c r="CL10" s="520" t="s">
        <v>1</v>
      </c>
      <c r="CM10" s="520" t="s">
        <v>1</v>
      </c>
      <c r="CN10" s="520" t="s">
        <v>1</v>
      </c>
      <c r="CO10" s="520" t="s">
        <v>1</v>
      </c>
      <c r="CP10" s="520" t="s">
        <v>1</v>
      </c>
      <c r="CQ10" s="520" t="s">
        <v>1</v>
      </c>
      <c r="CR10" s="521" t="s">
        <v>1</v>
      </c>
      <c r="CS10" s="520" t="s">
        <v>1</v>
      </c>
      <c r="CT10" s="449"/>
      <c r="CW10" s="55" t="s">
        <v>164</v>
      </c>
      <c r="CX10" s="441"/>
      <c r="CY10" s="441"/>
    </row>
    <row r="11" spans="2:119" ht="15.75">
      <c r="B11" s="35" t="s">
        <v>165</v>
      </c>
      <c r="C11" s="174"/>
      <c r="D11" s="41" t="s">
        <v>129</v>
      </c>
      <c r="Z11" s="258" t="s">
        <v>166</v>
      </c>
      <c r="AA11" s="258"/>
      <c r="AB11" s="258"/>
      <c r="AG11" s="195">
        <f>_xlfn.RRI(Analysis_Period-1,AP11,INDEX(AP11:BD11,1,Analysis_Period))</f>
        <v>1.0646292707510829E-2</v>
      </c>
      <c r="AH11" s="67" t="s">
        <v>167</v>
      </c>
      <c r="AI11" s="196"/>
      <c r="AJ11" s="399" t="s">
        <v>168</v>
      </c>
      <c r="AK11" s="68">
        <f t="shared" ref="AK11:AM12" si="5">C39</f>
        <v>660000</v>
      </c>
      <c r="AL11" s="68">
        <f t="shared" si="5"/>
        <v>670000</v>
      </c>
      <c r="AM11" s="307">
        <f t="shared" si="5"/>
        <v>685000</v>
      </c>
      <c r="AN11" s="69">
        <f>+AP11/D16</f>
        <v>13.7</v>
      </c>
      <c r="AO11" s="70"/>
      <c r="AP11" s="71">
        <f>+AM11</f>
        <v>685000</v>
      </c>
      <c r="AQ11" s="72">
        <f t="shared" ref="AQ11:AZ11" si="6">AP11*(1+G67)</f>
        <v>685000</v>
      </c>
      <c r="AR11" s="72">
        <f t="shared" si="6"/>
        <v>685000</v>
      </c>
      <c r="AS11" s="72">
        <f t="shared" si="6"/>
        <v>685000</v>
      </c>
      <c r="AT11" s="72">
        <f t="shared" si="6"/>
        <v>685000</v>
      </c>
      <c r="AU11" s="72">
        <f t="shared" si="6"/>
        <v>753500.00000000012</v>
      </c>
      <c r="AV11" s="72">
        <f t="shared" si="6"/>
        <v>753500.00000000012</v>
      </c>
      <c r="AW11" s="72">
        <f t="shared" si="6"/>
        <v>753500.00000000012</v>
      </c>
      <c r="AX11" s="72">
        <f t="shared" si="6"/>
        <v>753500.00000000012</v>
      </c>
      <c r="AY11" s="72">
        <f t="shared" si="6"/>
        <v>753500.00000000012</v>
      </c>
      <c r="AZ11" s="72">
        <f t="shared" si="6"/>
        <v>828850.00000000023</v>
      </c>
      <c r="BA11" s="380" t="s">
        <v>168</v>
      </c>
      <c r="BB11" s="73"/>
      <c r="BC11" s="73"/>
      <c r="BD11" s="295"/>
      <c r="BE11" s="316" t="s">
        <v>169</v>
      </c>
      <c r="BF11" s="314"/>
      <c r="BG11" s="317">
        <f>D20</f>
        <v>24508462</v>
      </c>
      <c r="BH11" s="317">
        <f t="shared" ref="BH11:BQ11" si="7">(BH8&lt;=$D$10)*(BH8=0)*$D$20</f>
        <v>0</v>
      </c>
      <c r="BI11" s="317">
        <f t="shared" si="7"/>
        <v>0</v>
      </c>
      <c r="BJ11" s="317">
        <f t="shared" si="7"/>
        <v>0</v>
      </c>
      <c r="BK11" s="317">
        <f t="shared" si="7"/>
        <v>0</v>
      </c>
      <c r="BL11" s="317">
        <f t="shared" si="7"/>
        <v>0</v>
      </c>
      <c r="BM11" s="317">
        <f t="shared" si="7"/>
        <v>0</v>
      </c>
      <c r="BN11" s="317">
        <f t="shared" si="7"/>
        <v>0</v>
      </c>
      <c r="BO11" s="317">
        <f t="shared" si="7"/>
        <v>0</v>
      </c>
      <c r="BP11" s="317">
        <f t="shared" si="7"/>
        <v>0</v>
      </c>
      <c r="BQ11" s="317">
        <f t="shared" si="7"/>
        <v>0</v>
      </c>
      <c r="BR11" s="317" t="str">
        <f>IF(BR8&gt;_xlfn.SINGLE(Analysis_Period),"",(BR8=0)*'[1]Property Cash Flow'!$D$22)</f>
        <v/>
      </c>
      <c r="BS11" s="317" t="str">
        <f>IF(BS8&gt;_xlfn.SINGLE(Analysis_Period),"",(BS8=0)*'[1]Property Cash Flow'!$D$22)</f>
        <v/>
      </c>
      <c r="BT11" s="317" t="str">
        <f>IF(BT8&gt;_xlfn.SINGLE(Analysis_Period),"",(BT8=0)*'[1]Property Cash Flow'!$D$22)</f>
        <v/>
      </c>
      <c r="BU11" s="317" t="str">
        <f>IF(BU8&gt;_xlfn.SINGLE(Analysis_Period),"",(BU8=0)*'[1]Property Cash Flow'!$D$22)</f>
        <v/>
      </c>
      <c r="BV11" s="317" t="str">
        <f>IF(BV8&gt;_xlfn.SINGLE(Analysis_Period),"",(BV8=0)*'[1]Property Cash Flow'!$D$22)</f>
        <v/>
      </c>
      <c r="BW11" s="165"/>
      <c r="BZ11" s="519" t="s">
        <v>1</v>
      </c>
      <c r="CA11" s="520" t="s">
        <v>1</v>
      </c>
      <c r="CB11" s="533" t="s">
        <v>1</v>
      </c>
      <c r="CC11" s="520" t="s">
        <v>1</v>
      </c>
      <c r="CD11" s="520" t="s">
        <v>1</v>
      </c>
      <c r="CE11" s="526" t="s">
        <v>1</v>
      </c>
      <c r="CF11" s="520" t="s">
        <v>1</v>
      </c>
      <c r="CG11" s="520" t="s">
        <v>1</v>
      </c>
      <c r="CH11" s="520" t="s">
        <v>1</v>
      </c>
      <c r="CI11" s="520" t="s">
        <v>1</v>
      </c>
      <c r="CJ11" s="520" t="s">
        <v>1</v>
      </c>
      <c r="CK11" s="520" t="s">
        <v>1</v>
      </c>
      <c r="CL11" s="520" t="s">
        <v>1</v>
      </c>
      <c r="CM11" s="520" t="s">
        <v>1</v>
      </c>
      <c r="CN11" s="520" t="s">
        <v>1</v>
      </c>
      <c r="CO11" s="520" t="s">
        <v>1</v>
      </c>
      <c r="CP11" s="520" t="s">
        <v>1</v>
      </c>
      <c r="CQ11" s="520" t="s">
        <v>1</v>
      </c>
      <c r="CR11" s="521" t="s">
        <v>1</v>
      </c>
      <c r="CS11" s="520" t="s">
        <v>1</v>
      </c>
      <c r="CT11" s="449"/>
      <c r="CW11" s="55" t="s">
        <v>170</v>
      </c>
      <c r="CX11" s="441"/>
      <c r="CY11" s="441"/>
    </row>
    <row r="12" spans="2:119" ht="28.15" customHeight="1">
      <c r="B12" s="35" t="s">
        <v>171</v>
      </c>
      <c r="C12" s="174"/>
      <c r="D12" s="42">
        <v>5</v>
      </c>
      <c r="Z12" s="259" t="s">
        <v>169</v>
      </c>
      <c r="AA12" s="259"/>
      <c r="AB12" s="279">
        <f>IF(D7="Manual Input",D20,IF(D7="DCF",AB13,IF(D7="Cap Year 1 NOI",AB6/D13,AB15)))</f>
        <v>24508462</v>
      </c>
      <c r="AC12" s="198" t="s">
        <v>172</v>
      </c>
      <c r="AD12" s="199"/>
      <c r="AG12" s="195">
        <f>_xlfn.RRI(_xlfn.SINGLE(Analysis_Period)-1,AP12,_xlfn.SINGLE(INDEX(AP12:BD12,1,_xlfn.SINGLE(Analysis_Period))))</f>
        <v>1.0646292707510829E-2</v>
      </c>
      <c r="AH12" s="67" t="s">
        <v>173</v>
      </c>
      <c r="AI12" s="61"/>
      <c r="AJ12" s="404" t="s">
        <v>174</v>
      </c>
      <c r="AK12" s="68">
        <f t="shared" si="5"/>
        <v>98751</v>
      </c>
      <c r="AL12" s="68">
        <f t="shared" si="5"/>
        <v>99152</v>
      </c>
      <c r="AM12" s="307">
        <f t="shared" si="5"/>
        <v>100000</v>
      </c>
      <c r="AN12" s="75">
        <f>+AP12/D16</f>
        <v>2</v>
      </c>
      <c r="AO12" s="76"/>
      <c r="AP12" s="77">
        <f>+AM12</f>
        <v>100000</v>
      </c>
      <c r="AQ12" s="72">
        <f t="shared" ref="AQ12:AZ12" si="8">AP12*(1+G67)</f>
        <v>100000</v>
      </c>
      <c r="AR12" s="72">
        <f t="shared" si="8"/>
        <v>100000</v>
      </c>
      <c r="AS12" s="72">
        <f t="shared" si="8"/>
        <v>100000</v>
      </c>
      <c r="AT12" s="72">
        <f t="shared" si="8"/>
        <v>100000</v>
      </c>
      <c r="AU12" s="72">
        <f t="shared" si="8"/>
        <v>110000.00000000001</v>
      </c>
      <c r="AV12" s="72">
        <f t="shared" si="8"/>
        <v>110000.00000000001</v>
      </c>
      <c r="AW12" s="72">
        <f t="shared" si="8"/>
        <v>110000.00000000001</v>
      </c>
      <c r="AX12" s="72">
        <f t="shared" si="8"/>
        <v>110000.00000000001</v>
      </c>
      <c r="AY12" s="72">
        <f t="shared" si="8"/>
        <v>110000.00000000001</v>
      </c>
      <c r="AZ12" s="72">
        <f t="shared" si="8"/>
        <v>121000.00000000003</v>
      </c>
      <c r="BA12" s="387" t="s">
        <v>174</v>
      </c>
      <c r="BB12" s="78"/>
      <c r="BC12" s="78"/>
      <c r="BD12" s="296"/>
      <c r="BE12" s="316" t="s">
        <v>175</v>
      </c>
      <c r="BF12" s="314"/>
      <c r="BG12" s="317">
        <f>D17</f>
        <v>250000</v>
      </c>
      <c r="BH12" s="317">
        <f t="shared" ref="BH12:BQ12" si="9">(BH8&lt;=$D$10)*(BH8=0)*$D$20</f>
        <v>0</v>
      </c>
      <c r="BI12" s="317">
        <f t="shared" si="9"/>
        <v>0</v>
      </c>
      <c r="BJ12" s="317">
        <f t="shared" si="9"/>
        <v>0</v>
      </c>
      <c r="BK12" s="317">
        <f t="shared" si="9"/>
        <v>0</v>
      </c>
      <c r="BL12" s="317">
        <f t="shared" si="9"/>
        <v>0</v>
      </c>
      <c r="BM12" s="317">
        <f t="shared" si="9"/>
        <v>0</v>
      </c>
      <c r="BN12" s="317">
        <f t="shared" si="9"/>
        <v>0</v>
      </c>
      <c r="BO12" s="317">
        <f t="shared" si="9"/>
        <v>0</v>
      </c>
      <c r="BP12" s="317">
        <f t="shared" si="9"/>
        <v>0</v>
      </c>
      <c r="BQ12" s="317">
        <f t="shared" si="9"/>
        <v>0</v>
      </c>
      <c r="BR12" s="317" t="str">
        <f>IF(BR8&gt;_xlfn.SINGLE(Analysis_Period),"",(BR8=0)*'[1]Property Cash Flow'!AC10)</f>
        <v/>
      </c>
      <c r="BS12" s="317" t="str">
        <f>IF(BS8&gt;_xlfn.SINGLE(Analysis_Period),"",(BS8=0)*'[1]Property Cash Flow'!AD10)</f>
        <v/>
      </c>
      <c r="BT12" s="317" t="str">
        <f>IF(BT8&gt;_xlfn.SINGLE(Analysis_Period),"",(BT8=0)*'[1]Property Cash Flow'!AE10)</f>
        <v/>
      </c>
      <c r="BU12" s="317" t="str">
        <f>IF(BU8&gt;_xlfn.SINGLE(Analysis_Period),"",(BU8=0)*'[1]Property Cash Flow'!AF10)</f>
        <v/>
      </c>
      <c r="BV12" s="317" t="str">
        <f>IF(BV8&gt;_xlfn.SINGLE(Analysis_Period),"",(BV8=0)*'[1]Property Cash Flow'!AG10)</f>
        <v/>
      </c>
      <c r="BW12" s="165"/>
      <c r="BZ12" s="534" t="s">
        <v>19</v>
      </c>
      <c r="CA12" s="535" t="s">
        <v>4</v>
      </c>
      <c r="CB12" s="520" t="s">
        <v>1</v>
      </c>
      <c r="CC12" s="520" t="s">
        <v>1</v>
      </c>
      <c r="CD12" s="848" t="s">
        <v>20</v>
      </c>
      <c r="CE12" s="848"/>
      <c r="CF12" s="849" t="s">
        <v>21</v>
      </c>
      <c r="CG12" s="849"/>
      <c r="CH12" s="520" t="s">
        <v>1</v>
      </c>
      <c r="CI12" s="520" t="s">
        <v>1</v>
      </c>
      <c r="CJ12" s="520" t="s">
        <v>1</v>
      </c>
      <c r="CK12" s="520" t="s">
        <v>1</v>
      </c>
      <c r="CL12" s="520" t="s">
        <v>1</v>
      </c>
      <c r="CM12" s="520" t="s">
        <v>1</v>
      </c>
      <c r="CN12" s="520" t="s">
        <v>1</v>
      </c>
      <c r="CO12" s="520" t="s">
        <v>1</v>
      </c>
      <c r="CP12" s="520" t="s">
        <v>1</v>
      </c>
      <c r="CQ12" s="520" t="s">
        <v>1</v>
      </c>
      <c r="CR12" s="521" t="s">
        <v>1</v>
      </c>
      <c r="CS12" s="520" t="s">
        <v>1</v>
      </c>
      <c r="CT12" s="449"/>
      <c r="CW12" s="55" t="s">
        <v>176</v>
      </c>
      <c r="CX12" s="441"/>
      <c r="CY12" s="441"/>
    </row>
    <row r="13" spans="2:119" ht="34.9">
      <c r="B13" s="35" t="s">
        <v>177</v>
      </c>
      <c r="C13" s="174"/>
      <c r="D13" s="43">
        <v>6.5000000000000002E-2</v>
      </c>
      <c r="Z13" s="260" t="s">
        <v>178</v>
      </c>
      <c r="AA13" s="260"/>
      <c r="AB13" s="280">
        <f>NPV(D14,BH43:BR43)</f>
        <v>21284123.182466652</v>
      </c>
      <c r="AC13" s="198" t="s">
        <v>179</v>
      </c>
      <c r="AD13" s="199"/>
      <c r="AG13" s="201">
        <f>_xlfn.RRI(_xlfn.SINGLE(Analysis_Period)-1,AP13,_xlfn.SINGLE(INDEX(AP13:BD13,1,_xlfn.SINGLE(Analysis_Period))))</f>
        <v>1.0646292707510829E-2</v>
      </c>
      <c r="AH13" s="106" t="s">
        <v>180</v>
      </c>
      <c r="AI13" s="202"/>
      <c r="AJ13" s="404" t="s">
        <v>181</v>
      </c>
      <c r="AK13" s="79">
        <f>SUM(AK10:AK12)</f>
        <v>2371751.4</v>
      </c>
      <c r="AL13" s="79">
        <f>SUM(AL10:AL12)</f>
        <v>2519152.4000000004</v>
      </c>
      <c r="AM13" s="79">
        <f>SUM(AM10:AM12)</f>
        <v>2535000.4</v>
      </c>
      <c r="AN13" s="80">
        <f>SUM(AN10:AN12)</f>
        <v>50.700007999999997</v>
      </c>
      <c r="AO13" s="81"/>
      <c r="AP13" s="82">
        <f>SUM(AP10:AP12)</f>
        <v>2535000.4</v>
      </c>
      <c r="AQ13" s="82">
        <f>SUM(AQ10:AQ12)</f>
        <v>2535000.4</v>
      </c>
      <c r="AR13" s="82">
        <f>SUM(AR10:AR12)</f>
        <v>2535000.4</v>
      </c>
      <c r="AS13" s="82">
        <f>SUM(AS10:AS12)</f>
        <v>2535000.4</v>
      </c>
      <c r="AT13" s="82">
        <f t="shared" ref="AT13:AZ13" si="10">SUM(AT10:AT12)</f>
        <v>2535000.4</v>
      </c>
      <c r="AU13" s="82">
        <f t="shared" si="10"/>
        <v>2788500.44</v>
      </c>
      <c r="AV13" s="82">
        <f t="shared" si="10"/>
        <v>2788500.44</v>
      </c>
      <c r="AW13" s="82">
        <f t="shared" si="10"/>
        <v>2788500.44</v>
      </c>
      <c r="AX13" s="82">
        <f t="shared" si="10"/>
        <v>2788500.44</v>
      </c>
      <c r="AY13" s="82">
        <f t="shared" si="10"/>
        <v>2788500.44</v>
      </c>
      <c r="AZ13" s="82">
        <f t="shared" si="10"/>
        <v>3067350.4840000002</v>
      </c>
      <c r="BA13" s="387" t="s">
        <v>181</v>
      </c>
      <c r="BB13" s="83"/>
      <c r="BC13" s="83"/>
      <c r="BD13" s="297"/>
      <c r="BE13" s="316" t="s">
        <v>182</v>
      </c>
      <c r="BF13" s="314"/>
      <c r="BG13" s="318">
        <f>D18*D20</f>
        <v>490169.24</v>
      </c>
      <c r="BH13" s="317">
        <f t="shared" ref="BH13:BQ13" si="11">(BH8&lt;=$D$10)*(BH8=0)*$D$20</f>
        <v>0</v>
      </c>
      <c r="BI13" s="317">
        <f t="shared" si="11"/>
        <v>0</v>
      </c>
      <c r="BJ13" s="317">
        <f t="shared" si="11"/>
        <v>0</v>
      </c>
      <c r="BK13" s="317">
        <f t="shared" si="11"/>
        <v>0</v>
      </c>
      <c r="BL13" s="317">
        <f t="shared" si="11"/>
        <v>0</v>
      </c>
      <c r="BM13" s="317">
        <f t="shared" si="11"/>
        <v>0</v>
      </c>
      <c r="BN13" s="317">
        <f t="shared" si="11"/>
        <v>0</v>
      </c>
      <c r="BO13" s="317">
        <f t="shared" si="11"/>
        <v>0</v>
      </c>
      <c r="BP13" s="317">
        <f t="shared" si="11"/>
        <v>0</v>
      </c>
      <c r="BQ13" s="317">
        <f t="shared" si="11"/>
        <v>0</v>
      </c>
      <c r="BR13" s="317" t="str">
        <f>IF(BR8&gt;_xlfn.SINGLE(Analysis_Period),"",(BR9=0)*'[1]Property Cash Flow'!$D$22)</f>
        <v/>
      </c>
      <c r="BS13" s="318" t="str">
        <f>IF(BS8&gt;_xlfn.SINGLE(Analysis_Period),"",(BS8=0)*BS11*'[1]Property Cash Flow'!AD11)</f>
        <v/>
      </c>
      <c r="BT13" s="318" t="str">
        <f>IF(BT8&gt;_xlfn.SINGLE(Analysis_Period),"",(BT8=0)*BT11*'[1]Property Cash Flow'!AE11)</f>
        <v/>
      </c>
      <c r="BU13" s="318" t="str">
        <f>IF(BU8&gt;_xlfn.SINGLE(Analysis_Period),"",(BU8=0)*BU11*'[1]Property Cash Flow'!AF11)</f>
        <v/>
      </c>
      <c r="BV13" s="318" t="str">
        <f>IF(BV8&gt;_xlfn.SINGLE(Analysis_Period),"",(BV8=0)*BV11*'[1]Property Cash Flow'!AG11)</f>
        <v/>
      </c>
      <c r="BW13" s="165"/>
      <c r="BZ13" s="522" t="s">
        <v>22</v>
      </c>
      <c r="CA13" s="520" t="s">
        <v>1</v>
      </c>
      <c r="CB13" s="520" t="s">
        <v>1</v>
      </c>
      <c r="CC13" s="520" t="s">
        <v>1</v>
      </c>
      <c r="CD13" s="848"/>
      <c r="CE13" s="848"/>
      <c r="CF13" s="523" t="s">
        <v>23</v>
      </c>
      <c r="CG13" s="523" t="s">
        <v>24</v>
      </c>
      <c r="CH13" s="523" t="s">
        <v>25</v>
      </c>
      <c r="CI13" s="520" t="s">
        <v>1</v>
      </c>
      <c r="CJ13" s="520" t="s">
        <v>1</v>
      </c>
      <c r="CK13" s="520" t="s">
        <v>1</v>
      </c>
      <c r="CL13" s="520" t="s">
        <v>1</v>
      </c>
      <c r="CM13" s="520" t="s">
        <v>1</v>
      </c>
      <c r="CN13" s="520" t="s">
        <v>1</v>
      </c>
      <c r="CO13" s="520" t="s">
        <v>1</v>
      </c>
      <c r="CP13" s="520" t="s">
        <v>1</v>
      </c>
      <c r="CQ13" s="520" t="s">
        <v>1</v>
      </c>
      <c r="CR13" s="521" t="s">
        <v>1</v>
      </c>
      <c r="CS13" s="520" t="s">
        <v>1</v>
      </c>
      <c r="CT13" s="449"/>
      <c r="CW13" s="55" t="s">
        <v>183</v>
      </c>
      <c r="CX13" s="441"/>
      <c r="CY13" s="441"/>
    </row>
    <row r="14" spans="2:119" ht="23.25">
      <c r="B14" s="35" t="s">
        <v>184</v>
      </c>
      <c r="C14" s="174"/>
      <c r="D14" s="43">
        <v>7.4999999999999997E-2</v>
      </c>
      <c r="Z14" s="260" t="s">
        <v>185</v>
      </c>
      <c r="AA14" s="260"/>
      <c r="AB14" s="281">
        <f>D15*D16</f>
        <v>20000000</v>
      </c>
      <c r="AC14" s="198" t="s">
        <v>186</v>
      </c>
      <c r="AD14" s="199"/>
      <c r="AG14" s="58"/>
      <c r="AH14" s="103"/>
      <c r="AI14" s="203"/>
      <c r="AJ14" s="405"/>
      <c r="AK14" s="68"/>
      <c r="AL14" s="68"/>
      <c r="AM14" s="85"/>
      <c r="AN14" s="69"/>
      <c r="AO14" s="70"/>
      <c r="AP14" s="71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388"/>
      <c r="BB14" s="73"/>
      <c r="BC14" s="73"/>
      <c r="BD14" s="295"/>
      <c r="BE14" s="319" t="s">
        <v>187</v>
      </c>
      <c r="BF14" s="314"/>
      <c r="BG14" s="320">
        <f>SUM(BE14)</f>
        <v>0</v>
      </c>
      <c r="BH14" s="320"/>
      <c r="BI14" s="320">
        <f t="shared" ref="BI14:BR14" si="12">IF(BI8&gt;_xlfn.SINGLE(Analysis_Period),"",SUM(BI11:BI13))</f>
        <v>0</v>
      </c>
      <c r="BJ14" s="320">
        <f t="shared" si="12"/>
        <v>0</v>
      </c>
      <c r="BK14" s="320">
        <f t="shared" si="12"/>
        <v>0</v>
      </c>
      <c r="BL14" s="320">
        <f t="shared" si="12"/>
        <v>0</v>
      </c>
      <c r="BM14" s="320">
        <f t="shared" si="12"/>
        <v>0</v>
      </c>
      <c r="BN14" s="320">
        <f t="shared" si="12"/>
        <v>0</v>
      </c>
      <c r="BO14" s="320">
        <f t="shared" si="12"/>
        <v>0</v>
      </c>
      <c r="BP14" s="320">
        <f t="shared" si="12"/>
        <v>0</v>
      </c>
      <c r="BQ14" s="320">
        <f t="shared" si="12"/>
        <v>0</v>
      </c>
      <c r="BR14" s="320" t="str">
        <f t="shared" si="12"/>
        <v/>
      </c>
      <c r="BS14" s="317" t="str">
        <f t="shared" ref="BS14:BV14" si="13">IF(BS8&gt;_xlfn.SINGLE(Analysis_Period),"",SUM(BS11:BS13))</f>
        <v/>
      </c>
      <c r="BT14" s="317" t="str">
        <f t="shared" si="13"/>
        <v/>
      </c>
      <c r="BU14" s="317" t="str">
        <f t="shared" si="13"/>
        <v/>
      </c>
      <c r="BV14" s="317" t="str">
        <f t="shared" si="13"/>
        <v/>
      </c>
      <c r="BW14" s="165"/>
      <c r="BZ14" s="519" t="s">
        <v>26</v>
      </c>
      <c r="CA14" s="537" t="s">
        <v>27</v>
      </c>
      <c r="CB14" s="536" t="s">
        <v>4</v>
      </c>
      <c r="CC14" s="533" t="str">
        <f t="shared" ref="CC14:CC15" si="14">CB15</f>
        <v>&gt; 8.0% IRR to LP</v>
      </c>
      <c r="CD14" s="538" t="s">
        <v>29</v>
      </c>
      <c r="CE14" s="538"/>
      <c r="CF14" s="477">
        <f>CA8</f>
        <v>0.05</v>
      </c>
      <c r="CG14" s="539">
        <f>1-CF14</f>
        <v>0.95</v>
      </c>
      <c r="CH14" s="850" t="s">
        <v>30</v>
      </c>
      <c r="CI14" s="850"/>
      <c r="CJ14" s="850"/>
      <c r="CK14" s="850"/>
      <c r="CL14" s="850"/>
      <c r="CM14" s="520" t="s">
        <v>1</v>
      </c>
      <c r="CN14" s="520" t="s">
        <v>1</v>
      </c>
      <c r="CO14" s="520" t="s">
        <v>1</v>
      </c>
      <c r="CP14" s="520" t="s">
        <v>1</v>
      </c>
      <c r="CQ14" s="520" t="s">
        <v>1</v>
      </c>
      <c r="CR14" s="521" t="s">
        <v>1</v>
      </c>
      <c r="CS14" s="520" t="s">
        <v>1</v>
      </c>
      <c r="CT14" s="449"/>
      <c r="CW14" s="55" t="s">
        <v>188</v>
      </c>
    </row>
    <row r="15" spans="2:119" ht="15.75">
      <c r="B15" s="35" t="s">
        <v>189</v>
      </c>
      <c r="C15" s="174"/>
      <c r="D15" s="44">
        <v>400</v>
      </c>
      <c r="Z15" s="261"/>
      <c r="AA15" s="261"/>
      <c r="AB15" s="282"/>
      <c r="AC15" s="198"/>
      <c r="AD15" s="199"/>
      <c r="AG15" s="205"/>
      <c r="AH15" s="67" t="s">
        <v>190</v>
      </c>
      <c r="AI15" s="206"/>
      <c r="AJ15" s="404" t="s">
        <v>191</v>
      </c>
      <c r="AK15" s="307">
        <f>C43</f>
        <v>-24131.084275599998</v>
      </c>
      <c r="AL15" s="307">
        <f>D43</f>
        <v>-24561.7</v>
      </c>
      <c r="AM15" s="307">
        <v>0</v>
      </c>
      <c r="AN15" s="600">
        <f>+AP15/$D$16</f>
        <v>0</v>
      </c>
      <c r="AO15" s="70"/>
      <c r="AP15" s="71">
        <f>+AM15</f>
        <v>0</v>
      </c>
      <c r="AQ15" s="73" t="str">
        <f t="shared" ref="AQ15:AZ15" si="15">IF(AP$8="","",AP15*(1+AQ$50))</f>
        <v/>
      </c>
      <c r="AR15" s="73" t="str">
        <f t="shared" si="15"/>
        <v/>
      </c>
      <c r="AS15" s="73" t="str">
        <f t="shared" si="15"/>
        <v/>
      </c>
      <c r="AT15" s="73" t="str">
        <f t="shared" si="15"/>
        <v/>
      </c>
      <c r="AU15" s="73" t="str">
        <f t="shared" si="15"/>
        <v/>
      </c>
      <c r="AV15" s="73" t="str">
        <f t="shared" si="15"/>
        <v/>
      </c>
      <c r="AW15" s="73" t="str">
        <f t="shared" si="15"/>
        <v/>
      </c>
      <c r="AX15" s="73" t="str">
        <f t="shared" si="15"/>
        <v/>
      </c>
      <c r="AY15" s="73" t="str">
        <f t="shared" si="15"/>
        <v/>
      </c>
      <c r="AZ15" s="73" t="str">
        <f t="shared" si="15"/>
        <v/>
      </c>
      <c r="BA15" s="387" t="s">
        <v>191</v>
      </c>
      <c r="BB15" s="73"/>
      <c r="BC15" s="73"/>
      <c r="BD15" s="295"/>
      <c r="BE15" s="319"/>
      <c r="BF15" s="314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317"/>
      <c r="BW15" s="165"/>
      <c r="BZ15" s="519" t="s">
        <v>31</v>
      </c>
      <c r="CA15" s="467" t="s">
        <v>32</v>
      </c>
      <c r="CB15" s="479" t="s">
        <v>33</v>
      </c>
      <c r="CC15" s="533" t="str">
        <f t="shared" si="14"/>
        <v>&gt; 12.0% IRR to LP</v>
      </c>
      <c r="CD15" s="477">
        <v>0.2</v>
      </c>
      <c r="CE15" s="520" t="s">
        <v>1</v>
      </c>
      <c r="CF15" s="496">
        <f>1-($CA$9*(1-CD15))</f>
        <v>0.24</v>
      </c>
      <c r="CG15" s="539">
        <f>1-CF15</f>
        <v>0.76</v>
      </c>
      <c r="CH15" s="850" t="s">
        <v>35</v>
      </c>
      <c r="CI15" s="850"/>
      <c r="CJ15" s="850"/>
      <c r="CK15" s="850"/>
      <c r="CL15" s="850"/>
      <c r="CM15" s="520" t="s">
        <v>1</v>
      </c>
      <c r="CN15" s="520" t="s">
        <v>1</v>
      </c>
      <c r="CO15" s="520" t="s">
        <v>1</v>
      </c>
      <c r="CP15" s="520" t="s">
        <v>1</v>
      </c>
      <c r="CQ15" s="520" t="s">
        <v>1</v>
      </c>
      <c r="CR15" s="521" t="s">
        <v>1</v>
      </c>
      <c r="CS15" s="520" t="s">
        <v>1</v>
      </c>
      <c r="CT15" s="449"/>
      <c r="CW15" s="55" t="s">
        <v>192</v>
      </c>
    </row>
    <row r="16" spans="2:119">
      <c r="B16" s="255" t="str">
        <f>"Net Rentable Area ("&amp;D9 &amp;")"</f>
        <v>Net Rentable Area (SF)</v>
      </c>
      <c r="C16" s="183"/>
      <c r="D16" s="45">
        <v>50000</v>
      </c>
      <c r="Z16" s="260" t="s">
        <v>193</v>
      </c>
      <c r="AA16" s="260"/>
      <c r="AB16" s="283" t="e">
        <f>BG47</f>
        <v>#NUM!</v>
      </c>
      <c r="AC16" s="198" t="s">
        <v>142</v>
      </c>
      <c r="AD16" s="199"/>
      <c r="AG16" s="207"/>
      <c r="AH16" s="67" t="s">
        <v>194</v>
      </c>
      <c r="AI16" s="601"/>
      <c r="AJ16" s="405" t="s">
        <v>195</v>
      </c>
      <c r="AK16" s="113">
        <f>-AK13*C33</f>
        <v>-237175.14</v>
      </c>
      <c r="AL16" s="113">
        <f>-AL13*$C$33</f>
        <v>-251915.24000000005</v>
      </c>
      <c r="AM16" s="113">
        <f>-AM13*$C$33</f>
        <v>-253500.04</v>
      </c>
      <c r="AN16" s="600">
        <f>+AP16/$D$16</f>
        <v>-5.0700007999999999</v>
      </c>
      <c r="AO16" s="70"/>
      <c r="AP16" s="71">
        <f>+AM16</f>
        <v>-253500.04</v>
      </c>
      <c r="AQ16" s="72">
        <f t="shared" ref="AQ16:AZ16" si="16">-AQ13*G66</f>
        <v>-253500.04</v>
      </c>
      <c r="AR16" s="72">
        <f t="shared" si="16"/>
        <v>-253500.04</v>
      </c>
      <c r="AS16" s="72">
        <f t="shared" si="16"/>
        <v>-253500.04</v>
      </c>
      <c r="AT16" s="72">
        <f t="shared" si="16"/>
        <v>-253500.04</v>
      </c>
      <c r="AU16" s="72">
        <f t="shared" si="16"/>
        <v>-278850.04399999999</v>
      </c>
      <c r="AV16" s="72">
        <f t="shared" si="16"/>
        <v>-278850.04399999999</v>
      </c>
      <c r="AW16" s="72">
        <f t="shared" si="16"/>
        <v>-278850.04399999999</v>
      </c>
      <c r="AX16" s="72">
        <f t="shared" si="16"/>
        <v>-278850.04399999999</v>
      </c>
      <c r="AY16" s="72">
        <f t="shared" si="16"/>
        <v>-278850.04399999999</v>
      </c>
      <c r="AZ16" s="72">
        <f t="shared" si="16"/>
        <v>-306735.04840000003</v>
      </c>
      <c r="BA16" s="388" t="s">
        <v>195</v>
      </c>
      <c r="BB16" s="73"/>
      <c r="BC16" s="73"/>
      <c r="BD16" s="295"/>
      <c r="BE16" s="319" t="s">
        <v>196</v>
      </c>
      <c r="BF16" s="314"/>
      <c r="BG16" s="317">
        <f>D20*D29</f>
        <v>15930500.300000001</v>
      </c>
      <c r="BH16" s="317">
        <f t="shared" ref="BH16:BV16" si="17">IF(BH8&gt;_xlfn.SINGLE(Analysis_Period),"",(BH8=0)*_xlfn.SINGLE(Debt))</f>
        <v>0</v>
      </c>
      <c r="BI16" s="317">
        <f t="shared" si="17"/>
        <v>0</v>
      </c>
      <c r="BJ16" s="317">
        <f>IF(BJ8&gt;_xlfn.SINGLE(Analysis_Period),"",(BJ8=0)*_xlfn.SINGLE(Debt))</f>
        <v>0</v>
      </c>
      <c r="BK16" s="317">
        <f t="shared" si="17"/>
        <v>0</v>
      </c>
      <c r="BL16" s="317">
        <f t="shared" si="17"/>
        <v>0</v>
      </c>
      <c r="BM16" s="317">
        <f t="shared" si="17"/>
        <v>0</v>
      </c>
      <c r="BN16" s="317">
        <f t="shared" si="17"/>
        <v>0</v>
      </c>
      <c r="BO16" s="317">
        <f t="shared" si="17"/>
        <v>0</v>
      </c>
      <c r="BP16" s="317">
        <f t="shared" si="17"/>
        <v>0</v>
      </c>
      <c r="BQ16" s="317">
        <f t="shared" si="17"/>
        <v>0</v>
      </c>
      <c r="BR16" s="317" t="str">
        <f t="shared" si="17"/>
        <v/>
      </c>
      <c r="BS16" s="317" t="str">
        <f t="shared" si="17"/>
        <v/>
      </c>
      <c r="BT16" s="317" t="str">
        <f t="shared" si="17"/>
        <v/>
      </c>
      <c r="BU16" s="317" t="str">
        <f t="shared" si="17"/>
        <v/>
      </c>
      <c r="BV16" s="317" t="str">
        <f t="shared" si="17"/>
        <v/>
      </c>
      <c r="BW16" s="165"/>
      <c r="BZ16" s="519" t="s">
        <v>36</v>
      </c>
      <c r="CA16" s="467" t="s">
        <v>37</v>
      </c>
      <c r="CB16" s="479" t="s">
        <v>38</v>
      </c>
      <c r="CC16" s="533" t="str">
        <f>CB17</f>
        <v>&gt; 15.0% IRR to LP</v>
      </c>
      <c r="CD16" s="477">
        <v>0.3</v>
      </c>
      <c r="CE16" s="520" t="s">
        <v>1</v>
      </c>
      <c r="CF16" s="496">
        <f>1-($CA$9*(1-CD16))</f>
        <v>0.33500000000000008</v>
      </c>
      <c r="CG16" s="539">
        <f>1-CF16</f>
        <v>0.66499999999999992</v>
      </c>
      <c r="CH16" s="850" t="s">
        <v>40</v>
      </c>
      <c r="CI16" s="850"/>
      <c r="CJ16" s="850"/>
      <c r="CK16" s="850"/>
      <c r="CL16" s="850"/>
      <c r="CM16" s="520" t="s">
        <v>1</v>
      </c>
      <c r="CN16" s="520" t="s">
        <v>1</v>
      </c>
      <c r="CO16" s="520" t="s">
        <v>1</v>
      </c>
      <c r="CP16" s="520" t="s">
        <v>1</v>
      </c>
      <c r="CQ16" s="520" t="s">
        <v>1</v>
      </c>
      <c r="CR16" s="521" t="s">
        <v>1</v>
      </c>
      <c r="CS16" s="520" t="s">
        <v>1</v>
      </c>
      <c r="CT16" s="449"/>
      <c r="CW16" s="55" t="s">
        <v>197</v>
      </c>
    </row>
    <row r="17" spans="2:104" ht="16.5">
      <c r="B17" s="255" t="s">
        <v>175</v>
      </c>
      <c r="C17" s="183"/>
      <c r="D17" s="45">
        <v>250000</v>
      </c>
      <c r="Z17" s="260" t="s">
        <v>199</v>
      </c>
      <c r="AA17" s="260"/>
      <c r="AB17" s="284" t="e">
        <f>BG48</f>
        <v>#DIV/0!</v>
      </c>
      <c r="AC17" s="198" t="s">
        <v>142</v>
      </c>
      <c r="AD17" s="199"/>
      <c r="AG17" s="58"/>
      <c r="AH17" s="67" t="s">
        <v>200</v>
      </c>
      <c r="AI17" s="61"/>
      <c r="AJ17" s="406"/>
      <c r="AK17" s="86">
        <v>0</v>
      </c>
      <c r="AL17" s="86">
        <v>0</v>
      </c>
      <c r="AM17" s="86">
        <v>0</v>
      </c>
      <c r="AN17" s="600">
        <f>+AP17/$D$16</f>
        <v>0</v>
      </c>
      <c r="AO17" s="87"/>
      <c r="AP17" s="77">
        <f>+AM17</f>
        <v>0</v>
      </c>
      <c r="AQ17" s="88">
        <v>0</v>
      </c>
      <c r="AR17" s="88">
        <v>0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8">
        <v>0</v>
      </c>
      <c r="AY17" s="88">
        <v>0</v>
      </c>
      <c r="AZ17" s="88">
        <v>0</v>
      </c>
      <c r="BA17" s="389"/>
      <c r="BB17" s="88"/>
      <c r="BC17" s="88"/>
      <c r="BD17" s="298"/>
      <c r="BE17" s="321" t="s">
        <v>201</v>
      </c>
      <c r="BF17" s="314"/>
      <c r="BG17" s="318">
        <f>(BG16*D30)*-1</f>
        <v>-159305.003</v>
      </c>
      <c r="BH17" s="318"/>
      <c r="BI17" s="318">
        <f>IF(BI8&gt;_xlfn.SINGLE(Analysis_Period),"",(BI8=0)*BI16*-'[1]Property Cash Flow'!T32)</f>
        <v>0</v>
      </c>
      <c r="BJ17" s="318">
        <f>IF(BJ8&gt;_xlfn.SINGLE(Analysis_Period),"",(BJ8=0)*BJ16*-'[1]Property Cash Flow'!U32)</f>
        <v>0</v>
      </c>
      <c r="BK17" s="318">
        <f>IF(BK8&gt;_xlfn.SINGLE(Analysis_Period),"",(BK8=0)*BK16*-'[1]Property Cash Flow'!V32)</f>
        <v>0</v>
      </c>
      <c r="BL17" s="318">
        <f>IF(BL8&gt;_xlfn.SINGLE(Analysis_Period),"",(BL8=0)*BL16*-'[1]Property Cash Flow'!W32)</f>
        <v>0</v>
      </c>
      <c r="BM17" s="318">
        <f>IF(BM8&gt;_xlfn.SINGLE(Analysis_Period),"",(BM8=0)*BM16*-'[1]Property Cash Flow'!X32)</f>
        <v>0</v>
      </c>
      <c r="BN17" s="318">
        <f>IF(BN8&gt;_xlfn.SINGLE(Analysis_Period),"",(BN8=0)*BN16*-'[1]Property Cash Flow'!Y32)</f>
        <v>0</v>
      </c>
      <c r="BO17" s="318">
        <f>IF(BO8&gt;_xlfn.SINGLE(Analysis_Period),"",(BO8=0)*BO16*-'[1]Property Cash Flow'!Z32)</f>
        <v>0</v>
      </c>
      <c r="BP17" s="318">
        <f>IF(BP8&gt;_xlfn.SINGLE(Analysis_Period),"",(BP8=0)*BP16*-'[1]Property Cash Flow'!AA32)</f>
        <v>0</v>
      </c>
      <c r="BQ17" s="318">
        <f>IF(BQ8&gt;_xlfn.SINGLE(Analysis_Period),"",(BQ8=0)*BQ16*-'[1]Property Cash Flow'!AB32)</f>
        <v>0</v>
      </c>
      <c r="BR17" s="318" t="str">
        <f>IF(BR8&gt;_xlfn.SINGLE(Analysis_Period),"",(BR8=0)*BR16*-'[1]Property Cash Flow'!AC32)</f>
        <v/>
      </c>
      <c r="BS17" s="318" t="str">
        <f>IF(BS8&gt;_xlfn.SINGLE(Analysis_Period),"",(BS8=0)*BS16*-'[1]Property Cash Flow'!AD32)</f>
        <v/>
      </c>
      <c r="BT17" s="318" t="str">
        <f>IF(BT8&gt;_xlfn.SINGLE(Analysis_Period),"",(BT8=0)*BT16*-'[1]Property Cash Flow'!AE32)</f>
        <v/>
      </c>
      <c r="BU17" s="318" t="str">
        <f>IF(BU8&gt;_xlfn.SINGLE(Analysis_Period),"",(BU8=0)*BU16*-'[1]Property Cash Flow'!AF32)</f>
        <v/>
      </c>
      <c r="BV17" s="318" t="str">
        <f>IF(BV8&gt;_xlfn.SINGLE(Analysis_Period),"",(BV8=0)*BV16*-'[1]Property Cash Flow'!AG32)</f>
        <v/>
      </c>
      <c r="BW17" s="165"/>
      <c r="BZ17" s="540" t="s">
        <v>41</v>
      </c>
      <c r="CA17" s="541" t="s">
        <v>42</v>
      </c>
      <c r="CB17" s="542" t="s">
        <v>43</v>
      </c>
      <c r="CC17" s="543" t="s">
        <v>1</v>
      </c>
      <c r="CD17" s="544">
        <v>0.4</v>
      </c>
      <c r="CE17" s="545" t="s">
        <v>1</v>
      </c>
      <c r="CF17" s="546">
        <f>1-($CA$9*(1-CD17))</f>
        <v>0.43000000000000005</v>
      </c>
      <c r="CG17" s="547">
        <f>1-CF17</f>
        <v>0.56999999999999995</v>
      </c>
      <c r="CH17" s="847" t="s">
        <v>44</v>
      </c>
      <c r="CI17" s="847"/>
      <c r="CJ17" s="847"/>
      <c r="CK17" s="847"/>
      <c r="CL17" s="847"/>
      <c r="CM17" s="545" t="s">
        <v>1</v>
      </c>
      <c r="CN17" s="545" t="s">
        <v>1</v>
      </c>
      <c r="CO17" s="545" t="s">
        <v>1</v>
      </c>
      <c r="CP17" s="545" t="s">
        <v>1</v>
      </c>
      <c r="CQ17" s="545" t="s">
        <v>1</v>
      </c>
      <c r="CR17" s="548" t="s">
        <v>1</v>
      </c>
      <c r="CS17" s="520" t="s">
        <v>1</v>
      </c>
      <c r="CT17" s="449"/>
      <c r="CW17" s="55" t="s">
        <v>202</v>
      </c>
    </row>
    <row r="18" spans="2:104" ht="34.9">
      <c r="B18" s="255" t="s">
        <v>203</v>
      </c>
      <c r="C18" s="183"/>
      <c r="D18" s="43">
        <v>0.02</v>
      </c>
      <c r="Z18" s="260" t="s">
        <v>205</v>
      </c>
      <c r="AA18" s="260"/>
      <c r="AB18" s="283" t="e" cm="1">
        <f t="array" ref="AB18">INDEX(BH46:BR46,1,D10)</f>
        <v>#DIV/0!</v>
      </c>
      <c r="AC18" s="198" t="s">
        <v>206</v>
      </c>
      <c r="AD18" s="199"/>
      <c r="AG18" s="201">
        <f>_xlfn.RRI(_xlfn.SINGLE(Analysis_Period)-1,AP18,_xlfn.SINGLE(INDEX(AP18:BD18,1,_xlfn.SINGLE(Analysis_Period))))</f>
        <v>1.0646292707510829E-2</v>
      </c>
      <c r="AH18" s="89" t="s">
        <v>207</v>
      </c>
      <c r="AI18" s="202"/>
      <c r="AJ18" s="405" t="s">
        <v>208</v>
      </c>
      <c r="AK18" s="91">
        <f>SUM(AK13:AK17)</f>
        <v>2110445.1757243997</v>
      </c>
      <c r="AL18" s="91">
        <f>SUM(AL13:AL17)</f>
        <v>2242675.46</v>
      </c>
      <c r="AM18" s="91">
        <f>SUM(AM13:AM17)</f>
        <v>2281500.36</v>
      </c>
      <c r="AN18" s="600">
        <f>+AP18/$D$16</f>
        <v>45.630007199999994</v>
      </c>
      <c r="AO18" s="90"/>
      <c r="AP18" s="83">
        <f>SUM(AP13:AP17)</f>
        <v>2281500.36</v>
      </c>
      <c r="AQ18" s="83">
        <f>SUM(AQ13:AQ17)</f>
        <v>2281500.36</v>
      </c>
      <c r="AR18" s="83">
        <f t="shared" ref="AR18:AZ18" si="18">SUM(AR13:AR17)</f>
        <v>2281500.36</v>
      </c>
      <c r="AS18" s="83">
        <f>SUM(AS13:AS17)</f>
        <v>2281500.36</v>
      </c>
      <c r="AT18" s="83">
        <f t="shared" si="18"/>
        <v>2281500.36</v>
      </c>
      <c r="AU18" s="83">
        <f t="shared" si="18"/>
        <v>2509650.3959999997</v>
      </c>
      <c r="AV18" s="83">
        <f t="shared" si="18"/>
        <v>2509650.3959999997</v>
      </c>
      <c r="AW18" s="83">
        <f t="shared" si="18"/>
        <v>2509650.3959999997</v>
      </c>
      <c r="AX18" s="83">
        <f t="shared" si="18"/>
        <v>2509650.3959999997</v>
      </c>
      <c r="AY18" s="83">
        <f t="shared" si="18"/>
        <v>2509650.3959999997</v>
      </c>
      <c r="AZ18" s="83">
        <f t="shared" si="18"/>
        <v>2760615.4356</v>
      </c>
      <c r="BA18" s="388" t="s">
        <v>208</v>
      </c>
      <c r="BB18" s="91"/>
      <c r="BC18" s="91"/>
      <c r="BD18" s="299"/>
      <c r="BE18" s="319" t="s">
        <v>209</v>
      </c>
      <c r="BF18" s="314"/>
      <c r="BG18" s="317">
        <f>BG16+BG17</f>
        <v>15771195.297</v>
      </c>
      <c r="BH18" s="320">
        <f>IF(BH8&gt;_xlfn.SINGLE(Analysis_Period),"",SUM(BH16:BH17))</f>
        <v>0</v>
      </c>
      <c r="BI18" s="317">
        <f t="shared" ref="BI18:BV18" si="19">IF(BI8&gt;_xlfn.SINGLE(Analysis_Period),"",SUM(BI16:BI17))</f>
        <v>0</v>
      </c>
      <c r="BJ18" s="317">
        <f t="shared" si="19"/>
        <v>0</v>
      </c>
      <c r="BK18" s="317">
        <f t="shared" si="19"/>
        <v>0</v>
      </c>
      <c r="BL18" s="317">
        <f t="shared" si="19"/>
        <v>0</v>
      </c>
      <c r="BM18" s="317">
        <f t="shared" si="19"/>
        <v>0</v>
      </c>
      <c r="BN18" s="317">
        <f t="shared" si="19"/>
        <v>0</v>
      </c>
      <c r="BO18" s="317">
        <f t="shared" si="19"/>
        <v>0</v>
      </c>
      <c r="BP18" s="317">
        <f t="shared" si="19"/>
        <v>0</v>
      </c>
      <c r="BQ18" s="320">
        <f t="shared" si="19"/>
        <v>0</v>
      </c>
      <c r="BR18" s="320" t="str">
        <f t="shared" si="19"/>
        <v/>
      </c>
      <c r="BS18" s="317" t="str">
        <f t="shared" si="19"/>
        <v/>
      </c>
      <c r="BT18" s="317" t="str">
        <f t="shared" si="19"/>
        <v/>
      </c>
      <c r="BU18" s="317" t="str">
        <f t="shared" si="19"/>
        <v/>
      </c>
      <c r="BV18" s="317" t="str">
        <f t="shared" si="19"/>
        <v/>
      </c>
      <c r="BW18" s="165"/>
      <c r="BZ18" s="520" t="s">
        <v>1</v>
      </c>
      <c r="CA18" s="520" t="s">
        <v>1</v>
      </c>
      <c r="CB18" s="526" t="s">
        <v>1</v>
      </c>
      <c r="CC18" s="533" t="s">
        <v>1</v>
      </c>
      <c r="CD18" s="526" t="s">
        <v>1</v>
      </c>
      <c r="CE18" s="533" t="s">
        <v>1</v>
      </c>
      <c r="CF18" s="520" t="s">
        <v>1</v>
      </c>
      <c r="CG18" s="520" t="s">
        <v>1</v>
      </c>
      <c r="CH18" s="520" t="s">
        <v>1</v>
      </c>
      <c r="CI18" s="520" t="s">
        <v>1</v>
      </c>
      <c r="CJ18" s="520" t="s">
        <v>1</v>
      </c>
      <c r="CK18" s="520" t="s">
        <v>1</v>
      </c>
      <c r="CL18" s="520" t="s">
        <v>1</v>
      </c>
      <c r="CM18" s="520" t="s">
        <v>1</v>
      </c>
      <c r="CN18" s="520" t="s">
        <v>1</v>
      </c>
      <c r="CO18" s="520" t="s">
        <v>1</v>
      </c>
      <c r="CP18" s="520" t="s">
        <v>1</v>
      </c>
      <c r="CQ18" s="520" t="s">
        <v>1</v>
      </c>
      <c r="CR18" s="520" t="s">
        <v>1</v>
      </c>
      <c r="CS18" s="520" t="s">
        <v>1</v>
      </c>
      <c r="CT18" s="449"/>
    </row>
    <row r="19" spans="2:104" ht="15.75">
      <c r="B19" s="255" t="s">
        <v>210</v>
      </c>
      <c r="C19" s="183"/>
      <c r="D19" s="43">
        <v>0.02</v>
      </c>
      <c r="Z19" s="260"/>
      <c r="AA19" s="260"/>
      <c r="AB19" s="285"/>
      <c r="AC19" s="198"/>
      <c r="AD19" s="199"/>
      <c r="AG19" s="58"/>
      <c r="AH19" s="103"/>
      <c r="AI19" s="61"/>
      <c r="AJ19" s="405"/>
      <c r="AK19" s="85"/>
      <c r="AL19" s="85"/>
      <c r="AM19" s="85"/>
      <c r="AN19" s="600"/>
      <c r="AO19" s="70"/>
      <c r="AP19" s="71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388"/>
      <c r="BB19" s="73"/>
      <c r="BC19" s="73"/>
      <c r="BD19" s="295"/>
      <c r="BE19" s="319"/>
      <c r="BF19" s="314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317"/>
      <c r="BW19" s="165"/>
      <c r="BX19" s="436" t="s">
        <v>211</v>
      </c>
      <c r="BZ19" s="549" t="s">
        <v>45</v>
      </c>
      <c r="CA19" s="520" t="s">
        <v>1</v>
      </c>
      <c r="CB19" s="526" t="s">
        <v>1</v>
      </c>
      <c r="CC19" s="533" t="s">
        <v>1</v>
      </c>
      <c r="CD19" s="550">
        <f>BG8</f>
        <v>0</v>
      </c>
      <c r="CE19" s="550">
        <f t="shared" ref="CE19:CN19" si="20">BH8</f>
        <v>1</v>
      </c>
      <c r="CF19" s="550">
        <f t="shared" si="20"/>
        <v>2</v>
      </c>
      <c r="CG19" s="550">
        <f t="shared" si="20"/>
        <v>3</v>
      </c>
      <c r="CH19" s="550">
        <f t="shared" si="20"/>
        <v>4</v>
      </c>
      <c r="CI19" s="550">
        <f t="shared" si="20"/>
        <v>5</v>
      </c>
      <c r="CJ19" s="550">
        <f t="shared" si="20"/>
        <v>6</v>
      </c>
      <c r="CK19" s="550">
        <f t="shared" si="20"/>
        <v>7</v>
      </c>
      <c r="CL19" s="550">
        <f t="shared" si="20"/>
        <v>8</v>
      </c>
      <c r="CM19" s="550">
        <f t="shared" si="20"/>
        <v>9</v>
      </c>
      <c r="CN19" s="550">
        <f t="shared" si="20"/>
        <v>10</v>
      </c>
      <c r="CO19" s="520" t="s">
        <v>1</v>
      </c>
      <c r="CP19" s="520" t="s">
        <v>1</v>
      </c>
      <c r="CQ19" s="520" t="s">
        <v>1</v>
      </c>
      <c r="CR19" s="520" t="s">
        <v>1</v>
      </c>
      <c r="CS19" s="520" t="s">
        <v>1</v>
      </c>
      <c r="CT19" s="449"/>
      <c r="CW19" s="55" t="s">
        <v>212</v>
      </c>
      <c r="CX19" s="446">
        <f t="shared" ref="CX19:CY19" si="21">SUM(CX4:CX7)</f>
        <v>1613000.4</v>
      </c>
      <c r="CY19" s="446">
        <f t="shared" si="21"/>
        <v>1750000.4000000004</v>
      </c>
      <c r="CZ19" s="446">
        <f>SUM(CZ4:CZ7)</f>
        <v>1750000.4</v>
      </c>
    </row>
    <row r="20" spans="2:104">
      <c r="B20" s="255" t="s">
        <v>213</v>
      </c>
      <c r="C20" s="456"/>
      <c r="D20" s="508">
        <v>24508462</v>
      </c>
      <c r="Z20" s="260" t="s">
        <v>81</v>
      </c>
      <c r="AA20" s="260"/>
      <c r="AB20" s="283" t="e">
        <f>BG58</f>
        <v>#NUM!</v>
      </c>
      <c r="AC20" s="198" t="s">
        <v>142</v>
      </c>
      <c r="AD20" s="199"/>
      <c r="AG20" s="211"/>
      <c r="AH20" s="67" t="s">
        <v>214</v>
      </c>
      <c r="AI20" s="61"/>
      <c r="AJ20" s="405" t="s">
        <v>215</v>
      </c>
      <c r="AK20" s="307">
        <f t="shared" ref="AK20:AM24" si="22">C47</f>
        <v>14478.65056536</v>
      </c>
      <c r="AL20" s="307">
        <f t="shared" si="22"/>
        <v>14737.02</v>
      </c>
      <c r="AM20" s="307">
        <f t="shared" si="22"/>
        <v>15000</v>
      </c>
      <c r="AN20" s="600">
        <f t="shared" ref="AN20:AN26" si="23">+AP20/$D$16</f>
        <v>0.3</v>
      </c>
      <c r="AO20" s="70"/>
      <c r="AP20" s="71">
        <f>+AM20</f>
        <v>15000</v>
      </c>
      <c r="AQ20" s="73">
        <f t="shared" ref="AQ20:AZ24" si="24">AP20*(1+G$68)</f>
        <v>15300</v>
      </c>
      <c r="AR20" s="73">
        <f t="shared" si="24"/>
        <v>15606</v>
      </c>
      <c r="AS20" s="73">
        <f t="shared" si="24"/>
        <v>15918.12</v>
      </c>
      <c r="AT20" s="73">
        <f t="shared" si="24"/>
        <v>16236.482400000001</v>
      </c>
      <c r="AU20" s="73">
        <f t="shared" si="24"/>
        <v>16561.212048000001</v>
      </c>
      <c r="AV20" s="73">
        <f t="shared" si="24"/>
        <v>16892.436288960002</v>
      </c>
      <c r="AW20" s="73">
        <f t="shared" si="24"/>
        <v>17230.285014739202</v>
      </c>
      <c r="AX20" s="73">
        <f t="shared" si="24"/>
        <v>17574.890715033987</v>
      </c>
      <c r="AY20" s="73">
        <f t="shared" si="24"/>
        <v>17926.388529334668</v>
      </c>
      <c r="AZ20" s="73">
        <f t="shared" si="24"/>
        <v>18284.916299921362</v>
      </c>
      <c r="BA20" s="388" t="s">
        <v>215</v>
      </c>
      <c r="BB20" s="73"/>
      <c r="BC20" s="73"/>
      <c r="BD20" s="295"/>
      <c r="BE20" s="313" t="s">
        <v>216</v>
      </c>
      <c r="BF20" s="314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165"/>
      <c r="BZ20" s="551" t="s">
        <v>57</v>
      </c>
      <c r="CA20" s="520" t="s">
        <v>1</v>
      </c>
      <c r="CB20" s="552"/>
      <c r="CC20" s="533" t="s">
        <v>1</v>
      </c>
      <c r="CD20" s="553"/>
      <c r="CE20" s="554"/>
      <c r="CF20" s="555"/>
      <c r="CG20" s="555"/>
      <c r="CH20" s="556"/>
      <c r="CI20" s="556"/>
      <c r="CJ20" s="556"/>
      <c r="CK20" s="556"/>
      <c r="CL20" s="556"/>
      <c r="CM20" s="556"/>
      <c r="CN20" s="556"/>
      <c r="CO20" s="520" t="s">
        <v>1</v>
      </c>
      <c r="CP20" s="520" t="s">
        <v>1</v>
      </c>
      <c r="CQ20" s="520" t="s">
        <v>1</v>
      </c>
      <c r="CR20" s="520" t="s">
        <v>1</v>
      </c>
      <c r="CS20" s="520" t="s">
        <v>1</v>
      </c>
      <c r="CT20" s="449"/>
    </row>
    <row r="21" spans="2:104">
      <c r="Z21" s="260" t="s">
        <v>217</v>
      </c>
      <c r="AA21" s="260"/>
      <c r="AB21" s="284">
        <f>BG52</f>
        <v>0</v>
      </c>
      <c r="AC21" s="198" t="s">
        <v>142</v>
      </c>
      <c r="AD21" s="199"/>
      <c r="AG21" s="205"/>
      <c r="AH21" s="67" t="s">
        <v>218</v>
      </c>
      <c r="AI21" s="61"/>
      <c r="AJ21" s="404" t="s">
        <v>219</v>
      </c>
      <c r="AK21" s="307">
        <f t="shared" si="22"/>
        <v>62740.81911656</v>
      </c>
      <c r="AL21" s="307">
        <f t="shared" si="22"/>
        <v>63860.42</v>
      </c>
      <c r="AM21" s="307">
        <f t="shared" si="22"/>
        <v>65000</v>
      </c>
      <c r="AN21" s="600">
        <f t="shared" si="23"/>
        <v>1.3</v>
      </c>
      <c r="AO21" s="70"/>
      <c r="AP21" s="71">
        <f t="shared" ref="AP21:AP28" si="25">+AM21</f>
        <v>65000</v>
      </c>
      <c r="AQ21" s="73">
        <f t="shared" si="24"/>
        <v>66300</v>
      </c>
      <c r="AR21" s="73">
        <f t="shared" si="24"/>
        <v>67626</v>
      </c>
      <c r="AS21" s="73">
        <f t="shared" si="24"/>
        <v>68978.52</v>
      </c>
      <c r="AT21" s="73">
        <f t="shared" si="24"/>
        <v>70358.090400000001</v>
      </c>
      <c r="AU21" s="73">
        <f t="shared" si="24"/>
        <v>71765.252208000005</v>
      </c>
      <c r="AV21" s="73">
        <f t="shared" si="24"/>
        <v>73200.557252160012</v>
      </c>
      <c r="AW21" s="73">
        <f t="shared" si="24"/>
        <v>74664.568397203213</v>
      </c>
      <c r="AX21" s="73">
        <f t="shared" si="24"/>
        <v>76157.859765147281</v>
      </c>
      <c r="AY21" s="73">
        <f t="shared" si="24"/>
        <v>77681.01696045023</v>
      </c>
      <c r="AZ21" s="73">
        <f t="shared" si="24"/>
        <v>79234.63729965924</v>
      </c>
      <c r="BA21" s="387" t="s">
        <v>219</v>
      </c>
      <c r="BB21" s="73"/>
      <c r="BC21" s="73"/>
      <c r="BD21" s="295"/>
      <c r="BE21" s="150" t="s">
        <v>207</v>
      </c>
      <c r="BF21" s="322"/>
      <c r="BG21" s="317"/>
      <c r="BH21" s="317">
        <f t="shared" ref="BH21:BR21" si="26">AP18</f>
        <v>2281500.36</v>
      </c>
      <c r="BI21" s="317">
        <f t="shared" si="26"/>
        <v>2281500.36</v>
      </c>
      <c r="BJ21" s="317">
        <f t="shared" si="26"/>
        <v>2281500.36</v>
      </c>
      <c r="BK21" s="317">
        <f t="shared" si="26"/>
        <v>2281500.36</v>
      </c>
      <c r="BL21" s="317">
        <f t="shared" si="26"/>
        <v>2281500.36</v>
      </c>
      <c r="BM21" s="317">
        <f t="shared" si="26"/>
        <v>2509650.3959999997</v>
      </c>
      <c r="BN21" s="317">
        <f t="shared" si="26"/>
        <v>2509650.3959999997</v>
      </c>
      <c r="BO21" s="317">
        <f t="shared" si="26"/>
        <v>2509650.3959999997</v>
      </c>
      <c r="BP21" s="317">
        <f t="shared" si="26"/>
        <v>2509650.3959999997</v>
      </c>
      <c r="BQ21" s="317">
        <f t="shared" si="26"/>
        <v>2509650.3959999997</v>
      </c>
      <c r="BR21" s="317">
        <f t="shared" si="26"/>
        <v>2760615.4356</v>
      </c>
      <c r="BS21" s="317">
        <f>'[1]Property Cash Flow'!AU18</f>
        <v>0</v>
      </c>
      <c r="BT21" s="317">
        <f>'[1]Property Cash Flow'!AV18</f>
        <v>0</v>
      </c>
      <c r="BU21" s="317">
        <f>'[1]Property Cash Flow'!AW18</f>
        <v>0</v>
      </c>
      <c r="BV21" s="317">
        <f>'[1]Property Cash Flow'!AX18</f>
        <v>0</v>
      </c>
      <c r="BW21" s="165"/>
      <c r="BZ21" s="557" t="s">
        <v>58</v>
      </c>
      <c r="CA21" s="520"/>
      <c r="CB21" s="558" t="e">
        <f>SUM(CD21:CN21)</f>
        <v>#VALUE!</v>
      </c>
      <c r="CC21" s="533"/>
      <c r="CD21" s="558" t="e">
        <f>(CD19&lt;&gt;"") * (CD55 + CD73 + CD88 + CD100)</f>
        <v>#VALUE!</v>
      </c>
      <c r="CE21" s="558" t="e">
        <f t="shared" ref="CE21:CN21" si="27">(CE19&lt;&gt;"") * (CE55 + CE73 + CE88 + CE100)</f>
        <v>#VALUE!</v>
      </c>
      <c r="CF21" s="558" t="e">
        <f t="shared" si="27"/>
        <v>#VALUE!</v>
      </c>
      <c r="CG21" s="558" t="e">
        <f t="shared" si="27"/>
        <v>#VALUE!</v>
      </c>
      <c r="CH21" s="558" t="e">
        <f t="shared" si="27"/>
        <v>#VALUE!</v>
      </c>
      <c r="CI21" s="558" t="e">
        <f t="shared" si="27"/>
        <v>#VALUE!</v>
      </c>
      <c r="CJ21" s="558" t="e">
        <f t="shared" si="27"/>
        <v>#VALUE!</v>
      </c>
      <c r="CK21" s="558" t="e">
        <f t="shared" si="27"/>
        <v>#VALUE!</v>
      </c>
      <c r="CL21" s="558" t="e">
        <f t="shared" si="27"/>
        <v>#VALUE!</v>
      </c>
      <c r="CM21" s="558" t="e">
        <f t="shared" si="27"/>
        <v>#VALUE!</v>
      </c>
      <c r="CN21" s="558" t="e">
        <f t="shared" si="27"/>
        <v>#VALUE!</v>
      </c>
      <c r="CO21" s="533" t="s">
        <v>61</v>
      </c>
      <c r="CP21" s="533" t="s">
        <v>61</v>
      </c>
      <c r="CQ21" s="533" t="s">
        <v>61</v>
      </c>
      <c r="CR21" s="533" t="s">
        <v>61</v>
      </c>
      <c r="CS21" s="533" t="s">
        <v>61</v>
      </c>
      <c r="CT21" s="449"/>
    </row>
    <row r="22" spans="2:104" ht="34.9">
      <c r="B22" s="109" t="s">
        <v>220</v>
      </c>
      <c r="C22" s="109"/>
      <c r="D22" s="109"/>
      <c r="Z22" s="260" t="s">
        <v>221</v>
      </c>
      <c r="AA22" s="260"/>
      <c r="AB22" s="283">
        <f>INDEX(BH57:BV57,1,D27)</f>
        <v>-3.7031109072961275E-2</v>
      </c>
      <c r="AC22" s="198" t="s">
        <v>222</v>
      </c>
      <c r="AD22" s="199"/>
      <c r="AG22" s="205"/>
      <c r="AH22" s="67" t="s">
        <v>223</v>
      </c>
      <c r="AI22" s="61"/>
      <c r="AJ22" s="405" t="s">
        <v>94</v>
      </c>
      <c r="AK22" s="307">
        <f t="shared" si="22"/>
        <v>72393.252826800002</v>
      </c>
      <c r="AL22" s="307">
        <f t="shared" si="22"/>
        <v>73685.100000000006</v>
      </c>
      <c r="AM22" s="307">
        <f t="shared" si="22"/>
        <v>75000</v>
      </c>
      <c r="AN22" s="600">
        <f t="shared" si="23"/>
        <v>1.5</v>
      </c>
      <c r="AO22" s="70"/>
      <c r="AP22" s="71">
        <f t="shared" si="25"/>
        <v>75000</v>
      </c>
      <c r="AQ22" s="73">
        <f t="shared" si="24"/>
        <v>76500</v>
      </c>
      <c r="AR22" s="73">
        <f t="shared" si="24"/>
        <v>78030</v>
      </c>
      <c r="AS22" s="73">
        <f t="shared" si="24"/>
        <v>79590.600000000006</v>
      </c>
      <c r="AT22" s="73">
        <f t="shared" si="24"/>
        <v>81182.412000000011</v>
      </c>
      <c r="AU22" s="73">
        <f t="shared" si="24"/>
        <v>82806.060240000006</v>
      </c>
      <c r="AV22" s="73">
        <f t="shared" si="24"/>
        <v>84462.181444800008</v>
      </c>
      <c r="AW22" s="73">
        <f t="shared" si="24"/>
        <v>86151.425073696009</v>
      </c>
      <c r="AX22" s="73">
        <f t="shared" si="24"/>
        <v>87874.45357516993</v>
      </c>
      <c r="AY22" s="73">
        <f t="shared" si="24"/>
        <v>89631.942646673328</v>
      </c>
      <c r="AZ22" s="73">
        <f t="shared" si="24"/>
        <v>91424.581499606793</v>
      </c>
      <c r="BA22" s="388" t="s">
        <v>94</v>
      </c>
      <c r="BB22" s="73"/>
      <c r="BC22" s="73"/>
      <c r="BD22" s="295"/>
      <c r="BE22" s="110" t="s">
        <v>224</v>
      </c>
      <c r="BF22" s="323"/>
      <c r="BG22" s="318"/>
      <c r="BH22" s="318">
        <f t="shared" ref="BH22:BR22" si="28">AP29</f>
        <v>688450.01080000005</v>
      </c>
      <c r="BI22" s="318">
        <f t="shared" si="28"/>
        <v>700850.11080000002</v>
      </c>
      <c r="BJ22" s="318">
        <f t="shared" si="28"/>
        <v>713498.21279999998</v>
      </c>
      <c r="BK22" s="318">
        <f t="shared" si="28"/>
        <v>726399.27683999995</v>
      </c>
      <c r="BL22" s="318">
        <f t="shared" si="28"/>
        <v>739558.36216080002</v>
      </c>
      <c r="BM22" s="318">
        <f t="shared" si="28"/>
        <v>759825.13026801613</v>
      </c>
      <c r="BN22" s="318">
        <f t="shared" si="28"/>
        <v>773515.84263577638</v>
      </c>
      <c r="BO22" s="318">
        <f t="shared" si="28"/>
        <v>787480.36925089196</v>
      </c>
      <c r="BP22" s="318">
        <f t="shared" si="28"/>
        <v>801724.18639830989</v>
      </c>
      <c r="BQ22" s="318">
        <f t="shared" si="28"/>
        <v>816252.87988867599</v>
      </c>
      <c r="BR22" s="318">
        <f t="shared" si="28"/>
        <v>838601.09843684942</v>
      </c>
      <c r="BS22" s="318">
        <f>'[1]Property Cash Flow'!AU28</f>
        <v>0</v>
      </c>
      <c r="BT22" s="318">
        <f>'[1]Property Cash Flow'!AV28</f>
        <v>0</v>
      </c>
      <c r="BU22" s="318">
        <f>'[1]Property Cash Flow'!AW28</f>
        <v>0</v>
      </c>
      <c r="BV22" s="318">
        <f>'[1]Property Cash Flow'!AX28</f>
        <v>0</v>
      </c>
      <c r="BW22" s="165"/>
      <c r="BZ22" s="557" t="s">
        <v>62</v>
      </c>
      <c r="CA22" s="520"/>
      <c r="CB22" s="558">
        <f>SUM(CD22:CN22)</f>
        <v>0</v>
      </c>
      <c r="CC22" s="533"/>
      <c r="CD22" s="525">
        <f>CD51</f>
        <v>0</v>
      </c>
      <c r="CE22" s="525">
        <f t="shared" ref="CE22:CN22" si="29">CE51</f>
        <v>0</v>
      </c>
      <c r="CF22" s="525">
        <f t="shared" si="29"/>
        <v>0</v>
      </c>
      <c r="CG22" s="525">
        <f t="shared" si="29"/>
        <v>0</v>
      </c>
      <c r="CH22" s="525">
        <f t="shared" si="29"/>
        <v>0</v>
      </c>
      <c r="CI22" s="525">
        <f t="shared" si="29"/>
        <v>0</v>
      </c>
      <c r="CJ22" s="525">
        <f t="shared" si="29"/>
        <v>0</v>
      </c>
      <c r="CK22" s="525">
        <f t="shared" si="29"/>
        <v>0</v>
      </c>
      <c r="CL22" s="525">
        <f t="shared" si="29"/>
        <v>0</v>
      </c>
      <c r="CM22" s="525">
        <f t="shared" si="29"/>
        <v>0</v>
      </c>
      <c r="CN22" s="525">
        <f t="shared" si="29"/>
        <v>0</v>
      </c>
      <c r="CO22" s="533" t="s">
        <v>61</v>
      </c>
      <c r="CP22" s="533" t="s">
        <v>61</v>
      </c>
      <c r="CQ22" s="533" t="s">
        <v>61</v>
      </c>
      <c r="CR22" s="533" t="s">
        <v>61</v>
      </c>
      <c r="CS22" s="533" t="s">
        <v>61</v>
      </c>
      <c r="CT22" s="449"/>
    </row>
    <row r="23" spans="2:104" ht="15.75">
      <c r="B23" s="218"/>
      <c r="C23" s="218"/>
      <c r="D23" s="93"/>
      <c r="Z23" s="260"/>
      <c r="AA23" s="260"/>
      <c r="AB23" s="285"/>
      <c r="AC23" s="198"/>
      <c r="AD23" s="199"/>
      <c r="AG23" s="205"/>
      <c r="AH23" s="67" t="s">
        <v>225</v>
      </c>
      <c r="AI23" s="61"/>
      <c r="AJ23" s="405" t="s">
        <v>226</v>
      </c>
      <c r="AK23" s="307">
        <f t="shared" si="22"/>
        <v>91698.120247280007</v>
      </c>
      <c r="AL23" s="307">
        <f t="shared" si="22"/>
        <v>93334.46</v>
      </c>
      <c r="AM23" s="307">
        <f t="shared" si="22"/>
        <v>95000</v>
      </c>
      <c r="AN23" s="600">
        <f t="shared" si="23"/>
        <v>1.9</v>
      </c>
      <c r="AO23" s="70"/>
      <c r="AP23" s="71">
        <f t="shared" si="25"/>
        <v>95000</v>
      </c>
      <c r="AQ23" s="73">
        <f t="shared" si="24"/>
        <v>96900</v>
      </c>
      <c r="AR23" s="73">
        <f t="shared" si="24"/>
        <v>98838</v>
      </c>
      <c r="AS23" s="73">
        <f t="shared" si="24"/>
        <v>100814.76</v>
      </c>
      <c r="AT23" s="73">
        <f t="shared" si="24"/>
        <v>102831.0552</v>
      </c>
      <c r="AU23" s="73">
        <f t="shared" si="24"/>
        <v>104887.67630400001</v>
      </c>
      <c r="AV23" s="73">
        <f t="shared" si="24"/>
        <v>106985.42983008001</v>
      </c>
      <c r="AW23" s="73">
        <f t="shared" si="24"/>
        <v>109125.13842668162</v>
      </c>
      <c r="AX23" s="73">
        <f t="shared" si="24"/>
        <v>111307.64119521526</v>
      </c>
      <c r="AY23" s="73">
        <f t="shared" si="24"/>
        <v>113533.79401911957</v>
      </c>
      <c r="AZ23" s="73">
        <f t="shared" si="24"/>
        <v>115804.46989950196</v>
      </c>
      <c r="BA23" s="388" t="s">
        <v>226</v>
      </c>
      <c r="BB23" s="73"/>
      <c r="BC23" s="73"/>
      <c r="BD23" s="295"/>
      <c r="BE23" s="150" t="s">
        <v>227</v>
      </c>
      <c r="BF23" s="323"/>
      <c r="BG23" s="317"/>
      <c r="BH23" s="317">
        <f t="shared" ref="BH23:BQ23" si="30">BH21-BH22</f>
        <v>1593050.3491999998</v>
      </c>
      <c r="BI23" s="317">
        <f t="shared" si="30"/>
        <v>1580650.2492</v>
      </c>
      <c r="BJ23" s="317">
        <f t="shared" si="30"/>
        <v>1568002.1472</v>
      </c>
      <c r="BK23" s="317">
        <f t="shared" si="30"/>
        <v>1555101.0831599999</v>
      </c>
      <c r="BL23" s="317">
        <f t="shared" si="30"/>
        <v>1541941.9978391998</v>
      </c>
      <c r="BM23" s="317">
        <f t="shared" si="30"/>
        <v>1749825.2657319836</v>
      </c>
      <c r="BN23" s="317">
        <f t="shared" si="30"/>
        <v>1736134.5533642233</v>
      </c>
      <c r="BO23" s="317">
        <f t="shared" si="30"/>
        <v>1722170.0267491078</v>
      </c>
      <c r="BP23" s="317">
        <f t="shared" si="30"/>
        <v>1707926.2096016898</v>
      </c>
      <c r="BQ23" s="317">
        <f t="shared" si="30"/>
        <v>1693397.5161113236</v>
      </c>
      <c r="BR23" s="317">
        <f>BR21-BR22</f>
        <v>1922014.3371631505</v>
      </c>
      <c r="BS23" s="317" t="str">
        <f t="shared" ref="BS23:BV23" si="31">IF(BS8="","",BS21-BS22)</f>
        <v/>
      </c>
      <c r="BT23" s="317" t="str">
        <f t="shared" si="31"/>
        <v/>
      </c>
      <c r="BU23" s="317" t="str">
        <f t="shared" si="31"/>
        <v/>
      </c>
      <c r="BV23" s="317" t="str">
        <f t="shared" si="31"/>
        <v/>
      </c>
      <c r="BW23" s="165"/>
      <c r="BZ23" s="557" t="s">
        <v>63</v>
      </c>
      <c r="CA23" s="520"/>
      <c r="CB23" s="558" t="e">
        <f>CB21-CB22</f>
        <v>#VALUE!</v>
      </c>
      <c r="CC23" s="533"/>
      <c r="CD23" s="559"/>
      <c r="CE23" s="533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 t="s">
        <v>1</v>
      </c>
      <c r="CP23" s="520" t="s">
        <v>1</v>
      </c>
      <c r="CQ23" s="520" t="s">
        <v>1</v>
      </c>
      <c r="CR23" s="520" t="s">
        <v>1</v>
      </c>
      <c r="CS23" s="520" t="s">
        <v>1</v>
      </c>
      <c r="CT23" s="449"/>
      <c r="CZ23" s="446"/>
    </row>
    <row r="24" spans="2:104" ht="21" customHeight="1">
      <c r="B24" s="150" t="s">
        <v>228</v>
      </c>
      <c r="C24" s="220"/>
      <c r="D24" s="94">
        <v>3.5000000000000003E-2</v>
      </c>
      <c r="Z24" s="260" t="s">
        <v>229</v>
      </c>
      <c r="AA24" s="260"/>
      <c r="AB24" s="284">
        <f>MIN(BH61:BR61)</f>
        <v>1.7962542688475074</v>
      </c>
      <c r="AC24" s="198" t="s">
        <v>230</v>
      </c>
      <c r="AD24" s="199"/>
      <c r="AG24" s="205"/>
      <c r="AH24" s="67" t="s">
        <v>231</v>
      </c>
      <c r="AI24" s="61"/>
      <c r="AJ24" s="405" t="s">
        <v>232</v>
      </c>
      <c r="AK24" s="307">
        <f t="shared" si="22"/>
        <v>82045.686537040005</v>
      </c>
      <c r="AL24" s="307">
        <f t="shared" si="22"/>
        <v>83509.78</v>
      </c>
      <c r="AM24" s="307">
        <f t="shared" si="22"/>
        <v>85000</v>
      </c>
      <c r="AN24" s="600">
        <f t="shared" si="23"/>
        <v>1.7</v>
      </c>
      <c r="AO24" s="70"/>
      <c r="AP24" s="71">
        <f t="shared" si="25"/>
        <v>85000</v>
      </c>
      <c r="AQ24" s="73">
        <f t="shared" si="24"/>
        <v>86700</v>
      </c>
      <c r="AR24" s="73">
        <f t="shared" si="24"/>
        <v>88434</v>
      </c>
      <c r="AS24" s="73">
        <f t="shared" si="24"/>
        <v>90202.680000000008</v>
      </c>
      <c r="AT24" s="73">
        <f t="shared" si="24"/>
        <v>92006.733600000007</v>
      </c>
      <c r="AU24" s="73">
        <f t="shared" si="24"/>
        <v>93846.868272000007</v>
      </c>
      <c r="AV24" s="73">
        <f t="shared" si="24"/>
        <v>95723.805637440004</v>
      </c>
      <c r="AW24" s="73">
        <f t="shared" si="24"/>
        <v>97638.281750188806</v>
      </c>
      <c r="AX24" s="73">
        <f t="shared" si="24"/>
        <v>99591.047385192578</v>
      </c>
      <c r="AY24" s="73">
        <f t="shared" si="24"/>
        <v>101582.86833289643</v>
      </c>
      <c r="AZ24" s="73">
        <f t="shared" si="24"/>
        <v>103614.52569955436</v>
      </c>
      <c r="BA24" s="388" t="s">
        <v>232</v>
      </c>
      <c r="BB24" s="73"/>
      <c r="BC24" s="73"/>
      <c r="BD24" s="295"/>
      <c r="BE24" s="110" t="s">
        <v>233</v>
      </c>
      <c r="BF24" s="323"/>
      <c r="BG24" s="318"/>
      <c r="BH24" s="318">
        <f t="shared" ref="BH24:BQ24" si="32">AP37</f>
        <v>25000</v>
      </c>
      <c r="BI24" s="318">
        <f t="shared" si="32"/>
        <v>25500</v>
      </c>
      <c r="BJ24" s="318">
        <f t="shared" si="32"/>
        <v>276010</v>
      </c>
      <c r="BK24" s="318">
        <f t="shared" si="32"/>
        <v>1526530.2</v>
      </c>
      <c r="BL24" s="318">
        <f t="shared" si="32"/>
        <v>27060.804</v>
      </c>
      <c r="BM24" s="318">
        <f t="shared" si="32"/>
        <v>27602.020080000002</v>
      </c>
      <c r="BN24" s="318">
        <f t="shared" si="32"/>
        <v>28154.060481600001</v>
      </c>
      <c r="BO24" s="318">
        <f t="shared" si="32"/>
        <v>28717.141691232002</v>
      </c>
      <c r="BP24" s="318">
        <f t="shared" si="32"/>
        <v>29291.484525056643</v>
      </c>
      <c r="BQ24" s="318">
        <f t="shared" si="32"/>
        <v>29877.314215557777</v>
      </c>
      <c r="BR24" s="318"/>
      <c r="BS24" s="318" t="str">
        <f>IF(BT8="","",'[1]Property Cash Flow'!AU36)</f>
        <v/>
      </c>
      <c r="BT24" s="318" t="str">
        <f>IF(BU8="","",'[1]Property Cash Flow'!AV36)</f>
        <v/>
      </c>
      <c r="BU24" s="318" t="str">
        <f>IF(BV8="","",'[1]Property Cash Flow'!AW36)</f>
        <v/>
      </c>
      <c r="BV24" s="318" t="str">
        <f>IF(BW8="","",'[1]Property Cash Flow'!AX36)</f>
        <v/>
      </c>
      <c r="BW24" s="165"/>
      <c r="BZ24" s="557" t="s">
        <v>64</v>
      </c>
      <c r="CA24" s="520"/>
      <c r="CB24" s="554" t="e">
        <f>IRR(CD24:CN24)</f>
        <v>#VALUE!</v>
      </c>
      <c r="CC24" s="533"/>
      <c r="CD24" s="558" t="e">
        <f>(CD19&lt;&gt;"") * (-CD22 + CD21)</f>
        <v>#VALUE!</v>
      </c>
      <c r="CE24" s="558" t="e">
        <f t="shared" ref="CE24:CN24" si="33">(CE19&lt;&gt;"") * (-CE22 + CE21)</f>
        <v>#VALUE!</v>
      </c>
      <c r="CF24" s="558" t="e">
        <f t="shared" si="33"/>
        <v>#VALUE!</v>
      </c>
      <c r="CG24" s="558" t="e">
        <f t="shared" si="33"/>
        <v>#VALUE!</v>
      </c>
      <c r="CH24" s="558" t="e">
        <f t="shared" si="33"/>
        <v>#VALUE!</v>
      </c>
      <c r="CI24" s="558" t="e">
        <f t="shared" si="33"/>
        <v>#VALUE!</v>
      </c>
      <c r="CJ24" s="558" t="e">
        <f t="shared" si="33"/>
        <v>#VALUE!</v>
      </c>
      <c r="CK24" s="558" t="e">
        <f t="shared" si="33"/>
        <v>#VALUE!</v>
      </c>
      <c r="CL24" s="558" t="e">
        <f t="shared" si="33"/>
        <v>#VALUE!</v>
      </c>
      <c r="CM24" s="558" t="e">
        <f t="shared" si="33"/>
        <v>#VALUE!</v>
      </c>
      <c r="CN24" s="558" t="e">
        <f t="shared" si="33"/>
        <v>#VALUE!</v>
      </c>
      <c r="CO24" s="558"/>
      <c r="CP24" s="558"/>
      <c r="CQ24" s="558"/>
      <c r="CR24" s="558"/>
      <c r="CS24" s="558"/>
      <c r="CT24" s="558"/>
    </row>
    <row r="25" spans="2:104" ht="21" customHeight="1">
      <c r="B25" s="150" t="s">
        <v>234</v>
      </c>
      <c r="C25" s="220"/>
      <c r="D25" s="95">
        <v>0</v>
      </c>
      <c r="Z25" s="260" t="s">
        <v>235</v>
      </c>
      <c r="AA25" s="260"/>
      <c r="AB25" s="283">
        <f>MIN(BH62:BR62)</f>
        <v>0.10195669960921851</v>
      </c>
      <c r="AC25" s="198" t="s">
        <v>230</v>
      </c>
      <c r="AD25" s="199"/>
      <c r="AG25" s="205"/>
      <c r="AH25" s="67" t="s">
        <v>236</v>
      </c>
      <c r="AI25" s="601"/>
      <c r="AJ25" s="407"/>
      <c r="AK25" s="307">
        <f>AK18*$C34</f>
        <v>63313.355271731991</v>
      </c>
      <c r="AL25" s="307">
        <f>AL18*$C34</f>
        <v>67280.263800000001</v>
      </c>
      <c r="AM25" s="307">
        <f>AM18*$C34</f>
        <v>68445.010799999989</v>
      </c>
      <c r="AN25" s="600">
        <f t="shared" si="23"/>
        <v>1.3689002159999999</v>
      </c>
      <c r="AO25" s="96"/>
      <c r="AP25" s="71">
        <f>+AM25</f>
        <v>68445.010799999989</v>
      </c>
      <c r="AQ25" s="73">
        <f t="shared" ref="AQ25:AZ25" si="34">AQ18*$C$34</f>
        <v>68445.010799999989</v>
      </c>
      <c r="AR25" s="73">
        <f t="shared" si="34"/>
        <v>68445.010799999989</v>
      </c>
      <c r="AS25" s="73">
        <f t="shared" si="34"/>
        <v>68445.010799999989</v>
      </c>
      <c r="AT25" s="73">
        <f t="shared" si="34"/>
        <v>68445.010799999989</v>
      </c>
      <c r="AU25" s="73">
        <f t="shared" si="34"/>
        <v>75289.511879999991</v>
      </c>
      <c r="AV25" s="73">
        <f t="shared" si="34"/>
        <v>75289.511879999991</v>
      </c>
      <c r="AW25" s="73">
        <f t="shared" si="34"/>
        <v>75289.511879999991</v>
      </c>
      <c r="AX25" s="73">
        <f t="shared" si="34"/>
        <v>75289.511879999991</v>
      </c>
      <c r="AY25" s="73">
        <f t="shared" si="34"/>
        <v>75289.511879999991</v>
      </c>
      <c r="AZ25" s="73">
        <f t="shared" si="34"/>
        <v>82818.463067999997</v>
      </c>
      <c r="BA25" s="390"/>
      <c r="BB25" s="71"/>
      <c r="BC25" s="71"/>
      <c r="BD25" s="300"/>
      <c r="BE25" s="150" t="s">
        <v>237</v>
      </c>
      <c r="BF25" s="324"/>
      <c r="BG25" s="317"/>
      <c r="BH25" s="320">
        <f>BH23-BH24</f>
        <v>1568050.3491999998</v>
      </c>
      <c r="BI25" s="325">
        <f>BI23-BI24</f>
        <v>1555150.2492</v>
      </c>
      <c r="BJ25" s="320">
        <f t="shared" ref="BJ25:BQ25" si="35">BJ23-BJ24</f>
        <v>1291992.1472</v>
      </c>
      <c r="BK25" s="320">
        <f t="shared" si="35"/>
        <v>28570.883159999968</v>
      </c>
      <c r="BL25" s="320">
        <f t="shared" si="35"/>
        <v>1514881.1938391998</v>
      </c>
      <c r="BM25" s="320">
        <f t="shared" si="35"/>
        <v>1722223.2456519837</v>
      </c>
      <c r="BN25" s="320">
        <f t="shared" si="35"/>
        <v>1707980.4928826233</v>
      </c>
      <c r="BO25" s="320">
        <f t="shared" si="35"/>
        <v>1693452.8850578757</v>
      </c>
      <c r="BP25" s="320">
        <f t="shared" si="35"/>
        <v>1678634.7250766333</v>
      </c>
      <c r="BQ25" s="320">
        <f t="shared" si="35"/>
        <v>1663520.2018957657</v>
      </c>
      <c r="BR25" s="320"/>
      <c r="BS25" s="317" t="str">
        <f t="shared" ref="BS25:BV25" si="36">IF(BT8="","",BS23-BS24)</f>
        <v/>
      </c>
      <c r="BT25" s="317" t="str">
        <f t="shared" si="36"/>
        <v/>
      </c>
      <c r="BU25" s="317" t="str">
        <f t="shared" si="36"/>
        <v/>
      </c>
      <c r="BV25" s="317" t="str">
        <f t="shared" si="36"/>
        <v/>
      </c>
      <c r="BW25" s="165"/>
      <c r="BZ25" s="557" t="s">
        <v>65</v>
      </c>
      <c r="CA25" s="520"/>
      <c r="CB25" s="560" t="e">
        <f>CB21/CB22</f>
        <v>#VALUE!</v>
      </c>
      <c r="CC25" s="533"/>
      <c r="CD25" s="559"/>
      <c r="CE25" s="533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 t="s">
        <v>1</v>
      </c>
      <c r="CP25" s="520" t="s">
        <v>1</v>
      </c>
      <c r="CQ25" s="520" t="s">
        <v>1</v>
      </c>
      <c r="CR25" s="520" t="s">
        <v>1</v>
      </c>
      <c r="CS25" s="520" t="s">
        <v>1</v>
      </c>
      <c r="CT25" s="449"/>
    </row>
    <row r="26" spans="2:104">
      <c r="B26" s="150" t="s">
        <v>238</v>
      </c>
      <c r="C26" s="220"/>
      <c r="D26" s="97">
        <v>30</v>
      </c>
      <c r="Z26" s="260"/>
      <c r="AA26" s="260"/>
      <c r="AB26" s="285"/>
      <c r="AC26" s="198"/>
      <c r="AD26" s="199"/>
      <c r="AG26" s="205"/>
      <c r="AH26" s="67" t="s">
        <v>239</v>
      </c>
      <c r="AI26" s="61"/>
      <c r="AJ26" s="405" t="s">
        <v>240</v>
      </c>
      <c r="AK26" s="307">
        <f>C53</f>
        <v>33783.517985840001</v>
      </c>
      <c r="AL26" s="307">
        <f>D53</f>
        <v>34386.379999999997</v>
      </c>
      <c r="AM26" s="307">
        <f>E53</f>
        <v>35000</v>
      </c>
      <c r="AN26" s="600">
        <f t="shared" si="23"/>
        <v>0.7</v>
      </c>
      <c r="AO26" s="70"/>
      <c r="AP26" s="71">
        <f t="shared" si="25"/>
        <v>35000</v>
      </c>
      <c r="AQ26" s="73">
        <f t="shared" ref="AQ26:AZ28" si="37">AP26*(1+G$68)</f>
        <v>35700</v>
      </c>
      <c r="AR26" s="73">
        <f t="shared" si="37"/>
        <v>36414</v>
      </c>
      <c r="AS26" s="73">
        <f t="shared" si="37"/>
        <v>37142.28</v>
      </c>
      <c r="AT26" s="73">
        <f t="shared" si="37"/>
        <v>37885.125599999999</v>
      </c>
      <c r="AU26" s="73">
        <f t="shared" si="37"/>
        <v>38642.828112000003</v>
      </c>
      <c r="AV26" s="73">
        <f t="shared" si="37"/>
        <v>39415.684674240001</v>
      </c>
      <c r="AW26" s="73">
        <f t="shared" si="37"/>
        <v>40203.998367724802</v>
      </c>
      <c r="AX26" s="73">
        <f t="shared" si="37"/>
        <v>41008.078335079299</v>
      </c>
      <c r="AY26" s="73">
        <f t="shared" si="37"/>
        <v>41828.239901780886</v>
      </c>
      <c r="AZ26" s="73">
        <f t="shared" si="37"/>
        <v>42664.804699816501</v>
      </c>
      <c r="BA26" s="388" t="s">
        <v>240</v>
      </c>
      <c r="BB26" s="73"/>
      <c r="BC26" s="73"/>
      <c r="BD26" s="295"/>
      <c r="BE26" s="110" t="s">
        <v>241</v>
      </c>
      <c r="BF26" s="323"/>
      <c r="BG26" s="318"/>
      <c r="BH26" s="318">
        <f>(($D$20*$D$29)*$D$24)/(1-(1+$D$24/12)^-($D$26*12))</f>
        <v>858420.78406222712</v>
      </c>
      <c r="BI26" s="326">
        <f t="shared" ref="BH26:BQ26" si="38">(($D$20*$D$29)*$D$24)/(1-(1+$D$24/12)^-($D$26*12))</f>
        <v>858420.78406222712</v>
      </c>
      <c r="BJ26" s="318">
        <f t="shared" si="38"/>
        <v>858420.78406222712</v>
      </c>
      <c r="BK26" s="318">
        <f t="shared" si="38"/>
        <v>858420.78406222712</v>
      </c>
      <c r="BL26" s="318">
        <f t="shared" si="38"/>
        <v>858420.78406222712</v>
      </c>
      <c r="BM26" s="318">
        <f t="shared" si="38"/>
        <v>858420.78406222712</v>
      </c>
      <c r="BN26" s="318">
        <f t="shared" si="38"/>
        <v>858420.78406222712</v>
      </c>
      <c r="BO26" s="318">
        <f t="shared" si="38"/>
        <v>858420.78406222712</v>
      </c>
      <c r="BP26" s="318">
        <f t="shared" si="38"/>
        <v>858420.78406222712</v>
      </c>
      <c r="BQ26" s="318">
        <f t="shared" si="38"/>
        <v>858420.78406222712</v>
      </c>
      <c r="BR26" s="318"/>
      <c r="BS26" s="318" t="str">
        <f>IF(BT8="","",IF(BS8&lt;='[1]Property Cash Flow'!$H$27,'[1]Property Cash Flow'!$H$34,'[1]Property Cash Flow'!$H$33))</f>
        <v/>
      </c>
      <c r="BT26" s="318" t="str">
        <f>IF(BU8="","",IF(BT8&lt;='[1]Property Cash Flow'!$H$27,'[1]Property Cash Flow'!$H$34,'[1]Property Cash Flow'!$H$33))</f>
        <v/>
      </c>
      <c r="BU26" s="318" t="str">
        <f>IF(BV8="","",IF(BU8&lt;='[1]Property Cash Flow'!$H$27,'[1]Property Cash Flow'!$H$34,'[1]Property Cash Flow'!$H$33))</f>
        <v/>
      </c>
      <c r="BV26" s="318" t="str">
        <f>IF(BW8="","",IF(BV8&lt;='[1]Property Cash Flow'!$H$27,'[1]Property Cash Flow'!$H$34,'[1]Property Cash Flow'!$H$33))</f>
        <v/>
      </c>
      <c r="BW26" s="165"/>
      <c r="BZ26" s="557" t="s">
        <v>1</v>
      </c>
      <c r="CA26" s="520"/>
      <c r="CB26" s="552"/>
      <c r="CC26" s="533"/>
      <c r="CD26" s="559"/>
      <c r="CE26" s="533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 t="s">
        <v>1</v>
      </c>
      <c r="CP26" s="520" t="s">
        <v>1</v>
      </c>
      <c r="CQ26" s="520" t="s">
        <v>1</v>
      </c>
      <c r="CR26" s="520" t="s">
        <v>1</v>
      </c>
      <c r="CS26" s="520" t="s">
        <v>1</v>
      </c>
      <c r="CT26" s="449"/>
    </row>
    <row r="27" spans="2:104">
      <c r="B27" s="150" t="s">
        <v>242</v>
      </c>
      <c r="C27" s="220"/>
      <c r="D27" s="95">
        <f>Analysis_Period</f>
        <v>10</v>
      </c>
      <c r="Z27" s="253"/>
      <c r="AA27" s="253"/>
      <c r="AB27" s="253"/>
      <c r="AG27" s="205"/>
      <c r="AH27" s="67"/>
      <c r="AI27" s="61"/>
      <c r="AJ27" s="405"/>
      <c r="AK27" s="307"/>
      <c r="AL27" s="307"/>
      <c r="AM27" s="307"/>
      <c r="AN27" s="69"/>
      <c r="AO27" s="70"/>
      <c r="AP27" s="71"/>
      <c r="AQ27" s="73">
        <f t="shared" si="37"/>
        <v>0</v>
      </c>
      <c r="AR27" s="73">
        <f t="shared" si="37"/>
        <v>0</v>
      </c>
      <c r="AS27" s="73">
        <f t="shared" si="37"/>
        <v>0</v>
      </c>
      <c r="AT27" s="73">
        <f t="shared" si="37"/>
        <v>0</v>
      </c>
      <c r="AU27" s="73">
        <f t="shared" si="37"/>
        <v>0</v>
      </c>
      <c r="AV27" s="73">
        <f t="shared" si="37"/>
        <v>0</v>
      </c>
      <c r="AW27" s="73">
        <f t="shared" si="37"/>
        <v>0</v>
      </c>
      <c r="AX27" s="73">
        <f t="shared" si="37"/>
        <v>0</v>
      </c>
      <c r="AY27" s="73">
        <f t="shared" si="37"/>
        <v>0</v>
      </c>
      <c r="AZ27" s="73">
        <f t="shared" si="37"/>
        <v>0</v>
      </c>
      <c r="BA27" s="388"/>
      <c r="BB27" s="73"/>
      <c r="BC27" s="73"/>
      <c r="BD27" s="295"/>
      <c r="BE27" s="110"/>
      <c r="BF27" s="323"/>
      <c r="BG27" s="318"/>
      <c r="BH27" s="318"/>
      <c r="BI27" s="326"/>
      <c r="BJ27" s="326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165"/>
      <c r="BZ27" s="557"/>
      <c r="CA27" s="520"/>
      <c r="CB27" s="552"/>
      <c r="CC27" s="533"/>
      <c r="CD27" s="559"/>
      <c r="CE27" s="533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449"/>
    </row>
    <row r="28" spans="2:104" ht="15.75">
      <c r="B28" s="150"/>
      <c r="C28" s="220"/>
      <c r="D28" s="95"/>
      <c r="Z28" s="843" t="s">
        <v>220</v>
      </c>
      <c r="AA28" s="843"/>
      <c r="AB28" s="843"/>
      <c r="AG28" s="211"/>
      <c r="AH28" s="67" t="s">
        <v>244</v>
      </c>
      <c r="AI28" s="61"/>
      <c r="AJ28" s="408" t="s">
        <v>245</v>
      </c>
      <c r="AK28" s="98">
        <f>C54</f>
        <v>241315.668972855</v>
      </c>
      <c r="AL28" s="98">
        <f>D54</f>
        <v>245621.91234000001</v>
      </c>
      <c r="AM28" s="98">
        <f>E54</f>
        <v>250005</v>
      </c>
      <c r="AN28" s="99">
        <f>+AP28/D16</f>
        <v>5.0000999999999998</v>
      </c>
      <c r="AO28" s="100"/>
      <c r="AP28" s="101">
        <f t="shared" si="25"/>
        <v>250005</v>
      </c>
      <c r="AQ28" s="73">
        <f t="shared" si="37"/>
        <v>255005.1</v>
      </c>
      <c r="AR28" s="73">
        <f t="shared" si="37"/>
        <v>260105.20200000002</v>
      </c>
      <c r="AS28" s="73">
        <f t="shared" si="37"/>
        <v>265307.30604</v>
      </c>
      <c r="AT28" s="73">
        <f t="shared" si="37"/>
        <v>270613.45216079999</v>
      </c>
      <c r="AU28" s="73">
        <f t="shared" si="37"/>
        <v>276025.72120401601</v>
      </c>
      <c r="AV28" s="73">
        <f t="shared" si="37"/>
        <v>281546.23562809633</v>
      </c>
      <c r="AW28" s="73">
        <f t="shared" si="37"/>
        <v>287177.16034065827</v>
      </c>
      <c r="AX28" s="73">
        <f t="shared" si="37"/>
        <v>292920.70354747144</v>
      </c>
      <c r="AY28" s="73">
        <f t="shared" si="37"/>
        <v>298779.11761842086</v>
      </c>
      <c r="AZ28" s="73">
        <f t="shared" si="37"/>
        <v>304754.69997078925</v>
      </c>
      <c r="BA28" s="391" t="s">
        <v>245</v>
      </c>
      <c r="BB28" s="102"/>
      <c r="BC28" s="102"/>
      <c r="BD28" s="301"/>
      <c r="BE28" s="150" t="s">
        <v>246</v>
      </c>
      <c r="BF28" s="327"/>
      <c r="BG28" s="317"/>
      <c r="BH28" s="320">
        <f>BH25-BH26+BH27</f>
        <v>709629.5651377727</v>
      </c>
      <c r="BI28" s="320">
        <f>BI25-BI26+BI27</f>
        <v>696729.46513777284</v>
      </c>
      <c r="BJ28" s="320">
        <f>BJ25-BJ26+BJ27</f>
        <v>433571.36313777289</v>
      </c>
      <c r="BK28" s="320">
        <f>BK25-BK26</f>
        <v>-829849.90090222715</v>
      </c>
      <c r="BL28" s="320">
        <f t="shared" ref="BL28:BP28" si="39">BL25-BL26</f>
        <v>656460.40977697272</v>
      </c>
      <c r="BM28" s="320">
        <f t="shared" si="39"/>
        <v>863802.46158975654</v>
      </c>
      <c r="BN28" s="320">
        <f t="shared" si="39"/>
        <v>849559.70882039622</v>
      </c>
      <c r="BO28" s="320">
        <f t="shared" si="39"/>
        <v>835032.10099564854</v>
      </c>
      <c r="BP28" s="320">
        <f t="shared" si="39"/>
        <v>820213.94101440615</v>
      </c>
      <c r="BQ28" s="320">
        <f>BQ25-BQ26</f>
        <v>805099.41783353861</v>
      </c>
      <c r="BR28" s="320"/>
      <c r="BS28" s="317" t="str">
        <f t="shared" ref="BS28:BV28" si="40">IF(BT8="","",BS25-BS26)</f>
        <v/>
      </c>
      <c r="BT28" s="317"/>
      <c r="BU28" s="317" t="str">
        <f t="shared" si="40"/>
        <v/>
      </c>
      <c r="BV28" s="317" t="str">
        <f t="shared" si="40"/>
        <v/>
      </c>
      <c r="BW28" s="165"/>
      <c r="BZ28" s="551" t="s">
        <v>67</v>
      </c>
      <c r="CA28" s="520"/>
      <c r="CB28" s="558"/>
      <c r="CC28" s="533"/>
      <c r="CD28" s="558"/>
      <c r="CE28" s="561"/>
      <c r="CF28" s="562"/>
      <c r="CG28" s="562"/>
      <c r="CH28" s="558"/>
      <c r="CI28" s="562"/>
      <c r="CJ28" s="562"/>
      <c r="CK28" s="562"/>
      <c r="CL28" s="562"/>
      <c r="CM28" s="562"/>
      <c r="CN28" s="562"/>
      <c r="CO28" s="520" t="s">
        <v>1</v>
      </c>
      <c r="CP28" s="520" t="s">
        <v>1</v>
      </c>
      <c r="CQ28" s="520" t="s">
        <v>1</v>
      </c>
      <c r="CR28" s="520" t="s">
        <v>1</v>
      </c>
      <c r="CS28" s="520" t="s">
        <v>1</v>
      </c>
      <c r="CT28" s="449"/>
    </row>
    <row r="29" spans="2:104">
      <c r="B29" s="150" t="s">
        <v>247</v>
      </c>
      <c r="C29" s="220"/>
      <c r="D29" s="94">
        <v>0.65</v>
      </c>
      <c r="Z29" s="262" t="s">
        <v>196</v>
      </c>
      <c r="AA29" s="262" t="s">
        <v>1</v>
      </c>
      <c r="AB29" s="277">
        <f>AB12*D29</f>
        <v>15930500.300000001</v>
      </c>
      <c r="AC29" s="163" t="s">
        <v>248</v>
      </c>
      <c r="AG29" s="201">
        <f>_xlfn.RRI(_xlfn.SINGLE(Analysis_Period)-1,AP29,_xlfn.SINGLE(INDEX(AP29:BD29,1,_xlfn.SINGLE(Analysis_Period))))</f>
        <v>1.9100287106375236E-2</v>
      </c>
      <c r="AH29" s="103" t="s">
        <v>224</v>
      </c>
      <c r="AI29" s="204"/>
      <c r="AJ29" s="405" t="s">
        <v>249</v>
      </c>
      <c r="AK29" s="137">
        <f>SUM(AK20:AK28)</f>
        <v>661769.07152346696</v>
      </c>
      <c r="AL29" s="137">
        <f>SUM(AL20:AL28)</f>
        <v>676415.33614000003</v>
      </c>
      <c r="AM29" s="137">
        <f>SUM(AM20:AM28)</f>
        <v>688450.01080000005</v>
      </c>
      <c r="AN29" s="69">
        <f>AP29/D16</f>
        <v>13.769000216</v>
      </c>
      <c r="AO29" s="70"/>
      <c r="AP29" s="104">
        <f>IF(AP9="","",SUM(AP20:AP28))</f>
        <v>688450.01080000005</v>
      </c>
      <c r="AQ29" s="105">
        <f>SUM(AQ20:AQ28)</f>
        <v>700850.11080000002</v>
      </c>
      <c r="AR29" s="105">
        <f t="shared" ref="AR29:AZ29" si="41">SUM(AR20:AR28)</f>
        <v>713498.21279999998</v>
      </c>
      <c r="AS29" s="105">
        <f t="shared" si="41"/>
        <v>726399.27683999995</v>
      </c>
      <c r="AT29" s="105">
        <f t="shared" si="41"/>
        <v>739558.36216080002</v>
      </c>
      <c r="AU29" s="105">
        <f t="shared" si="41"/>
        <v>759825.13026801613</v>
      </c>
      <c r="AV29" s="105">
        <f t="shared" si="41"/>
        <v>773515.84263577638</v>
      </c>
      <c r="AW29" s="105">
        <f t="shared" si="41"/>
        <v>787480.36925089196</v>
      </c>
      <c r="AX29" s="105">
        <f t="shared" si="41"/>
        <v>801724.18639830989</v>
      </c>
      <c r="AY29" s="105">
        <f t="shared" si="41"/>
        <v>816252.87988867599</v>
      </c>
      <c r="AZ29" s="105">
        <f t="shared" si="41"/>
        <v>838601.09843684942</v>
      </c>
      <c r="BA29" s="388" t="s">
        <v>249</v>
      </c>
      <c r="BB29" s="73"/>
      <c r="BC29" s="73"/>
      <c r="BD29" s="295"/>
      <c r="BE29" s="150"/>
      <c r="BF29" s="32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165"/>
      <c r="BZ29" s="557" t="s">
        <v>68</v>
      </c>
      <c r="CA29" s="520"/>
      <c r="CB29" s="558" t="e">
        <f>SUM(CD29:CS29)</f>
        <v>#VALUE!</v>
      </c>
      <c r="CC29" s="533"/>
      <c r="CD29" s="558" t="e">
        <f>(CD19&lt;&gt;"") * (CD60 + CD78 + CD93 + CD100)</f>
        <v>#VALUE!</v>
      </c>
      <c r="CE29" s="558" t="e">
        <f t="shared" ref="CE29:CN29" si="42">(CE19&lt;&gt;"") * (CE60 + CE78 + CE93 + CE100)</f>
        <v>#VALUE!</v>
      </c>
      <c r="CF29" s="558" t="e">
        <f t="shared" si="42"/>
        <v>#VALUE!</v>
      </c>
      <c r="CG29" s="558" t="e">
        <f t="shared" si="42"/>
        <v>#VALUE!</v>
      </c>
      <c r="CH29" s="558" t="e">
        <f t="shared" si="42"/>
        <v>#VALUE!</v>
      </c>
      <c r="CI29" s="558" t="e">
        <f t="shared" si="42"/>
        <v>#VALUE!</v>
      </c>
      <c r="CJ29" s="558" t="e">
        <f t="shared" si="42"/>
        <v>#VALUE!</v>
      </c>
      <c r="CK29" s="558" t="e">
        <f t="shared" si="42"/>
        <v>#VALUE!</v>
      </c>
      <c r="CL29" s="558" t="e">
        <f t="shared" si="42"/>
        <v>#VALUE!</v>
      </c>
      <c r="CM29" s="558" t="e">
        <f t="shared" si="42"/>
        <v>#VALUE!</v>
      </c>
      <c r="CN29" s="558" t="e">
        <f t="shared" si="42"/>
        <v>#VALUE!</v>
      </c>
      <c r="CO29" s="533" t="s">
        <v>61</v>
      </c>
      <c r="CP29" s="533" t="s">
        <v>61</v>
      </c>
      <c r="CQ29" s="533" t="s">
        <v>61</v>
      </c>
      <c r="CR29" s="533" t="s">
        <v>61</v>
      </c>
      <c r="CS29" s="533" t="s">
        <v>61</v>
      </c>
      <c r="CT29" s="449"/>
    </row>
    <row r="30" spans="2:104">
      <c r="B30" s="150" t="s">
        <v>250</v>
      </c>
      <c r="C30" s="220"/>
      <c r="D30" s="94">
        <v>0.01</v>
      </c>
      <c r="Z30" s="262" t="s">
        <v>251</v>
      </c>
      <c r="AA30" s="262" t="s">
        <v>1</v>
      </c>
      <c r="AB30" s="277">
        <f>AB29*D30</f>
        <v>159305.003</v>
      </c>
      <c r="AC30" s="163" t="s">
        <v>252</v>
      </c>
      <c r="AG30" s="58"/>
      <c r="AH30" s="103"/>
      <c r="AI30" s="61"/>
      <c r="AJ30" s="405"/>
      <c r="AK30" s="137"/>
      <c r="AL30" s="137"/>
      <c r="AM30" s="137"/>
      <c r="AN30" s="69"/>
      <c r="AO30" s="70"/>
      <c r="AP30" s="71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388"/>
      <c r="BB30" s="73"/>
      <c r="BC30" s="73"/>
      <c r="BD30" s="295"/>
      <c r="BE30" s="106" t="s">
        <v>253</v>
      </c>
      <c r="BF30" s="292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165"/>
      <c r="BZ30" s="557" t="s">
        <v>69</v>
      </c>
      <c r="CA30" s="520"/>
      <c r="CB30" s="558">
        <f>SUM(CD30:CS30)</f>
        <v>1507627</v>
      </c>
      <c r="CC30" s="533"/>
      <c r="CD30" s="558">
        <f>((CD19&lt;&gt;"") * SUM(CD39:CD40))</f>
        <v>367627</v>
      </c>
      <c r="CE30" s="558">
        <f t="shared" ref="CE30:CN30" si="43">((CE19&lt;&gt;"") * SUM(CE39:CE40))</f>
        <v>114000</v>
      </c>
      <c r="CF30" s="558">
        <f t="shared" si="43"/>
        <v>114000</v>
      </c>
      <c r="CG30" s="558">
        <f t="shared" si="43"/>
        <v>114000</v>
      </c>
      <c r="CH30" s="558">
        <f t="shared" si="43"/>
        <v>114000</v>
      </c>
      <c r="CI30" s="558">
        <f t="shared" si="43"/>
        <v>114000</v>
      </c>
      <c r="CJ30" s="558">
        <f t="shared" si="43"/>
        <v>114000</v>
      </c>
      <c r="CK30" s="558">
        <f t="shared" si="43"/>
        <v>114000</v>
      </c>
      <c r="CL30" s="558">
        <f t="shared" si="43"/>
        <v>114000</v>
      </c>
      <c r="CM30" s="558">
        <f t="shared" si="43"/>
        <v>114000</v>
      </c>
      <c r="CN30" s="558">
        <f t="shared" si="43"/>
        <v>114000</v>
      </c>
      <c r="CO30" s="533" t="s">
        <v>61</v>
      </c>
      <c r="CP30" s="533" t="s">
        <v>61</v>
      </c>
      <c r="CQ30" s="533" t="s">
        <v>61</v>
      </c>
      <c r="CR30" s="533" t="s">
        <v>61</v>
      </c>
      <c r="CS30" s="533" t="s">
        <v>61</v>
      </c>
      <c r="CT30" s="449"/>
    </row>
    <row r="31" spans="2:104">
      <c r="Z31" s="262" t="s">
        <v>254</v>
      </c>
      <c r="AA31" s="262" t="s">
        <v>1</v>
      </c>
      <c r="AB31" s="277">
        <f>AB3-AB29</f>
        <v>9477435.943</v>
      </c>
      <c r="AC31" s="163" t="s">
        <v>255</v>
      </c>
      <c r="AG31" s="201">
        <f>_xlfn.RRI(_xlfn.SINGLE(Analysis_Period)-1,AP31,_xlfn.SINGLE(INDEX(AP31:BD31,1,_xlfn.SINGLE(Analysis_Period))))</f>
        <v>6.8104461580562603E-3</v>
      </c>
      <c r="AH31" s="106" t="s">
        <v>227</v>
      </c>
      <c r="AI31" s="208"/>
      <c r="AJ31" s="405" t="s">
        <v>256</v>
      </c>
      <c r="AK31" s="107">
        <f>AK18-AK29</f>
        <v>1448676.1042009327</v>
      </c>
      <c r="AL31" s="107">
        <f>AL18-AL29</f>
        <v>1566260.1238599999</v>
      </c>
      <c r="AM31" s="107">
        <f>AM18-AM29</f>
        <v>1593050.3491999998</v>
      </c>
      <c r="AN31" s="107">
        <f>AN18-AN29</f>
        <v>31.861006983999992</v>
      </c>
      <c r="AO31" s="90"/>
      <c r="AP31" s="83">
        <f>AP18-AP29</f>
        <v>1593050.3491999998</v>
      </c>
      <c r="AQ31" s="83">
        <f t="shared" ref="AQ31:AZ31" si="44">AQ18-AQ29</f>
        <v>1580650.2492</v>
      </c>
      <c r="AR31" s="83">
        <f>AR18-AR29</f>
        <v>1568002.1472</v>
      </c>
      <c r="AS31" s="83">
        <f t="shared" si="44"/>
        <v>1555101.0831599999</v>
      </c>
      <c r="AT31" s="83">
        <f t="shared" si="44"/>
        <v>1541941.9978391998</v>
      </c>
      <c r="AU31" s="83">
        <f t="shared" si="44"/>
        <v>1749825.2657319836</v>
      </c>
      <c r="AV31" s="83">
        <f t="shared" si="44"/>
        <v>1736134.5533642233</v>
      </c>
      <c r="AW31" s="83">
        <f t="shared" si="44"/>
        <v>1722170.0267491078</v>
      </c>
      <c r="AX31" s="83">
        <f t="shared" si="44"/>
        <v>1707926.2096016898</v>
      </c>
      <c r="AY31" s="83">
        <f t="shared" si="44"/>
        <v>1693397.5161113236</v>
      </c>
      <c r="AZ31" s="83">
        <f t="shared" si="44"/>
        <v>1922014.3371631505</v>
      </c>
      <c r="BA31" s="388" t="s">
        <v>256</v>
      </c>
      <c r="BB31" s="91"/>
      <c r="BC31" s="91"/>
      <c r="BD31" s="299"/>
      <c r="BE31" s="103" t="s">
        <v>258</v>
      </c>
      <c r="BF31" s="292"/>
      <c r="BG31" s="84"/>
      <c r="BH31" s="108">
        <f>_xlfn.SINGLE(Exit_Cap_Yr_1)</f>
        <v>6.5000000000000002E-2</v>
      </c>
      <c r="BI31" s="108">
        <f t="shared" ref="BI31:BP31" si="45">BH31+($D$12/10000)</f>
        <v>6.5500000000000003E-2</v>
      </c>
      <c r="BJ31" s="108">
        <f t="shared" si="45"/>
        <v>6.6000000000000003E-2</v>
      </c>
      <c r="BK31" s="108">
        <f t="shared" si="45"/>
        <v>6.6500000000000004E-2</v>
      </c>
      <c r="BL31" s="108">
        <f t="shared" si="45"/>
        <v>6.7000000000000004E-2</v>
      </c>
      <c r="BM31" s="108">
        <f t="shared" si="45"/>
        <v>6.7500000000000004E-2</v>
      </c>
      <c r="BN31" s="108">
        <f t="shared" si="45"/>
        <v>6.8000000000000005E-2</v>
      </c>
      <c r="BO31" s="108">
        <f t="shared" si="45"/>
        <v>6.8500000000000005E-2</v>
      </c>
      <c r="BP31" s="108">
        <f t="shared" si="45"/>
        <v>6.9000000000000006E-2</v>
      </c>
      <c r="BQ31" s="108">
        <f>BP31+($D$12/10000)</f>
        <v>6.9500000000000006E-2</v>
      </c>
      <c r="BR31" s="108"/>
      <c r="BS31" s="108"/>
      <c r="BT31" s="108"/>
      <c r="BU31" s="108"/>
      <c r="BV31" s="108" t="str">
        <f>IF(BV21="","",IF(BV8&gt;_xlfn.SINGLE(Analysis_Period),"",BU31+'[1]Property Cash Flow'!$D$15/10000))</f>
        <v/>
      </c>
      <c r="BW31" s="165"/>
      <c r="BZ31" s="557" t="s">
        <v>70</v>
      </c>
      <c r="CA31" s="520"/>
      <c r="CB31" s="558">
        <f>SUM(CD31:CS31)</f>
        <v>943849.90090222715</v>
      </c>
      <c r="CC31" s="533"/>
      <c r="CD31" s="563">
        <f>(CD19&lt;&gt;"") * ( -((CD42*(CD42&lt;0)) + CD51) )</f>
        <v>0</v>
      </c>
      <c r="CE31" s="563">
        <f t="shared" ref="CE31:CN31" si="46">(CE19&lt;&gt;"") * ( -((CE42*(CE42&lt;0)) + CE51) )</f>
        <v>0</v>
      </c>
      <c r="CF31" s="563">
        <f t="shared" si="46"/>
        <v>0</v>
      </c>
      <c r="CG31" s="563">
        <f t="shared" si="46"/>
        <v>0</v>
      </c>
      <c r="CH31" s="563">
        <f>(CH19&lt;&gt;"") * ( -((CH42*(CH42&lt;0)) + CH51) )</f>
        <v>943849.90090222715</v>
      </c>
      <c r="CI31" s="563">
        <f t="shared" si="46"/>
        <v>0</v>
      </c>
      <c r="CJ31" s="563">
        <f t="shared" si="46"/>
        <v>0</v>
      </c>
      <c r="CK31" s="563">
        <f t="shared" si="46"/>
        <v>0</v>
      </c>
      <c r="CL31" s="563">
        <f t="shared" si="46"/>
        <v>0</v>
      </c>
      <c r="CM31" s="563">
        <f t="shared" si="46"/>
        <v>0</v>
      </c>
      <c r="CN31" s="563">
        <f t="shared" si="46"/>
        <v>0</v>
      </c>
      <c r="CO31" s="533" t="s">
        <v>61</v>
      </c>
      <c r="CP31" s="533" t="s">
        <v>61</v>
      </c>
      <c r="CQ31" s="533" t="s">
        <v>61</v>
      </c>
      <c r="CR31" s="533" t="s">
        <v>61</v>
      </c>
      <c r="CS31" s="533" t="s">
        <v>61</v>
      </c>
      <c r="CT31" s="449"/>
    </row>
    <row r="32" spans="2:104" ht="15.75">
      <c r="B32" s="109" t="s">
        <v>259</v>
      </c>
      <c r="C32" s="109"/>
      <c r="D32" s="109"/>
      <c r="F32" s="222"/>
      <c r="Z32" s="253"/>
      <c r="AA32" s="253"/>
      <c r="AB32" s="276"/>
      <c r="AG32" s="58"/>
      <c r="AH32" s="103"/>
      <c r="AI32" s="61"/>
      <c r="AJ32" s="405"/>
      <c r="AK32" s="85"/>
      <c r="AL32" s="85"/>
      <c r="AM32" s="85"/>
      <c r="AN32" s="69"/>
      <c r="AO32" s="70"/>
      <c r="AP32" s="71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388"/>
      <c r="BB32" s="73"/>
      <c r="BC32" s="73"/>
      <c r="BD32" s="295"/>
      <c r="BE32" s="103" t="s">
        <v>260</v>
      </c>
      <c r="BF32" s="292"/>
      <c r="BG32" s="84"/>
      <c r="BH32" s="74">
        <f>BH23/BH31</f>
        <v>24508466.910769228</v>
      </c>
      <c r="BI32" s="74">
        <f t="shared" ref="BI32:BQ32" si="47">BI23/BI31</f>
        <v>24132064.87328244</v>
      </c>
      <c r="BJ32" s="74">
        <f t="shared" si="47"/>
        <v>23757608.290909089</v>
      </c>
      <c r="BK32" s="74">
        <f t="shared" si="47"/>
        <v>23384978.694135334</v>
      </c>
      <c r="BL32" s="74">
        <f t="shared" si="47"/>
        <v>23014059.669241786</v>
      </c>
      <c r="BM32" s="74">
        <f t="shared" si="47"/>
        <v>25923337.270103458</v>
      </c>
      <c r="BN32" s="74">
        <f t="shared" si="47"/>
        <v>25531390.490650341</v>
      </c>
      <c r="BO32" s="74">
        <f t="shared" si="47"/>
        <v>25141168.273709599</v>
      </c>
      <c r="BP32" s="74">
        <f t="shared" si="47"/>
        <v>24752553.762343328</v>
      </c>
      <c r="BQ32" s="74">
        <f t="shared" si="47"/>
        <v>24365431.886493862</v>
      </c>
      <c r="BR32" s="74"/>
      <c r="BS32" s="74"/>
      <c r="BT32" s="74"/>
      <c r="BU32" s="74"/>
      <c r="BV32" s="74" t="str">
        <f t="shared" ref="BV32" si="48">IF(BV8&gt;_xlfn.SINGLE(Analysis_Period),"",OR(BV8=15,_xlfn.SINGLE(Cap_Year)="T12")*(BV23/BV31)+AND(BV8&lt;&gt;15,_xlfn.SINGLE(Cap_Year)="Forward 12")*(BW23/BV31))</f>
        <v/>
      </c>
      <c r="BW32" s="165"/>
      <c r="BZ32" s="557" t="s">
        <v>71</v>
      </c>
      <c r="CA32" s="520"/>
      <c r="CB32" s="558" t="e">
        <f>+CB29+CB30-CB31</f>
        <v>#VALUE!</v>
      </c>
      <c r="CC32" s="533"/>
      <c r="CD32" s="564"/>
      <c r="CE32" s="565"/>
      <c r="CF32" s="565"/>
      <c r="CG32" s="565"/>
      <c r="CH32" s="565"/>
      <c r="CI32" s="565"/>
      <c r="CJ32" s="565"/>
      <c r="CK32" s="565"/>
      <c r="CL32" s="565"/>
      <c r="CM32" s="565"/>
      <c r="CN32" s="566"/>
      <c r="CO32" s="520" t="s">
        <v>1</v>
      </c>
      <c r="CP32" s="520" t="s">
        <v>1</v>
      </c>
      <c r="CQ32" s="520" t="s">
        <v>1</v>
      </c>
      <c r="CR32" s="520" t="s">
        <v>1</v>
      </c>
      <c r="CS32" s="520" t="s">
        <v>1</v>
      </c>
      <c r="CT32" s="449"/>
    </row>
    <row r="33" spans="2:98" ht="34.9">
      <c r="B33" s="110" t="s">
        <v>577</v>
      </c>
      <c r="C33" s="269">
        <v>0.1</v>
      </c>
      <c r="D33" s="225"/>
      <c r="F33" s="222"/>
      <c r="Z33" s="262" t="s">
        <v>261</v>
      </c>
      <c r="AA33" s="262" t="s">
        <v>1</v>
      </c>
      <c r="AB33" s="278">
        <f>PMT(D24/12,D26*12,-AB29)*12</f>
        <v>858420.78406222619</v>
      </c>
      <c r="AC33" s="163" t="s">
        <v>262</v>
      </c>
      <c r="AG33" s="211"/>
      <c r="AH33" s="67" t="s">
        <v>263</v>
      </c>
      <c r="AI33" s="61"/>
      <c r="AJ33" s="404" t="s">
        <v>264</v>
      </c>
      <c r="AK33" s="307">
        <f t="shared" ref="AK33:AM36" si="49">C59</f>
        <v>0</v>
      </c>
      <c r="AL33" s="307">
        <f t="shared" si="49"/>
        <v>0</v>
      </c>
      <c r="AM33" s="307">
        <f t="shared" si="49"/>
        <v>0</v>
      </c>
      <c r="AN33" s="602">
        <f>+AP33/$D$16</f>
        <v>0</v>
      </c>
      <c r="AO33" s="111">
        <f>I75</f>
        <v>0</v>
      </c>
      <c r="AP33" s="112"/>
      <c r="AQ33" s="112">
        <f t="shared" ref="AQ33:AZ34" si="50">G59</f>
        <v>0</v>
      </c>
      <c r="AR33" s="112">
        <f t="shared" si="50"/>
        <v>0</v>
      </c>
      <c r="AS33" s="112">
        <f t="shared" si="50"/>
        <v>1250000</v>
      </c>
      <c r="AT33" s="112">
        <f t="shared" si="50"/>
        <v>0</v>
      </c>
      <c r="AU33" s="112">
        <f t="shared" si="50"/>
        <v>0</v>
      </c>
      <c r="AV33" s="112">
        <f t="shared" si="50"/>
        <v>0</v>
      </c>
      <c r="AW33" s="112">
        <f t="shared" si="50"/>
        <v>0</v>
      </c>
      <c r="AX33" s="112">
        <f t="shared" si="50"/>
        <v>0</v>
      </c>
      <c r="AY33" s="112">
        <f t="shared" si="50"/>
        <v>0</v>
      </c>
      <c r="AZ33" s="112">
        <f t="shared" si="50"/>
        <v>0</v>
      </c>
      <c r="BA33" s="379" t="s">
        <v>264</v>
      </c>
      <c r="BB33" s="112"/>
      <c r="BC33" s="112"/>
      <c r="BD33" s="152"/>
      <c r="BE33" s="92" t="s">
        <v>265</v>
      </c>
      <c r="BF33" s="292"/>
      <c r="BG33" s="84"/>
      <c r="BH33" s="84">
        <f>BH32*$D$19</f>
        <v>490169.33821538457</v>
      </c>
      <c r="BI33" s="84">
        <f t="shared" ref="BI33:BQ33" si="51">BI32*$D$19</f>
        <v>482641.29746564879</v>
      </c>
      <c r="BJ33" s="84">
        <f t="shared" si="51"/>
        <v>475152.16581818182</v>
      </c>
      <c r="BK33" s="84">
        <f t="shared" si="51"/>
        <v>467699.5738827067</v>
      </c>
      <c r="BL33" s="84">
        <f t="shared" si="51"/>
        <v>460281.19338483573</v>
      </c>
      <c r="BM33" s="84">
        <f t="shared" si="51"/>
        <v>518466.74540206918</v>
      </c>
      <c r="BN33" s="84">
        <f t="shared" si="51"/>
        <v>510627.80981300684</v>
      </c>
      <c r="BO33" s="84">
        <f t="shared" si="51"/>
        <v>502823.36547419196</v>
      </c>
      <c r="BP33" s="84">
        <f t="shared" si="51"/>
        <v>495051.07524686656</v>
      </c>
      <c r="BQ33" s="84">
        <f t="shared" si="51"/>
        <v>487308.63772987726</v>
      </c>
      <c r="BR33" s="84"/>
      <c r="BS33" s="84"/>
      <c r="BT33" s="84"/>
      <c r="BU33" s="84"/>
      <c r="BV33" s="84" t="str">
        <f>IF(BV8&gt;_xlfn.SINGLE(Analysis_Period),"",BV32*'[1]Property Cash Flow'!$H$18)</f>
        <v/>
      </c>
      <c r="BW33" s="165"/>
      <c r="BZ33" s="557" t="s">
        <v>72</v>
      </c>
      <c r="CA33" s="520"/>
      <c r="CB33" s="560" t="e">
        <f>IRR(CD33:CS33)</f>
        <v>#VALUE!</v>
      </c>
      <c r="CC33" s="533"/>
      <c r="CD33" s="558" t="e">
        <f>(CD19&lt;&gt;"") * ((-CD31)+CD29+CD30)</f>
        <v>#VALUE!</v>
      </c>
      <c r="CE33" s="558" t="e">
        <f t="shared" ref="CE33:CN33" si="52">(CE19&lt;&gt;"") * ((-CE31)+CE29+CE30)</f>
        <v>#VALUE!</v>
      </c>
      <c r="CF33" s="558" t="e">
        <f t="shared" si="52"/>
        <v>#VALUE!</v>
      </c>
      <c r="CG33" s="558" t="e">
        <f t="shared" si="52"/>
        <v>#VALUE!</v>
      </c>
      <c r="CH33" s="558" t="e">
        <f t="shared" si="52"/>
        <v>#VALUE!</v>
      </c>
      <c r="CI33" s="558" t="e">
        <f t="shared" si="52"/>
        <v>#VALUE!</v>
      </c>
      <c r="CJ33" s="558" t="e">
        <f t="shared" si="52"/>
        <v>#VALUE!</v>
      </c>
      <c r="CK33" s="558" t="e">
        <f t="shared" si="52"/>
        <v>#VALUE!</v>
      </c>
      <c r="CL33" s="558" t="e">
        <f t="shared" si="52"/>
        <v>#VALUE!</v>
      </c>
      <c r="CM33" s="558" t="e">
        <f t="shared" si="52"/>
        <v>#VALUE!</v>
      </c>
      <c r="CN33" s="558" t="e">
        <f t="shared" si="52"/>
        <v>#VALUE!</v>
      </c>
      <c r="CO33" s="533" t="s">
        <v>61</v>
      </c>
      <c r="CP33" s="533" t="s">
        <v>61</v>
      </c>
      <c r="CQ33" s="533" t="s">
        <v>61</v>
      </c>
      <c r="CR33" s="533" t="s">
        <v>61</v>
      </c>
      <c r="CS33" s="533" t="s">
        <v>61</v>
      </c>
      <c r="CT33" s="449"/>
    </row>
    <row r="34" spans="2:98">
      <c r="B34" s="110" t="s">
        <v>266</v>
      </c>
      <c r="C34" s="269">
        <v>0.03</v>
      </c>
      <c r="D34" s="225"/>
      <c r="F34" s="222"/>
      <c r="Z34" s="262" t="s">
        <v>267</v>
      </c>
      <c r="AA34" s="262" t="s">
        <v>1</v>
      </c>
      <c r="AB34" s="278">
        <f>AB29*D24</f>
        <v>557567.51050000009</v>
      </c>
      <c r="AC34" s="163" t="s">
        <v>268</v>
      </c>
      <c r="AG34" s="211"/>
      <c r="AH34" s="67" t="s">
        <v>269</v>
      </c>
      <c r="AI34" s="226"/>
      <c r="AJ34" s="404" t="s">
        <v>270</v>
      </c>
      <c r="AK34" s="307">
        <f t="shared" si="49"/>
        <v>0</v>
      </c>
      <c r="AL34" s="307">
        <f t="shared" si="49"/>
        <v>0</v>
      </c>
      <c r="AM34" s="307">
        <f t="shared" si="49"/>
        <v>0</v>
      </c>
      <c r="AN34" s="602">
        <f t="shared" ref="AN34" si="53">+AP34/$D$16</f>
        <v>0</v>
      </c>
      <c r="AO34" s="111"/>
      <c r="AP34" s="112">
        <f>+AM34</f>
        <v>0</v>
      </c>
      <c r="AQ34" s="112">
        <f t="shared" si="50"/>
        <v>0</v>
      </c>
      <c r="AR34" s="112">
        <f t="shared" si="50"/>
        <v>0</v>
      </c>
      <c r="AS34" s="112">
        <f t="shared" si="50"/>
        <v>250000</v>
      </c>
      <c r="AT34" s="112">
        <f t="shared" si="50"/>
        <v>0</v>
      </c>
      <c r="AU34" s="112">
        <f t="shared" si="50"/>
        <v>0</v>
      </c>
      <c r="AV34" s="112">
        <f t="shared" si="50"/>
        <v>0</v>
      </c>
      <c r="AW34" s="112">
        <f t="shared" si="50"/>
        <v>0</v>
      </c>
      <c r="AX34" s="112">
        <f t="shared" si="50"/>
        <v>0</v>
      </c>
      <c r="AY34" s="112">
        <f t="shared" si="50"/>
        <v>0</v>
      </c>
      <c r="AZ34" s="112">
        <f t="shared" si="50"/>
        <v>0</v>
      </c>
      <c r="BA34" s="379" t="s">
        <v>270</v>
      </c>
      <c r="BB34" s="112"/>
      <c r="BC34" s="112"/>
      <c r="BD34" s="152"/>
      <c r="BE34" s="103" t="s">
        <v>271</v>
      </c>
      <c r="BF34" s="292"/>
      <c r="BG34" s="74"/>
      <c r="BH34" s="74">
        <f>BH32-BH33</f>
        <v>24018297.572553843</v>
      </c>
      <c r="BI34" s="74">
        <f>BI32-BI33</f>
        <v>23649423.575816792</v>
      </c>
      <c r="BJ34" s="74">
        <f>BJ32-BJ33</f>
        <v>23282456.125090908</v>
      </c>
      <c r="BK34" s="74">
        <f t="shared" ref="BK34:BQ34" si="54">BK32-BK33</f>
        <v>22917279.120252628</v>
      </c>
      <c r="BL34" s="74">
        <f t="shared" si="54"/>
        <v>22553778.475856949</v>
      </c>
      <c r="BM34" s="74">
        <f t="shared" si="54"/>
        <v>25404870.52470139</v>
      </c>
      <c r="BN34" s="74">
        <f t="shared" si="54"/>
        <v>25020762.680837333</v>
      </c>
      <c r="BO34" s="74">
        <f t="shared" si="54"/>
        <v>24638344.908235408</v>
      </c>
      <c r="BP34" s="74">
        <f t="shared" si="54"/>
        <v>24257502.687096462</v>
      </c>
      <c r="BQ34" s="74">
        <f t="shared" si="54"/>
        <v>23878123.248763986</v>
      </c>
      <c r="BR34" s="74"/>
      <c r="BS34" s="74"/>
      <c r="BT34" s="74"/>
      <c r="BU34" s="74"/>
      <c r="BV34" s="74" t="str">
        <f t="shared" ref="BV34" si="55">IF(BV33="","",BV32-BV33)</f>
        <v/>
      </c>
      <c r="BW34" s="165"/>
      <c r="BZ34" s="557" t="s">
        <v>73</v>
      </c>
      <c r="CA34" s="520"/>
      <c r="CB34" s="560">
        <v>1.5642666586810077</v>
      </c>
      <c r="CC34" s="533"/>
      <c r="CD34" s="558"/>
      <c r="CE34" s="558"/>
      <c r="CF34" s="558"/>
      <c r="CG34" s="558"/>
      <c r="CH34" s="558"/>
      <c r="CI34" s="558"/>
      <c r="CJ34" s="558"/>
      <c r="CK34" s="558"/>
      <c r="CL34" s="558"/>
      <c r="CM34" s="558"/>
      <c r="CN34" s="558"/>
      <c r="CO34" s="558"/>
      <c r="CP34" s="520"/>
      <c r="CQ34" s="520" t="s">
        <v>1</v>
      </c>
      <c r="CR34" s="520" t="s">
        <v>1</v>
      </c>
      <c r="CS34" s="520" t="s">
        <v>1</v>
      </c>
      <c r="CT34" s="449"/>
    </row>
    <row r="35" spans="2:98">
      <c r="B35" s="222"/>
      <c r="C35" s="227"/>
      <c r="E35" s="176"/>
      <c r="F35" s="222"/>
      <c r="Z35" s="253"/>
      <c r="AA35" s="253"/>
      <c r="AB35" s="253"/>
      <c r="AG35" s="211"/>
      <c r="AH35" s="67" t="s">
        <v>272</v>
      </c>
      <c r="AI35" s="203"/>
      <c r="AJ35" s="404" t="s">
        <v>273</v>
      </c>
      <c r="AK35" s="307">
        <f t="shared" si="49"/>
        <v>24131.084275599998</v>
      </c>
      <c r="AL35" s="307">
        <f t="shared" si="49"/>
        <v>24561.7</v>
      </c>
      <c r="AM35" s="307">
        <f t="shared" si="49"/>
        <v>25000</v>
      </c>
      <c r="AN35" s="602">
        <f>+AP35/$D$16</f>
        <v>0.5</v>
      </c>
      <c r="AO35" s="96"/>
      <c r="AP35" s="113">
        <f>+AM35</f>
        <v>25000</v>
      </c>
      <c r="AQ35" s="113">
        <f t="shared" ref="AQ35:AZ35" si="56">AP35*(1+G70)</f>
        <v>25500</v>
      </c>
      <c r="AR35" s="113">
        <f t="shared" si="56"/>
        <v>26010</v>
      </c>
      <c r="AS35" s="113">
        <f t="shared" si="56"/>
        <v>26530.2</v>
      </c>
      <c r="AT35" s="113">
        <f t="shared" si="56"/>
        <v>27060.804</v>
      </c>
      <c r="AU35" s="113">
        <f t="shared" si="56"/>
        <v>27602.020080000002</v>
      </c>
      <c r="AV35" s="113">
        <f t="shared" si="56"/>
        <v>28154.060481600001</v>
      </c>
      <c r="AW35" s="113">
        <f t="shared" si="56"/>
        <v>28717.141691232002</v>
      </c>
      <c r="AX35" s="113">
        <f t="shared" si="56"/>
        <v>29291.484525056643</v>
      </c>
      <c r="AY35" s="113">
        <f t="shared" si="56"/>
        <v>29877.314215557777</v>
      </c>
      <c r="AZ35" s="113">
        <f t="shared" si="56"/>
        <v>30474.860499868933</v>
      </c>
      <c r="BA35" s="379" t="s">
        <v>273</v>
      </c>
      <c r="BB35" s="71"/>
      <c r="BC35" s="71"/>
      <c r="BD35" s="300"/>
      <c r="BE35" s="103" t="s">
        <v>274</v>
      </c>
      <c r="BF35" s="291"/>
      <c r="BG35" s="114"/>
      <c r="BH35" s="115">
        <f>BH32/D16</f>
        <v>490.16933821538458</v>
      </c>
      <c r="BI35" s="115">
        <f t="shared" ref="BI35:BQ35" si="57">BI32/_xlfn.SINGLE(Property_SF)</f>
        <v>482.64129746564879</v>
      </c>
      <c r="BJ35" s="115">
        <f t="shared" si="57"/>
        <v>475.1521658181818</v>
      </c>
      <c r="BK35" s="115">
        <f t="shared" si="57"/>
        <v>467.69957388270666</v>
      </c>
      <c r="BL35" s="115">
        <f t="shared" si="57"/>
        <v>460.28119338483572</v>
      </c>
      <c r="BM35" s="115">
        <f t="shared" si="57"/>
        <v>518.46674540206914</v>
      </c>
      <c r="BN35" s="115">
        <f t="shared" si="57"/>
        <v>510.62780981300682</v>
      </c>
      <c r="BO35" s="115">
        <f t="shared" si="57"/>
        <v>502.82336547419197</v>
      </c>
      <c r="BP35" s="115">
        <f t="shared" si="57"/>
        <v>495.05107524686656</v>
      </c>
      <c r="BQ35" s="115">
        <f t="shared" si="57"/>
        <v>487.30863772987726</v>
      </c>
      <c r="BR35" s="115"/>
      <c r="BS35" s="115"/>
      <c r="BT35" s="115"/>
      <c r="BU35" s="115"/>
      <c r="BV35" s="115" t="str">
        <f t="shared" ref="BV35" si="58">IFERROR(BV32/_xlfn.SINGLE(Property_SF),"")</f>
        <v/>
      </c>
      <c r="BW35" s="165"/>
      <c r="BZ35" s="567" t="s">
        <v>1</v>
      </c>
      <c r="CA35" s="568" t="s">
        <v>1</v>
      </c>
      <c r="CB35" s="568"/>
      <c r="CC35" s="520" t="s">
        <v>1</v>
      </c>
      <c r="CD35" s="520" t="s">
        <v>1</v>
      </c>
      <c r="CE35" s="520" t="s">
        <v>1</v>
      </c>
      <c r="CF35" s="520" t="s">
        <v>1</v>
      </c>
      <c r="CG35" s="520" t="s">
        <v>1</v>
      </c>
      <c r="CH35" s="520" t="s">
        <v>1</v>
      </c>
      <c r="CI35" s="520" t="s">
        <v>1</v>
      </c>
      <c r="CJ35" s="520" t="s">
        <v>1</v>
      </c>
      <c r="CK35" s="520" t="s">
        <v>1</v>
      </c>
      <c r="CL35" s="520" t="s">
        <v>1</v>
      </c>
      <c r="CM35" s="520" t="s">
        <v>1</v>
      </c>
      <c r="CN35" s="520" t="s">
        <v>1</v>
      </c>
      <c r="CO35" s="520" t="s">
        <v>1</v>
      </c>
      <c r="CP35" s="520" t="s">
        <v>1</v>
      </c>
      <c r="CQ35" s="520" t="s">
        <v>1</v>
      </c>
      <c r="CR35" s="520" t="s">
        <v>1</v>
      </c>
      <c r="CS35" s="520" t="s">
        <v>1</v>
      </c>
      <c r="CT35" s="449"/>
    </row>
    <row r="36" spans="2:98" ht="15.75">
      <c r="B36" s="230" t="s">
        <v>275</v>
      </c>
      <c r="C36" s="230"/>
      <c r="D36" s="230"/>
      <c r="E36" s="231"/>
      <c r="Z36" s="253"/>
      <c r="AA36" s="253"/>
      <c r="AB36" s="253"/>
      <c r="AG36" s="211"/>
      <c r="AH36" s="67" t="s">
        <v>276</v>
      </c>
      <c r="AI36" s="226"/>
      <c r="AJ36" s="404" t="s">
        <v>277</v>
      </c>
      <c r="AK36" s="116">
        <f t="shared" si="49"/>
        <v>0</v>
      </c>
      <c r="AL36" s="116">
        <f t="shared" si="49"/>
        <v>0</v>
      </c>
      <c r="AM36" s="116">
        <f t="shared" si="49"/>
        <v>0</v>
      </c>
      <c r="AN36" s="117">
        <f>+AP36/$D$16</f>
        <v>0</v>
      </c>
      <c r="AO36" s="87"/>
      <c r="AP36" s="112">
        <f>+AM36</f>
        <v>0</v>
      </c>
      <c r="AQ36" s="112">
        <f t="shared" ref="AQ36:AZ36" si="59">G62</f>
        <v>0</v>
      </c>
      <c r="AR36" s="112">
        <f t="shared" si="59"/>
        <v>250000</v>
      </c>
      <c r="AS36" s="112">
        <f t="shared" si="59"/>
        <v>0</v>
      </c>
      <c r="AT36" s="112">
        <f t="shared" si="59"/>
        <v>0</v>
      </c>
      <c r="AU36" s="112">
        <f t="shared" si="59"/>
        <v>0</v>
      </c>
      <c r="AV36" s="112">
        <f t="shared" si="59"/>
        <v>0</v>
      </c>
      <c r="AW36" s="112">
        <f t="shared" si="59"/>
        <v>0</v>
      </c>
      <c r="AX36" s="112">
        <f t="shared" si="59"/>
        <v>0</v>
      </c>
      <c r="AY36" s="112">
        <f t="shared" si="59"/>
        <v>0</v>
      </c>
      <c r="AZ36" s="112">
        <f t="shared" si="59"/>
        <v>0</v>
      </c>
      <c r="BA36" s="379" t="s">
        <v>277</v>
      </c>
      <c r="BB36" s="88"/>
      <c r="BC36" s="88"/>
      <c r="BD36" s="298"/>
      <c r="BE36" s="103"/>
      <c r="BF36" s="292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9"/>
      <c r="BT36" s="119"/>
      <c r="BU36" s="119"/>
      <c r="BV36" s="119"/>
      <c r="BW36" s="165"/>
      <c r="BY36" s="55" t="s">
        <v>278</v>
      </c>
      <c r="BZ36" s="549" t="s">
        <v>74</v>
      </c>
      <c r="CA36" s="520" t="s">
        <v>1</v>
      </c>
      <c r="CB36" s="520" t="s">
        <v>1</v>
      </c>
      <c r="CC36" s="520" t="s">
        <v>1</v>
      </c>
      <c r="CD36" s="569" t="s">
        <v>46</v>
      </c>
      <c r="CE36" s="569" t="s">
        <v>47</v>
      </c>
      <c r="CF36" s="569" t="s">
        <v>48</v>
      </c>
      <c r="CG36" s="569" t="s">
        <v>49</v>
      </c>
      <c r="CH36" s="569" t="s">
        <v>50</v>
      </c>
      <c r="CI36" s="569" t="s">
        <v>51</v>
      </c>
      <c r="CJ36" s="569" t="s">
        <v>52</v>
      </c>
      <c r="CK36" s="569" t="s">
        <v>53</v>
      </c>
      <c r="CL36" s="569" t="s">
        <v>54</v>
      </c>
      <c r="CM36" s="569" t="s">
        <v>55</v>
      </c>
      <c r="CN36" s="569" t="s">
        <v>56</v>
      </c>
      <c r="CO36" s="520" t="s">
        <v>1</v>
      </c>
      <c r="CP36" s="520" t="s">
        <v>1</v>
      </c>
      <c r="CQ36" s="520" t="s">
        <v>1</v>
      </c>
      <c r="CR36" s="520" t="s">
        <v>1</v>
      </c>
      <c r="CS36" s="520" t="s">
        <v>1</v>
      </c>
      <c r="CT36" s="449"/>
    </row>
    <row r="37" spans="2:98">
      <c r="B37" s="225"/>
      <c r="C37" s="120" t="s">
        <v>46</v>
      </c>
      <c r="D37" s="120" t="s">
        <v>129</v>
      </c>
      <c r="E37" s="121" t="s">
        <v>130</v>
      </c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Z37" s="840"/>
      <c r="AA37" s="840"/>
      <c r="AB37" s="840"/>
      <c r="AD37" s="233"/>
      <c r="AG37" s="201">
        <f>_xlfn.RRI(_xlfn.SINGLE(Analysis_Period)-1,AP37,_xlfn.SINGLE(INDEX(AP37:BD37,1,_xlfn.SINGLE(Analysis_Period))))</f>
        <v>2.0000000000000018E-2</v>
      </c>
      <c r="AH37" s="103" t="s">
        <v>233</v>
      </c>
      <c r="AI37" s="61"/>
      <c r="AJ37" s="405" t="s">
        <v>279</v>
      </c>
      <c r="AK37" s="306">
        <f>SUM(AK33:AK36)</f>
        <v>24131.084275599998</v>
      </c>
      <c r="AL37" s="306">
        <f>SUM(AL33:AL36)</f>
        <v>24561.7</v>
      </c>
      <c r="AM37" s="306">
        <f>SUM(AM33:AM36)</f>
        <v>25000</v>
      </c>
      <c r="AN37" s="122">
        <f>SUM(AN33:AN36)</f>
        <v>0.5</v>
      </c>
      <c r="AO37" s="70"/>
      <c r="AP37" s="123">
        <f>SUM(AP33:AP36)</f>
        <v>25000</v>
      </c>
      <c r="AQ37" s="123">
        <f>SUM(AQ33:AQ36)</f>
        <v>25500</v>
      </c>
      <c r="AR37" s="123">
        <f>SUM(AR33:AR36)</f>
        <v>276010</v>
      </c>
      <c r="AS37" s="123">
        <f>SUM(AS33:AS36)</f>
        <v>1526530.2</v>
      </c>
      <c r="AT37" s="123">
        <f t="shared" ref="AT37:AZ37" si="60">SUM(AT33:AT36)</f>
        <v>27060.804</v>
      </c>
      <c r="AU37" s="123">
        <f>SUM(AU33:AU36)</f>
        <v>27602.020080000002</v>
      </c>
      <c r="AV37" s="123">
        <f t="shared" si="60"/>
        <v>28154.060481600001</v>
      </c>
      <c r="AW37" s="123">
        <f t="shared" si="60"/>
        <v>28717.141691232002</v>
      </c>
      <c r="AX37" s="123">
        <f t="shared" si="60"/>
        <v>29291.484525056643</v>
      </c>
      <c r="AY37" s="123">
        <f t="shared" si="60"/>
        <v>29877.314215557777</v>
      </c>
      <c r="AZ37" s="123">
        <f t="shared" si="60"/>
        <v>30474.860499868933</v>
      </c>
      <c r="BA37" s="388"/>
      <c r="BB37" s="73"/>
      <c r="BC37" s="73"/>
      <c r="BD37" s="295"/>
      <c r="BE37" s="103" t="s">
        <v>280</v>
      </c>
      <c r="BF37" s="292"/>
      <c r="BG37" s="84"/>
      <c r="BH37" s="118">
        <f>-PV($D$24/12,($D$26-BH8)*12,BH26/12)</f>
        <v>15624773.607873462</v>
      </c>
      <c r="BI37" s="118">
        <f t="shared" ref="BI37:BQ37" si="61">-PV($D$24/12,($D$26-BI8)*12,BI26/12)</f>
        <v>15308173.14887373</v>
      </c>
      <c r="BJ37" s="118">
        <f t="shared" si="61"/>
        <v>14980312.176246081</v>
      </c>
      <c r="BK37" s="118">
        <f t="shared" si="61"/>
        <v>14640790.187832166</v>
      </c>
      <c r="BL37" s="118">
        <f t="shared" si="61"/>
        <v>14289192.43683221</v>
      </c>
      <c r="BM37" s="118">
        <f t="shared" si="61"/>
        <v>13925089.425166529</v>
      </c>
      <c r="BN37" s="118">
        <f t="shared" si="61"/>
        <v>13548036.378817448</v>
      </c>
      <c r="BO37" s="118">
        <f t="shared" si="61"/>
        <v>13157572.704510739</v>
      </c>
      <c r="BP37" s="118">
        <f t="shared" si="61"/>
        <v>12753221.427072851</v>
      </c>
      <c r="BQ37" s="118">
        <f t="shared" si="61"/>
        <v>12334488.606776685</v>
      </c>
      <c r="BR37" s="118"/>
      <c r="BS37" s="118"/>
      <c r="BT37" s="118"/>
      <c r="BU37" s="118"/>
      <c r="BV37" s="118" t="str">
        <f>IF(BW8="","",(BV8&lt;='[1]Property Cash Flow'!$H$27)*_xlfn.SINGLE(Debt)+('[1]Property Cash Flow'!$H$27&lt;BV8)*-PV('[1]Property Cash Flow'!$H$26/12,('[1]Property Cash Flow'!$H$28+'[1]Property Cash Flow'!$H$27-BV8)*12,'[1]Property Cash Flow'!$H$33/12))</f>
        <v/>
      </c>
      <c r="BW37" s="165"/>
      <c r="BZ37" s="449" t="s">
        <v>1</v>
      </c>
      <c r="CA37" s="449" t="s">
        <v>1</v>
      </c>
      <c r="CB37" s="449" t="s">
        <v>1</v>
      </c>
      <c r="CC37" s="449" t="s">
        <v>75</v>
      </c>
      <c r="CD37" s="570">
        <v>46203</v>
      </c>
      <c r="CE37" s="571">
        <v>46568</v>
      </c>
      <c r="CF37" s="571">
        <v>46934</v>
      </c>
      <c r="CG37" s="571">
        <v>47299</v>
      </c>
      <c r="CH37" s="571">
        <v>11139</v>
      </c>
      <c r="CI37" s="571">
        <v>11504</v>
      </c>
      <c r="CJ37" s="571">
        <v>11870</v>
      </c>
      <c r="CK37" s="571">
        <v>12235</v>
      </c>
      <c r="CL37" s="571">
        <v>12600</v>
      </c>
      <c r="CM37" s="571">
        <v>12965</v>
      </c>
      <c r="CN37" s="571">
        <v>13331</v>
      </c>
      <c r="CO37" s="449" t="s">
        <v>1</v>
      </c>
      <c r="CP37" s="449" t="s">
        <v>1</v>
      </c>
      <c r="CQ37" s="449" t="s">
        <v>1</v>
      </c>
      <c r="CR37" s="449" t="s">
        <v>1</v>
      </c>
      <c r="CS37" s="449" t="s">
        <v>1</v>
      </c>
      <c r="CT37" s="449"/>
    </row>
    <row r="38" spans="2:98" ht="15.75">
      <c r="B38" s="110"/>
      <c r="C38" s="124"/>
      <c r="D38" s="124"/>
      <c r="E38" s="125"/>
      <c r="F38" s="234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Z38" s="450" t="s">
        <v>281</v>
      </c>
      <c r="AA38" s="450" t="s">
        <v>1</v>
      </c>
      <c r="AB38" s="451" t="s">
        <v>11</v>
      </c>
      <c r="AG38" s="236"/>
      <c r="AH38" s="103"/>
      <c r="AI38" s="61"/>
      <c r="AJ38" s="405"/>
      <c r="AK38" s="85"/>
      <c r="AL38" s="85"/>
      <c r="AM38" s="85"/>
      <c r="AN38" s="69"/>
      <c r="AO38" s="70"/>
      <c r="AP38" s="71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388"/>
      <c r="BB38" s="73"/>
      <c r="BC38" s="73"/>
      <c r="BD38" s="295"/>
      <c r="BE38" s="103"/>
      <c r="BF38" s="292"/>
      <c r="BG38" s="118"/>
      <c r="BH38" s="118"/>
      <c r="BI38" s="118"/>
      <c r="BJ38" s="118"/>
      <c r="BK38" s="285"/>
      <c r="BL38" s="118"/>
      <c r="BM38" s="118"/>
      <c r="BN38" s="118"/>
      <c r="BO38" s="118"/>
      <c r="BP38" s="118"/>
      <c r="BQ38" s="118"/>
      <c r="BR38" s="118"/>
      <c r="BS38" s="119"/>
      <c r="BT38" s="119"/>
      <c r="BU38" s="119"/>
      <c r="BV38" s="119"/>
      <c r="BW38" s="165"/>
      <c r="BZ38" s="572" t="s">
        <v>76</v>
      </c>
      <c r="CA38" s="449" t="s">
        <v>1</v>
      </c>
      <c r="CB38" s="449" t="s">
        <v>1</v>
      </c>
      <c r="CC38" s="449" t="s">
        <v>1</v>
      </c>
      <c r="CD38" s="573">
        <f t="shared" ref="CD38:CN38" si="62">BG54</f>
        <v>15771195.297</v>
      </c>
      <c r="CE38" s="573">
        <f t="shared" si="62"/>
        <v>709629.5651377727</v>
      </c>
      <c r="CF38" s="573">
        <f t="shared" si="62"/>
        <v>696729.46513777284</v>
      </c>
      <c r="CG38" s="573">
        <f t="shared" si="62"/>
        <v>433571.36313777289</v>
      </c>
      <c r="CH38" s="573">
        <f t="shared" si="62"/>
        <v>-829849.90090222715</v>
      </c>
      <c r="CI38" s="573">
        <f t="shared" si="62"/>
        <v>656460.40977697272</v>
      </c>
      <c r="CJ38" s="573">
        <f t="shared" si="62"/>
        <v>863802.46158975654</v>
      </c>
      <c r="CK38" s="573">
        <f t="shared" si="62"/>
        <v>849559.70882039622</v>
      </c>
      <c r="CL38" s="573">
        <f t="shared" si="62"/>
        <v>835032.10099564854</v>
      </c>
      <c r="CM38" s="573">
        <f t="shared" si="62"/>
        <v>820213.94101440615</v>
      </c>
      <c r="CN38" s="573">
        <f t="shared" si="62"/>
        <v>12348734.05982084</v>
      </c>
      <c r="CO38" s="574"/>
      <c r="CP38" s="574" t="s">
        <v>61</v>
      </c>
      <c r="CQ38" s="574" t="s">
        <v>61</v>
      </c>
      <c r="CR38" s="574" t="s">
        <v>61</v>
      </c>
      <c r="CS38" s="574" t="s">
        <v>61</v>
      </c>
      <c r="CT38" s="449"/>
    </row>
    <row r="39" spans="2:98" ht="16.149999999999999">
      <c r="B39" s="110" t="s">
        <v>167</v>
      </c>
      <c r="C39" s="124">
        <v>660000</v>
      </c>
      <c r="D39" s="124">
        <v>670000</v>
      </c>
      <c r="E39" s="125">
        <v>685000</v>
      </c>
      <c r="F39" s="234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Z39" s="452" t="s">
        <v>4</v>
      </c>
      <c r="AA39" s="452" t="s">
        <v>1</v>
      </c>
      <c r="AB39" s="453">
        <f>D132</f>
        <v>1.2206999999999999</v>
      </c>
      <c r="AG39" s="201">
        <f>_xlfn.RRI(_xlfn.SINGLE(Analysis_Period)-1,AP39,_xlfn.SINGLE(INDEX(AP39:BD39,1,_xlfn.SINGLE(Analysis_Period))))</f>
        <v>6.5886020532477385E-3</v>
      </c>
      <c r="AH39" s="106" t="s">
        <v>237</v>
      </c>
      <c r="AI39" s="202"/>
      <c r="AJ39" s="409" t="s">
        <v>282</v>
      </c>
      <c r="AK39" s="107">
        <f>AK31-AK37</f>
        <v>1424545.0199253326</v>
      </c>
      <c r="AL39" s="107">
        <f>AL31-AL37</f>
        <v>1541698.42386</v>
      </c>
      <c r="AM39" s="107">
        <f t="shared" ref="AM39" si="63">AM31-AM37</f>
        <v>1568050.3491999998</v>
      </c>
      <c r="AN39" s="107">
        <f>AN31-AN37</f>
        <v>31.361006983999992</v>
      </c>
      <c r="AO39" s="90"/>
      <c r="AP39" s="83">
        <f>AP31-AP37</f>
        <v>1568050.3491999998</v>
      </c>
      <c r="AQ39" s="83">
        <f t="shared" ref="AQ39:AZ39" si="64">AQ31-AQ37</f>
        <v>1555150.2492</v>
      </c>
      <c r="AR39" s="83">
        <f t="shared" si="64"/>
        <v>1291992.1472</v>
      </c>
      <c r="AS39" s="83">
        <f>AS31-AS37</f>
        <v>28570.883159999968</v>
      </c>
      <c r="AT39" s="83">
        <f t="shared" si="64"/>
        <v>1514881.1938391998</v>
      </c>
      <c r="AU39" s="83">
        <f t="shared" si="64"/>
        <v>1722223.2456519837</v>
      </c>
      <c r="AV39" s="83">
        <f t="shared" si="64"/>
        <v>1707980.4928826233</v>
      </c>
      <c r="AW39" s="83">
        <f t="shared" si="64"/>
        <v>1693452.8850578757</v>
      </c>
      <c r="AX39" s="83">
        <f t="shared" si="64"/>
        <v>1678634.7250766333</v>
      </c>
      <c r="AY39" s="83">
        <f t="shared" si="64"/>
        <v>1663520.2018957657</v>
      </c>
      <c r="AZ39" s="83">
        <f t="shared" si="64"/>
        <v>1891539.4766632817</v>
      </c>
      <c r="BA39" s="392"/>
      <c r="BB39" s="91"/>
      <c r="BC39" s="91"/>
      <c r="BD39" s="299"/>
      <c r="BE39" s="106" t="s">
        <v>283</v>
      </c>
      <c r="BF39" s="292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9"/>
      <c r="BT39" s="119"/>
      <c r="BU39" s="119"/>
      <c r="BV39" s="119"/>
      <c r="BW39" s="165"/>
      <c r="BZ39" s="575" t="s">
        <v>77</v>
      </c>
      <c r="CA39" s="449" t="s">
        <v>1</v>
      </c>
      <c r="CB39" s="449" t="s">
        <v>1</v>
      </c>
      <c r="CC39" s="449" t="s">
        <v>1</v>
      </c>
      <c r="CD39" s="576">
        <v>0</v>
      </c>
      <c r="CE39" s="576">
        <f t="shared" ref="CE39:CN39" si="65">$C$126</f>
        <v>114000</v>
      </c>
      <c r="CF39" s="576">
        <f t="shared" si="65"/>
        <v>114000</v>
      </c>
      <c r="CG39" s="576">
        <f t="shared" si="65"/>
        <v>114000</v>
      </c>
      <c r="CH39" s="576">
        <f t="shared" si="65"/>
        <v>114000</v>
      </c>
      <c r="CI39" s="576">
        <f t="shared" si="65"/>
        <v>114000</v>
      </c>
      <c r="CJ39" s="576">
        <f t="shared" si="65"/>
        <v>114000</v>
      </c>
      <c r="CK39" s="576">
        <f t="shared" si="65"/>
        <v>114000</v>
      </c>
      <c r="CL39" s="576">
        <f t="shared" si="65"/>
        <v>114000</v>
      </c>
      <c r="CM39" s="576">
        <f t="shared" si="65"/>
        <v>114000</v>
      </c>
      <c r="CN39" s="576">
        <f t="shared" si="65"/>
        <v>114000</v>
      </c>
      <c r="CO39" s="479" t="s">
        <v>284</v>
      </c>
      <c r="CP39" s="479" t="s">
        <v>285</v>
      </c>
      <c r="CQ39" s="479" t="s">
        <v>285</v>
      </c>
      <c r="CR39" s="479" t="s">
        <v>284</v>
      </c>
      <c r="CS39" s="479" t="s">
        <v>284</v>
      </c>
      <c r="CT39" s="449"/>
    </row>
    <row r="40" spans="2:98" ht="16.5">
      <c r="B40" s="110" t="s">
        <v>173</v>
      </c>
      <c r="C40" s="126">
        <v>98751</v>
      </c>
      <c r="D40" s="126">
        <v>99152</v>
      </c>
      <c r="E40" s="127">
        <v>100000</v>
      </c>
      <c r="F40" s="237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Z40" s="452" t="s">
        <v>286</v>
      </c>
      <c r="AA40" s="452" t="s">
        <v>1</v>
      </c>
      <c r="AB40" s="454">
        <f>D134</f>
        <v>539446</v>
      </c>
      <c r="AG40" s="58"/>
      <c r="AH40" s="103"/>
      <c r="AI40" s="61"/>
      <c r="AJ40" s="405"/>
      <c r="AK40" s="85"/>
      <c r="AL40" s="85"/>
      <c r="AM40" s="85"/>
      <c r="AN40" s="56"/>
      <c r="AO40" s="57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388"/>
      <c r="BB40" s="73"/>
      <c r="BC40" s="73"/>
      <c r="BD40" s="295"/>
      <c r="BE40" s="92" t="s">
        <v>163</v>
      </c>
      <c r="BF40" s="292"/>
      <c r="BG40" s="74">
        <f t="shared" ref="BG40:BQ40" si="66">BG14</f>
        <v>0</v>
      </c>
      <c r="BH40" s="74">
        <f t="shared" si="66"/>
        <v>0</v>
      </c>
      <c r="BI40" s="74">
        <f t="shared" si="66"/>
        <v>0</v>
      </c>
      <c r="BJ40" s="74">
        <f>BJ14</f>
        <v>0</v>
      </c>
      <c r="BK40" s="74">
        <f t="shared" si="66"/>
        <v>0</v>
      </c>
      <c r="BL40" s="74">
        <f t="shared" si="66"/>
        <v>0</v>
      </c>
      <c r="BM40" s="74">
        <f t="shared" si="66"/>
        <v>0</v>
      </c>
      <c r="BN40" s="74">
        <f t="shared" si="66"/>
        <v>0</v>
      </c>
      <c r="BO40" s="74">
        <f t="shared" si="66"/>
        <v>0</v>
      </c>
      <c r="BP40" s="74">
        <f t="shared" si="66"/>
        <v>0</v>
      </c>
      <c r="BQ40" s="74">
        <f t="shared" si="66"/>
        <v>0</v>
      </c>
      <c r="BR40" s="74" t="str">
        <f t="shared" ref="BR40:BV40" si="67">IF(BR8&gt;_xlfn.SINGLE(Analysis_Period),"",BR14)</f>
        <v/>
      </c>
      <c r="BS40" s="74" t="str">
        <f t="shared" si="67"/>
        <v/>
      </c>
      <c r="BT40" s="74" t="str">
        <f t="shared" si="67"/>
        <v/>
      </c>
      <c r="BU40" s="74" t="str">
        <f t="shared" si="67"/>
        <v/>
      </c>
      <c r="BV40" s="74" t="str">
        <f t="shared" si="67"/>
        <v/>
      </c>
      <c r="BW40" s="165"/>
      <c r="BZ40" s="575" t="s">
        <v>79</v>
      </c>
      <c r="CA40" s="449" t="s">
        <v>1</v>
      </c>
      <c r="CB40" s="449" t="s">
        <v>1</v>
      </c>
      <c r="CC40" s="449" t="s">
        <v>1</v>
      </c>
      <c r="CD40" s="576">
        <f>C127</f>
        <v>367627</v>
      </c>
      <c r="CE40" s="576">
        <v>0</v>
      </c>
      <c r="CF40" s="576">
        <v>0</v>
      </c>
      <c r="CG40" s="576">
        <v>0</v>
      </c>
      <c r="CH40" s="576">
        <v>0</v>
      </c>
      <c r="CI40" s="576">
        <v>0</v>
      </c>
      <c r="CJ40" s="576">
        <v>0</v>
      </c>
      <c r="CK40" s="576">
        <v>0</v>
      </c>
      <c r="CL40" s="576">
        <v>0</v>
      </c>
      <c r="CM40" s="576">
        <v>0</v>
      </c>
      <c r="CN40" s="576">
        <v>0</v>
      </c>
      <c r="CO40" s="479" t="s">
        <v>284</v>
      </c>
      <c r="CP40" s="479" t="s">
        <v>285</v>
      </c>
      <c r="CQ40" s="479" t="s">
        <v>285</v>
      </c>
      <c r="CR40" s="479" t="s">
        <v>284</v>
      </c>
      <c r="CS40" s="479" t="s">
        <v>284</v>
      </c>
      <c r="CT40" s="449"/>
    </row>
    <row r="41" spans="2:98">
      <c r="B41" s="264"/>
      <c r="C41" s="128"/>
      <c r="D41" s="128"/>
      <c r="E41" s="128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Z41" s="452" t="s">
        <v>287</v>
      </c>
      <c r="AA41" s="452" t="s">
        <v>1</v>
      </c>
      <c r="AB41" s="454">
        <f>D135</f>
        <v>1812018</v>
      </c>
      <c r="AG41" s="58"/>
      <c r="AH41" s="106" t="s">
        <v>288</v>
      </c>
      <c r="AI41" s="61"/>
      <c r="AJ41" s="403"/>
      <c r="AK41" s="85"/>
      <c r="AL41" s="85"/>
      <c r="AM41" s="85"/>
      <c r="AN41" s="56"/>
      <c r="AO41" s="57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386"/>
      <c r="BB41" s="65"/>
      <c r="BC41" s="65"/>
      <c r="BD41" s="294"/>
      <c r="BE41" s="92" t="s">
        <v>216</v>
      </c>
      <c r="BF41" s="292"/>
      <c r="BG41" s="74">
        <f t="shared" ref="BG41:BQ41" si="68">BG25</f>
        <v>0</v>
      </c>
      <c r="BH41" s="74">
        <f t="shared" si="68"/>
        <v>1568050.3491999998</v>
      </c>
      <c r="BI41" s="74">
        <f t="shared" si="68"/>
        <v>1555150.2492</v>
      </c>
      <c r="BJ41" s="74">
        <f t="shared" si="68"/>
        <v>1291992.1472</v>
      </c>
      <c r="BK41" s="74">
        <f t="shared" si="68"/>
        <v>28570.883159999968</v>
      </c>
      <c r="BL41" s="74">
        <f t="shared" si="68"/>
        <v>1514881.1938391998</v>
      </c>
      <c r="BM41" s="74">
        <f t="shared" si="68"/>
        <v>1722223.2456519837</v>
      </c>
      <c r="BN41" s="74">
        <f t="shared" si="68"/>
        <v>1707980.4928826233</v>
      </c>
      <c r="BO41" s="74">
        <f t="shared" si="68"/>
        <v>1693452.8850578757</v>
      </c>
      <c r="BP41" s="74">
        <f t="shared" si="68"/>
        <v>1678634.7250766333</v>
      </c>
      <c r="BQ41" s="74">
        <f t="shared" si="68"/>
        <v>1663520.2018957657</v>
      </c>
      <c r="BR41" s="74" t="str">
        <f t="shared" ref="BR41:BV41" si="69">IF(BR8&gt;_xlfn.SINGLE(Analysis_Period),"",BR25)</f>
        <v/>
      </c>
      <c r="BS41" s="74" t="str">
        <f t="shared" si="69"/>
        <v/>
      </c>
      <c r="BT41" s="74" t="str">
        <f t="shared" si="69"/>
        <v/>
      </c>
      <c r="BU41" s="74" t="str">
        <f t="shared" si="69"/>
        <v/>
      </c>
      <c r="BV41" s="74" t="str">
        <f t="shared" si="69"/>
        <v/>
      </c>
      <c r="BW41" s="165"/>
      <c r="BZ41" s="575"/>
      <c r="CA41" s="449" t="s">
        <v>1</v>
      </c>
      <c r="CB41" s="449" t="s">
        <v>1</v>
      </c>
      <c r="CC41" s="449" t="s">
        <v>1</v>
      </c>
      <c r="CD41" s="576"/>
      <c r="CE41" s="576"/>
      <c r="CF41" s="576"/>
      <c r="CG41" s="576"/>
      <c r="CH41" s="576"/>
      <c r="CI41" s="576"/>
      <c r="CJ41" s="576"/>
      <c r="CK41" s="576"/>
      <c r="CL41" s="576"/>
      <c r="CM41" s="576"/>
      <c r="CN41" s="576"/>
      <c r="CO41" s="479"/>
      <c r="CP41" s="479"/>
      <c r="CQ41" s="479"/>
      <c r="CR41" s="479"/>
      <c r="CS41" s="479"/>
      <c r="CT41" s="449"/>
    </row>
    <row r="42" spans="2:98">
      <c r="B42" s="150"/>
      <c r="C42" s="124"/>
      <c r="D42" s="124"/>
      <c r="E42" s="129"/>
      <c r="Z42" s="452" t="s">
        <v>289</v>
      </c>
      <c r="AA42" s="452" t="s">
        <v>1</v>
      </c>
      <c r="AB42" s="454" t="str">
        <f>D136</f>
        <v>1.56x</v>
      </c>
      <c r="AG42" s="58"/>
      <c r="AH42" s="92" t="s">
        <v>290</v>
      </c>
      <c r="AI42" s="61"/>
      <c r="AJ42" s="410" t="s">
        <v>291</v>
      </c>
      <c r="AK42" s="130">
        <f>AK10/$D$16</f>
        <v>32.260007999999999</v>
      </c>
      <c r="AL42" s="130">
        <f>AL10/$D$16</f>
        <v>35.000008000000008</v>
      </c>
      <c r="AM42" s="130">
        <f>AM10/$D$16</f>
        <v>35.000008000000001</v>
      </c>
      <c r="AN42" s="131"/>
      <c r="AO42" s="132"/>
      <c r="AP42" s="131">
        <f t="shared" ref="AP42:AZ42" si="70">AP10/$D$16</f>
        <v>35.000008000000001</v>
      </c>
      <c r="AQ42" s="131">
        <f t="shared" si="70"/>
        <v>35.000008000000001</v>
      </c>
      <c r="AR42" s="131">
        <f t="shared" si="70"/>
        <v>35.000008000000001</v>
      </c>
      <c r="AS42" s="131">
        <f t="shared" si="70"/>
        <v>35.000008000000001</v>
      </c>
      <c r="AT42" s="131">
        <f t="shared" si="70"/>
        <v>35.000008000000001</v>
      </c>
      <c r="AU42" s="131">
        <f t="shared" si="70"/>
        <v>38.500008799999996</v>
      </c>
      <c r="AV42" s="131">
        <f t="shared" si="70"/>
        <v>38.500008799999996</v>
      </c>
      <c r="AW42" s="131">
        <f t="shared" si="70"/>
        <v>38.500008799999996</v>
      </c>
      <c r="AX42" s="131">
        <f t="shared" si="70"/>
        <v>38.500008799999996</v>
      </c>
      <c r="AY42" s="131">
        <f t="shared" si="70"/>
        <v>38.500008799999996</v>
      </c>
      <c r="AZ42" s="131">
        <f t="shared" si="70"/>
        <v>42.350009680000007</v>
      </c>
      <c r="BA42" s="393"/>
      <c r="BB42" s="131"/>
      <c r="BC42" s="131"/>
      <c r="BD42" s="302"/>
      <c r="BE42" s="92" t="s">
        <v>292</v>
      </c>
      <c r="BF42" s="292"/>
      <c r="BG42" s="84">
        <f t="shared" ref="BG42:BQ42" si="71">(BG8&lt;=$D$10)*(BG8=$D$10)*BG34</f>
        <v>0</v>
      </c>
      <c r="BH42" s="84">
        <f t="shared" si="71"/>
        <v>0</v>
      </c>
      <c r="BI42" s="84">
        <f t="shared" si="71"/>
        <v>0</v>
      </c>
      <c r="BJ42" s="84">
        <f t="shared" si="71"/>
        <v>0</v>
      </c>
      <c r="BK42" s="84">
        <f t="shared" si="71"/>
        <v>0</v>
      </c>
      <c r="BL42" s="84">
        <f t="shared" si="71"/>
        <v>0</v>
      </c>
      <c r="BM42" s="84">
        <f t="shared" si="71"/>
        <v>0</v>
      </c>
      <c r="BN42" s="84">
        <f t="shared" si="71"/>
        <v>0</v>
      </c>
      <c r="BO42" s="84">
        <f t="shared" si="71"/>
        <v>0</v>
      </c>
      <c r="BP42" s="84">
        <f t="shared" si="71"/>
        <v>0</v>
      </c>
      <c r="BQ42" s="84">
        <f t="shared" si="71"/>
        <v>23878123.248763986</v>
      </c>
      <c r="BR42" s="84" t="str">
        <f t="shared" ref="BR42:BV42" si="72">IF(BR8&gt;_xlfn.SINGLE(Analysis_Period),"",(BR8=_xlfn.SINGLE(Analysis_Period))*BR34)</f>
        <v/>
      </c>
      <c r="BS42" s="84" t="str">
        <f t="shared" si="72"/>
        <v/>
      </c>
      <c r="BT42" s="84" t="str">
        <f t="shared" si="72"/>
        <v/>
      </c>
      <c r="BU42" s="84" t="str">
        <f t="shared" si="72"/>
        <v/>
      </c>
      <c r="BV42" s="84" t="str">
        <f t="shared" si="72"/>
        <v/>
      </c>
      <c r="BW42" s="165"/>
      <c r="BZ42" s="572" t="s">
        <v>80</v>
      </c>
      <c r="CA42" s="449" t="s">
        <v>1</v>
      </c>
      <c r="CB42" s="449" t="s">
        <v>1</v>
      </c>
      <c r="CC42" s="577"/>
      <c r="CD42" s="578">
        <f t="shared" ref="CD42:CN42" si="73">CD38-CD39-CD40</f>
        <v>15403568.297</v>
      </c>
      <c r="CE42" s="578">
        <f t="shared" si="73"/>
        <v>595629.5651377727</v>
      </c>
      <c r="CF42" s="578">
        <f t="shared" si="73"/>
        <v>582729.46513777284</v>
      </c>
      <c r="CG42" s="578">
        <f t="shared" si="73"/>
        <v>319571.36313777289</v>
      </c>
      <c r="CH42" s="578">
        <f t="shared" si="73"/>
        <v>-943849.90090222715</v>
      </c>
      <c r="CI42" s="578">
        <f t="shared" si="73"/>
        <v>542460.40977697272</v>
      </c>
      <c r="CJ42" s="578">
        <f t="shared" si="73"/>
        <v>749802.46158975654</v>
      </c>
      <c r="CK42" s="578">
        <f t="shared" si="73"/>
        <v>735559.70882039622</v>
      </c>
      <c r="CL42" s="578">
        <f t="shared" si="73"/>
        <v>721032.10099564854</v>
      </c>
      <c r="CM42" s="578">
        <f t="shared" si="73"/>
        <v>706213.94101440615</v>
      </c>
      <c r="CN42" s="578">
        <f t="shared" si="73"/>
        <v>12234734.05982084</v>
      </c>
      <c r="CO42" s="473"/>
      <c r="CP42" s="473" t="s">
        <v>61</v>
      </c>
      <c r="CQ42" s="473" t="s">
        <v>61</v>
      </c>
      <c r="CR42" s="473" t="s">
        <v>61</v>
      </c>
      <c r="CS42" s="473" t="s">
        <v>61</v>
      </c>
      <c r="CT42" s="449"/>
    </row>
    <row r="43" spans="2:98">
      <c r="B43" s="110" t="s">
        <v>190</v>
      </c>
      <c r="C43" s="124">
        <v>-24131.084275599998</v>
      </c>
      <c r="D43" s="124">
        <v>-24561.7</v>
      </c>
      <c r="E43" s="125">
        <v>0</v>
      </c>
      <c r="Z43" s="452" t="s">
        <v>27</v>
      </c>
      <c r="AA43" s="452" t="s">
        <v>1</v>
      </c>
      <c r="AB43" s="455">
        <f>D123</f>
        <v>0.12</v>
      </c>
      <c r="AG43" s="58"/>
      <c r="AH43" s="92" t="s">
        <v>293</v>
      </c>
      <c r="AI43" s="61"/>
      <c r="AJ43" s="410" t="s">
        <v>294</v>
      </c>
      <c r="AK43" s="130">
        <f>AK29/$D$16</f>
        <v>13.235381430469339</v>
      </c>
      <c r="AL43" s="130">
        <f>AL29/$D$16</f>
        <v>13.5283067228</v>
      </c>
      <c r="AM43" s="130">
        <f>AM29/$D$16</f>
        <v>13.769000216</v>
      </c>
      <c r="AN43" s="56"/>
      <c r="AO43" s="57"/>
      <c r="AP43" s="131">
        <f t="shared" ref="AP43:AZ43" si="74">AP29/$D$16</f>
        <v>13.769000216</v>
      </c>
      <c r="AQ43" s="131">
        <f t="shared" si="74"/>
        <v>14.017002216</v>
      </c>
      <c r="AR43" s="131">
        <f t="shared" si="74"/>
        <v>14.269964256</v>
      </c>
      <c r="AS43" s="131">
        <f t="shared" si="74"/>
        <v>14.527985536799999</v>
      </c>
      <c r="AT43" s="131">
        <f t="shared" si="74"/>
        <v>14.791167243216</v>
      </c>
      <c r="AU43" s="131">
        <f t="shared" si="74"/>
        <v>15.196502605360322</v>
      </c>
      <c r="AV43" s="131">
        <f t="shared" si="74"/>
        <v>15.470316852715527</v>
      </c>
      <c r="AW43" s="131">
        <f t="shared" si="74"/>
        <v>15.749607385017839</v>
      </c>
      <c r="AX43" s="131">
        <f t="shared" si="74"/>
        <v>16.034483727966197</v>
      </c>
      <c r="AY43" s="131">
        <f t="shared" si="74"/>
        <v>16.325057597773519</v>
      </c>
      <c r="AZ43" s="131">
        <f t="shared" si="74"/>
        <v>16.77202196873699</v>
      </c>
      <c r="BA43" s="393"/>
      <c r="BB43" s="131"/>
      <c r="BC43" s="131"/>
      <c r="BD43" s="302"/>
      <c r="BE43" s="103" t="s">
        <v>295</v>
      </c>
      <c r="BF43" s="292"/>
      <c r="BG43" s="74">
        <f t="shared" ref="BG43:BQ43" si="75">-BG40+BG41+BG42</f>
        <v>0</v>
      </c>
      <c r="BH43" s="74">
        <f t="shared" si="75"/>
        <v>1568050.3491999998</v>
      </c>
      <c r="BI43" s="74">
        <f t="shared" si="75"/>
        <v>1555150.2492</v>
      </c>
      <c r="BJ43" s="74">
        <f t="shared" si="75"/>
        <v>1291992.1472</v>
      </c>
      <c r="BK43" s="74">
        <f t="shared" si="75"/>
        <v>28570.883159999968</v>
      </c>
      <c r="BL43" s="74">
        <f t="shared" si="75"/>
        <v>1514881.1938391998</v>
      </c>
      <c r="BM43" s="74">
        <f t="shared" si="75"/>
        <v>1722223.2456519837</v>
      </c>
      <c r="BN43" s="74">
        <f t="shared" si="75"/>
        <v>1707980.4928826233</v>
      </c>
      <c r="BO43" s="74">
        <f t="shared" si="75"/>
        <v>1693452.8850578757</v>
      </c>
      <c r="BP43" s="74">
        <f t="shared" si="75"/>
        <v>1678634.7250766333</v>
      </c>
      <c r="BQ43" s="74">
        <f t="shared" si="75"/>
        <v>25541643.450659752</v>
      </c>
      <c r="BR43" s="74" t="str">
        <f t="shared" ref="BR43:BV43" si="76">IF(BR8&gt;_xlfn.SINGLE(Analysis_Period),"",-BR40+BR41+BR42)</f>
        <v/>
      </c>
      <c r="BS43" s="74" t="str">
        <f t="shared" si="76"/>
        <v/>
      </c>
      <c r="BT43" s="74" t="str">
        <f t="shared" si="76"/>
        <v/>
      </c>
      <c r="BU43" s="74" t="str">
        <f t="shared" si="76"/>
        <v/>
      </c>
      <c r="BV43" s="74" t="str">
        <f t="shared" si="76"/>
        <v/>
      </c>
      <c r="BW43" s="165"/>
      <c r="BZ43" s="452" t="s">
        <v>81</v>
      </c>
      <c r="CA43" s="449" t="s">
        <v>1</v>
      </c>
      <c r="CB43" s="449" t="s">
        <v>1</v>
      </c>
      <c r="CC43" s="449" t="s">
        <v>1</v>
      </c>
      <c r="CD43" s="482" t="e">
        <f>IRR(CD42:CS42)</f>
        <v>#NUM!</v>
      </c>
      <c r="CE43" s="449"/>
      <c r="CF43" s="449"/>
      <c r="CG43" s="449"/>
      <c r="CH43" s="449"/>
      <c r="CI43" s="449"/>
      <c r="CJ43" s="449"/>
      <c r="CK43" s="449"/>
      <c r="CL43" s="449"/>
      <c r="CM43" s="449"/>
      <c r="CN43" s="449"/>
      <c r="CO43" s="449"/>
      <c r="CP43" s="449" t="s">
        <v>1</v>
      </c>
      <c r="CQ43" s="449" t="s">
        <v>1</v>
      </c>
      <c r="CR43" s="449" t="s">
        <v>1</v>
      </c>
      <c r="CS43" s="449" t="s">
        <v>1</v>
      </c>
      <c r="CT43" s="449"/>
    </row>
    <row r="44" spans="2:98" ht="15.75">
      <c r="B44" s="447"/>
      <c r="C44" s="448"/>
      <c r="D44" s="448"/>
      <c r="E44" s="448"/>
      <c r="Z44" s="450" t="s">
        <v>281</v>
      </c>
      <c r="AA44" s="452"/>
      <c r="AB44" s="451" t="s">
        <v>297</v>
      </c>
      <c r="AG44" s="58"/>
      <c r="AH44" s="92" t="s">
        <v>298</v>
      </c>
      <c r="AI44" s="61"/>
      <c r="AJ44" s="411"/>
      <c r="AK44" s="133">
        <f>AK11/AK29</f>
        <v>0.99732675399985926</v>
      </c>
      <c r="AL44" s="133">
        <f>AL11/AL29</f>
        <v>0.99051568496863263</v>
      </c>
      <c r="AM44" s="133">
        <f>AM11/AM29</f>
        <v>0.99498872721929221</v>
      </c>
      <c r="AN44" s="56"/>
      <c r="AO44" s="57"/>
      <c r="AP44" s="134">
        <f>AP11/AP29</f>
        <v>0.99498872721929221</v>
      </c>
      <c r="AQ44" s="134">
        <f t="shared" ref="AQ44:AZ44" si="77">AQ11/AQ29</f>
        <v>0.97738444989056561</v>
      </c>
      <c r="AR44" s="134">
        <f t="shared" si="77"/>
        <v>0.96005846645618964</v>
      </c>
      <c r="AS44" s="134">
        <f t="shared" si="77"/>
        <v>0.94300754673091625</v>
      </c>
      <c r="AT44" s="134">
        <f t="shared" si="77"/>
        <v>0.92622845612698579</v>
      </c>
      <c r="AU44" s="134">
        <f t="shared" si="77"/>
        <v>0.99167554478517328</v>
      </c>
      <c r="AV44" s="134">
        <f t="shared" si="77"/>
        <v>0.97412355179750199</v>
      </c>
      <c r="AW44" s="134">
        <f t="shared" si="77"/>
        <v>0.95684924910164249</v>
      </c>
      <c r="AX44" s="134">
        <f t="shared" si="77"/>
        <v>0.93984940554811802</v>
      </c>
      <c r="AY44" s="134">
        <f t="shared" si="77"/>
        <v>0.92312078592943603</v>
      </c>
      <c r="AZ44" s="134">
        <f t="shared" si="77"/>
        <v>0.98837218499352641</v>
      </c>
      <c r="BA44" s="394"/>
      <c r="BB44" s="134"/>
      <c r="BC44" s="134"/>
      <c r="BD44" s="303"/>
      <c r="BE44" s="103"/>
      <c r="BF44" s="292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165"/>
      <c r="BZ44" s="452" t="s">
        <v>27</v>
      </c>
      <c r="CA44" s="449" t="s">
        <v>1</v>
      </c>
      <c r="CB44" s="449" t="s">
        <v>1</v>
      </c>
      <c r="CC44" s="449" t="s">
        <v>1</v>
      </c>
      <c r="CD44" s="579">
        <f>SUMIF(CD42:CN42,"&gt;0")/-SUMIF(CD42:CN42,"&lt;0")</f>
        <v>34.530174068225548</v>
      </c>
      <c r="CE44" s="579"/>
      <c r="CF44" s="449"/>
      <c r="CG44" s="449"/>
      <c r="CH44" s="579"/>
      <c r="CI44" s="449"/>
      <c r="CJ44" s="579"/>
      <c r="CK44" s="449"/>
      <c r="CL44" s="449"/>
      <c r="CM44" s="449"/>
      <c r="CN44" s="449"/>
      <c r="CO44" s="449"/>
      <c r="CP44" s="449" t="s">
        <v>1</v>
      </c>
      <c r="CQ44" s="449" t="s">
        <v>1</v>
      </c>
      <c r="CR44" s="449" t="s">
        <v>1</v>
      </c>
      <c r="CS44" s="449" t="s">
        <v>1</v>
      </c>
      <c r="CT44" s="449"/>
    </row>
    <row r="45" spans="2:98">
      <c r="B45" s="110" t="s">
        <v>200</v>
      </c>
      <c r="C45" s="126">
        <v>0</v>
      </c>
      <c r="D45" s="126">
        <v>0</v>
      </c>
      <c r="E45" s="127">
        <v>0</v>
      </c>
      <c r="Z45" s="452" t="s">
        <v>4</v>
      </c>
      <c r="AA45" s="452"/>
      <c r="AB45" s="453">
        <f>F132</f>
        <v>6.0100000000000001E-2</v>
      </c>
      <c r="AG45" s="58"/>
      <c r="AH45" s="92" t="s">
        <v>299</v>
      </c>
      <c r="AI45" s="61"/>
      <c r="AJ45" s="411"/>
      <c r="AK45" s="133">
        <f>AK29/AK18</f>
        <v>0.31356847319964992</v>
      </c>
      <c r="AL45" s="133">
        <f>AL29/AL18</f>
        <v>0.30161088762258986</v>
      </c>
      <c r="AM45" s="133">
        <f t="shared" ref="AM45" si="78">AM29/AM18</f>
        <v>0.3017531896422756</v>
      </c>
      <c r="AN45" s="56"/>
      <c r="AO45" s="57"/>
      <c r="AP45" s="134">
        <f>AP29/AP18</f>
        <v>0.3017531896422756</v>
      </c>
      <c r="AQ45" s="134">
        <f>AQ29/AQ18</f>
        <v>0.30718825343512113</v>
      </c>
      <c r="AR45" s="134">
        <f t="shared" ref="AR45:AZ45" si="79">AR29/AR18</f>
        <v>0.31273201850382354</v>
      </c>
      <c r="AS45" s="134">
        <f t="shared" si="79"/>
        <v>0.3183866588739</v>
      </c>
      <c r="AT45" s="134">
        <f t="shared" si="79"/>
        <v>0.32415439205137803</v>
      </c>
      <c r="AU45" s="134">
        <f t="shared" si="79"/>
        <v>0.30276134535673238</v>
      </c>
      <c r="AV45" s="134">
        <f t="shared" si="79"/>
        <v>0.30821657226386701</v>
      </c>
      <c r="AW45" s="134">
        <f t="shared" si="79"/>
        <v>0.31378090370914435</v>
      </c>
      <c r="AX45" s="134">
        <f t="shared" si="79"/>
        <v>0.31945652178332729</v>
      </c>
      <c r="AY45" s="134">
        <f t="shared" si="79"/>
        <v>0.32524565221899382</v>
      </c>
      <c r="AZ45" s="134">
        <f t="shared" si="79"/>
        <v>0.30377324114852144</v>
      </c>
      <c r="BA45" s="394"/>
      <c r="BB45" s="134"/>
      <c r="BC45" s="134"/>
      <c r="BD45" s="303"/>
      <c r="BE45" s="103" t="s">
        <v>300</v>
      </c>
      <c r="BF45" s="292"/>
      <c r="BG45" s="108"/>
      <c r="BH45" s="108" t="e">
        <f>BH25/SUM($BG$14:BH14)</f>
        <v>#DIV/0!</v>
      </c>
      <c r="BI45" s="108" t="e">
        <f>BI25/SUM($BG$14:BI14)</f>
        <v>#DIV/0!</v>
      </c>
      <c r="BJ45" s="108" t="e">
        <f>BJ25/SUM($BG$14:BJ14)</f>
        <v>#DIV/0!</v>
      </c>
      <c r="BK45" s="108" t="e">
        <f>BK25/SUM($BG$14:BK14)</f>
        <v>#DIV/0!</v>
      </c>
      <c r="BL45" s="108" t="e">
        <f>BL25/SUM($BG$14:BL14)</f>
        <v>#DIV/0!</v>
      </c>
      <c r="BM45" s="108" t="e">
        <f>BM25/SUM($BG$14:BM14)</f>
        <v>#DIV/0!</v>
      </c>
      <c r="BN45" s="108" t="e">
        <f>BN25/SUM($BG$14:BN14)</f>
        <v>#DIV/0!</v>
      </c>
      <c r="BO45" s="108" t="e">
        <f>BO25/SUM($BG$14:BO14)</f>
        <v>#DIV/0!</v>
      </c>
      <c r="BP45" s="108" t="e">
        <f>BP25/SUM($BG$14:BP14)</f>
        <v>#DIV/0!</v>
      </c>
      <c r="BQ45" s="108" t="e">
        <f>BQ25/SUM($BG$14:BQ14)</f>
        <v>#DIV/0!</v>
      </c>
      <c r="BR45" s="108" t="str">
        <f>IF(BS8="","",BR25/SUM($AX$13:BR14))</f>
        <v/>
      </c>
      <c r="BS45" s="108" t="str">
        <f>IF(BT8="","",BS25/SUM($AX$13:BS14))</f>
        <v/>
      </c>
      <c r="BT45" s="108" t="str">
        <f>IF(BU8="","",BT25/SUM($AX$13:BT14))</f>
        <v/>
      </c>
      <c r="BU45" s="108" t="str">
        <f>IF(BV8="","",BU25/SUM($AX$13:BU14))</f>
        <v/>
      </c>
      <c r="BV45" s="108" t="str">
        <f>IF(BW8="","",BV25/SUM($AX$13:BV14))</f>
        <v/>
      </c>
      <c r="BW45" s="165"/>
      <c r="BZ45" s="452" t="s">
        <v>1</v>
      </c>
      <c r="CA45" s="449" t="s">
        <v>1</v>
      </c>
      <c r="CB45" s="449" t="s">
        <v>1</v>
      </c>
      <c r="CC45" s="449" t="s">
        <v>1</v>
      </c>
      <c r="CD45" s="580"/>
      <c r="CE45" s="449"/>
      <c r="CF45" s="449"/>
      <c r="CG45" s="449"/>
      <c r="CH45" s="449"/>
      <c r="CI45" s="449"/>
      <c r="CJ45" s="449"/>
      <c r="CK45" s="449"/>
      <c r="CL45" s="449"/>
      <c r="CM45" s="449"/>
      <c r="CN45" s="580"/>
      <c r="CO45" s="449" t="s">
        <v>1</v>
      </c>
      <c r="CP45" s="449" t="s">
        <v>1</v>
      </c>
      <c r="CQ45" s="449" t="s">
        <v>1</v>
      </c>
      <c r="CR45" s="449" t="s">
        <v>1</v>
      </c>
      <c r="CS45" s="449" t="s">
        <v>1</v>
      </c>
      <c r="CT45" s="449"/>
    </row>
    <row r="46" spans="2:98" ht="15.75">
      <c r="B46" s="263"/>
      <c r="C46" s="270"/>
      <c r="D46" s="270"/>
      <c r="E46" s="270"/>
      <c r="Z46" s="452" t="s">
        <v>286</v>
      </c>
      <c r="AA46" s="452"/>
      <c r="AB46" s="454">
        <f>F133</f>
        <v>16032900</v>
      </c>
      <c r="AG46" s="58"/>
      <c r="AH46" s="92" t="s">
        <v>302</v>
      </c>
      <c r="AI46" s="61"/>
      <c r="AJ46" s="412"/>
      <c r="AK46" s="135">
        <f>AK37/AK31</f>
        <v>1.6657335760301182E-2</v>
      </c>
      <c r="AL46" s="135">
        <f t="shared" ref="AL46:AM46" si="80">AL37/AL31</f>
        <v>1.5681750193236386E-2</v>
      </c>
      <c r="AM46" s="135">
        <f t="shared" si="80"/>
        <v>1.5693163755027915E-2</v>
      </c>
      <c r="AN46" s="56"/>
      <c r="AO46" s="57"/>
      <c r="AP46" s="136">
        <f>AP37/AP31</f>
        <v>1.5693163755027915E-2</v>
      </c>
      <c r="AQ46" s="136">
        <f>AQ37/AQ31</f>
        <v>1.6132601132291018E-2</v>
      </c>
      <c r="AR46" s="136">
        <f t="shared" ref="AR46:AZ46" si="81">AR37/AR31</f>
        <v>0.17602654466569087</v>
      </c>
      <c r="AS46" s="136">
        <f t="shared" si="81"/>
        <v>0.98162763599781999</v>
      </c>
      <c r="AT46" s="136">
        <f t="shared" si="81"/>
        <v>1.754981966761503E-2</v>
      </c>
      <c r="AU46" s="136">
        <f t="shared" si="81"/>
        <v>1.5774157923393328E-2</v>
      </c>
      <c r="AV46" s="136">
        <f t="shared" si="81"/>
        <v>1.6216519869985888E-2</v>
      </c>
      <c r="AW46" s="136">
        <f t="shared" si="81"/>
        <v>1.6674974738377341E-2</v>
      </c>
      <c r="AX46" s="136">
        <f t="shared" si="81"/>
        <v>1.7150322045756176E-2</v>
      </c>
      <c r="AY46" s="136">
        <f t="shared" si="81"/>
        <v>1.7643414456026432E-2</v>
      </c>
      <c r="AZ46" s="136">
        <f t="shared" si="81"/>
        <v>1.5855688436148263E-2</v>
      </c>
      <c r="BA46" s="395"/>
      <c r="BB46" s="136"/>
      <c r="BC46" s="136"/>
      <c r="BD46" s="304"/>
      <c r="BE46" s="92" t="s">
        <v>205</v>
      </c>
      <c r="BF46" s="292"/>
      <c r="BG46" s="108"/>
      <c r="BH46" s="108" t="e">
        <f>AVERAGE(BH45)</f>
        <v>#DIV/0!</v>
      </c>
      <c r="BI46" s="108" t="e">
        <f>AVERAGE(BH45:BI45)</f>
        <v>#DIV/0!</v>
      </c>
      <c r="BJ46" s="108" t="e">
        <f>AVERAGE(BH45:BJ45)</f>
        <v>#DIV/0!</v>
      </c>
      <c r="BK46" s="108" t="e">
        <f>AVERAGE(BH45:BK45)</f>
        <v>#DIV/0!</v>
      </c>
      <c r="BL46" s="108" t="e">
        <f>AVERAGE(BH45:BL45)</f>
        <v>#DIV/0!</v>
      </c>
      <c r="BM46" s="108" t="e">
        <f>AVERAGE(BH45:BM45)</f>
        <v>#DIV/0!</v>
      </c>
      <c r="BN46" s="108" t="e">
        <f>AVERAGE(BH45:BN45)</f>
        <v>#DIV/0!</v>
      </c>
      <c r="BO46" s="108" t="e">
        <f>AVERAGE(BH45:BO45)</f>
        <v>#DIV/0!</v>
      </c>
      <c r="BP46" s="108" t="e">
        <f>AVERAGE(BH45:BP45)</f>
        <v>#DIV/0!</v>
      </c>
      <c r="BQ46" s="108" t="e">
        <f>AVERAGE(BH45:BQ45)</f>
        <v>#DIV/0!</v>
      </c>
      <c r="BR46" s="108" t="str">
        <f>IF(BS8="","",IF(BR45="","",AVERAGE($AY$44:BR45)))</f>
        <v/>
      </c>
      <c r="BS46" s="108" t="str">
        <f>IF(BT8="","",IF(BS45="","",AVERAGE($AY$44:BS45)))</f>
        <v/>
      </c>
      <c r="BT46" s="108" t="str">
        <f>IF(BU8="","",IF(BT45="","",AVERAGE($AY$44:BT45)))</f>
        <v/>
      </c>
      <c r="BU46" s="108" t="str">
        <f>IF(BV8="","",IF(BU45="","",AVERAGE($AY$44:BU45)))</f>
        <v/>
      </c>
      <c r="BV46" s="108" t="str">
        <f>IF(BW8="","",IF(BV45="","",AVERAGE($AY$44:BV45)))</f>
        <v/>
      </c>
      <c r="BW46" s="165"/>
      <c r="BZ46" s="581" t="s">
        <v>303</v>
      </c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449"/>
    </row>
    <row r="47" spans="2:98">
      <c r="B47" s="110" t="s">
        <v>214</v>
      </c>
      <c r="C47" s="125">
        <v>14478.65056536</v>
      </c>
      <c r="D47" s="125">
        <v>14737.02</v>
      </c>
      <c r="E47" s="125">
        <v>15000</v>
      </c>
      <c r="Z47" s="452" t="s">
        <v>287</v>
      </c>
      <c r="AA47" s="452"/>
      <c r="AB47" s="454">
        <f>F134</f>
        <v>10249467</v>
      </c>
      <c r="AG47" s="58"/>
      <c r="AH47" s="92" t="s">
        <v>304</v>
      </c>
      <c r="AI47" s="61"/>
      <c r="AJ47" s="412"/>
      <c r="AK47" s="135">
        <f>AK28/$BH$32</f>
        <v>9.8462164055973175E-3</v>
      </c>
      <c r="AL47" s="135">
        <f>AL28/$BH$32</f>
        <v>1.0021920719654303E-2</v>
      </c>
      <c r="AM47" s="135">
        <f>AM28/$BH$32</f>
        <v>1.0200760451896961E-2</v>
      </c>
      <c r="AN47" s="56"/>
      <c r="AO47" s="57"/>
      <c r="AP47" s="136">
        <f t="shared" ref="AP47:AY47" si="82">AP28/BH32</f>
        <v>1.0200760451896961E-2</v>
      </c>
      <c r="AQ47" s="136">
        <f t="shared" si="82"/>
        <v>1.0567065078725452E-2</v>
      </c>
      <c r="AR47" s="136">
        <f t="shared" si="82"/>
        <v>1.0948290703973344E-2</v>
      </c>
      <c r="AS47" s="136">
        <f t="shared" si="82"/>
        <v>1.1345201956781591E-2</v>
      </c>
      <c r="AT47" s="136">
        <f t="shared" si="82"/>
        <v>1.1758614344885617E-2</v>
      </c>
      <c r="AU47" s="136">
        <f t="shared" si="82"/>
        <v>1.0647769549422462E-2</v>
      </c>
      <c r="AV47" s="136">
        <f t="shared" si="82"/>
        <v>1.1027454056260636E-2</v>
      </c>
      <c r="AW47" s="136">
        <f t="shared" si="82"/>
        <v>1.1422586142942396E-2</v>
      </c>
      <c r="AX47" s="136">
        <f t="shared" si="82"/>
        <v>1.1833958886015994E-2</v>
      </c>
      <c r="AY47" s="136">
        <f t="shared" si="82"/>
        <v>1.2262418290399309E-2</v>
      </c>
      <c r="AZ47" s="136">
        <f>IFERROR(AZ28/BR32,AY47)</f>
        <v>1.2262418290399309E-2</v>
      </c>
      <c r="BA47" s="395"/>
      <c r="BB47" s="136"/>
      <c r="BC47" s="136"/>
      <c r="BD47" s="304"/>
      <c r="BE47" s="103" t="s">
        <v>193</v>
      </c>
      <c r="BF47" s="291"/>
      <c r="BG47" s="108" t="e">
        <f>IRR(BG43:BV43)</f>
        <v>#NUM!</v>
      </c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65"/>
      <c r="BZ47" s="582" t="s">
        <v>305</v>
      </c>
      <c r="CA47" s="583">
        <f>D122</f>
        <v>0.08</v>
      </c>
      <c r="CB47" s="569"/>
      <c r="CC47" s="569"/>
      <c r="CD47" s="584" t="str">
        <f t="shared" ref="CD47:CN47" si="83">CD36</f>
        <v>Year 0</v>
      </c>
      <c r="CE47" s="584" t="str">
        <f t="shared" si="83"/>
        <v>Year 1</v>
      </c>
      <c r="CF47" s="584" t="str">
        <f t="shared" si="83"/>
        <v>Year 2</v>
      </c>
      <c r="CG47" s="584" t="str">
        <f t="shared" si="83"/>
        <v>Year 3</v>
      </c>
      <c r="CH47" s="584" t="str">
        <f t="shared" si="83"/>
        <v>Year 4</v>
      </c>
      <c r="CI47" s="584" t="str">
        <f t="shared" si="83"/>
        <v>Year 5</v>
      </c>
      <c r="CJ47" s="584" t="str">
        <f t="shared" si="83"/>
        <v>Year 6</v>
      </c>
      <c r="CK47" s="584" t="str">
        <f t="shared" si="83"/>
        <v>Year 7</v>
      </c>
      <c r="CL47" s="584" t="str">
        <f t="shared" si="83"/>
        <v>Year 8</v>
      </c>
      <c r="CM47" s="584" t="str">
        <f t="shared" si="83"/>
        <v>Year 9</v>
      </c>
      <c r="CN47" s="584" t="str">
        <f t="shared" si="83"/>
        <v>Year 10</v>
      </c>
      <c r="CO47" s="520" t="s">
        <v>1</v>
      </c>
      <c r="CP47" s="585" t="str">
        <f>CP$20</f>
        <v> </v>
      </c>
      <c r="CQ47" s="585" t="str">
        <f>CQ$20</f>
        <v> </v>
      </c>
      <c r="CR47" s="585" t="str">
        <f>CR$20</f>
        <v> </v>
      </c>
      <c r="CS47" s="585" t="str">
        <f>CS$20</f>
        <v> </v>
      </c>
      <c r="CT47" s="449"/>
    </row>
    <row r="48" spans="2:98">
      <c r="B48" s="110" t="s">
        <v>218</v>
      </c>
      <c r="C48" s="125">
        <v>62740.81911656</v>
      </c>
      <c r="D48" s="125">
        <v>63860.42</v>
      </c>
      <c r="E48" s="125">
        <v>65000</v>
      </c>
      <c r="Z48" s="452" t="s">
        <v>289</v>
      </c>
      <c r="AA48" s="452"/>
      <c r="AB48" s="454">
        <f>F135</f>
        <v>5783433</v>
      </c>
      <c r="AG48" s="58"/>
      <c r="AH48" s="103"/>
      <c r="AI48" s="61"/>
      <c r="AJ48" s="405"/>
      <c r="AK48" s="137"/>
      <c r="AL48" s="137"/>
      <c r="AM48" s="137"/>
      <c r="AN48" s="138"/>
      <c r="AO48" s="56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388"/>
      <c r="BB48" s="73"/>
      <c r="BC48" s="73"/>
      <c r="BD48" s="295"/>
      <c r="BE48" s="103" t="s">
        <v>199</v>
      </c>
      <c r="BF48" s="292"/>
      <c r="BG48" s="139" t="e">
        <f>SUMIF(BG43:BV43,"&gt;0")/-SUMIF(BG43:BV43,"&lt;0")</f>
        <v>#DIV/0!</v>
      </c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65"/>
      <c r="BZ48" s="452" t="s">
        <v>306</v>
      </c>
      <c r="CA48" s="449"/>
      <c r="CB48" s="449"/>
      <c r="CC48" s="449"/>
      <c r="CD48" s="586"/>
      <c r="CE48" s="586">
        <f>CD53</f>
        <v>0</v>
      </c>
      <c r="CF48" s="586">
        <f t="shared" ref="CF48:CO48" si="84">CE53</f>
        <v>0</v>
      </c>
      <c r="CG48" s="586">
        <f t="shared" si="84"/>
        <v>0</v>
      </c>
      <c r="CH48" s="586">
        <f t="shared" si="84"/>
        <v>0</v>
      </c>
      <c r="CI48" s="586">
        <f t="shared" si="84"/>
        <v>0</v>
      </c>
      <c r="CJ48" s="586">
        <f t="shared" si="84"/>
        <v>0</v>
      </c>
      <c r="CK48" s="586">
        <f t="shared" si="84"/>
        <v>0</v>
      </c>
      <c r="CL48" s="586">
        <f t="shared" si="84"/>
        <v>0</v>
      </c>
      <c r="CM48" s="586">
        <f t="shared" si="84"/>
        <v>0</v>
      </c>
      <c r="CN48" s="586">
        <f t="shared" si="84"/>
        <v>0</v>
      </c>
      <c r="CO48" s="586">
        <f t="shared" si="84"/>
        <v>0</v>
      </c>
      <c r="CP48" s="449"/>
      <c r="CQ48" s="449"/>
      <c r="CR48" s="449"/>
      <c r="CS48" s="449"/>
      <c r="CT48" s="449"/>
    </row>
    <row r="49" spans="2:98">
      <c r="B49" s="110" t="s">
        <v>223</v>
      </c>
      <c r="C49" s="125">
        <v>72393.252826800002</v>
      </c>
      <c r="D49" s="125">
        <v>73685.100000000006</v>
      </c>
      <c r="E49" s="125">
        <v>75000</v>
      </c>
      <c r="Z49" s="452" t="s">
        <v>27</v>
      </c>
      <c r="AA49" s="452"/>
      <c r="AB49" s="455" t="str">
        <f>F136</f>
        <v>1.56x</v>
      </c>
      <c r="AG49" s="58"/>
      <c r="AH49" s="265"/>
      <c r="AI49" s="61"/>
      <c r="AJ49" s="403"/>
      <c r="AK49" s="85"/>
      <c r="AL49" s="85"/>
      <c r="AM49" s="85"/>
      <c r="AN49" s="140"/>
      <c r="AO49" s="141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386"/>
      <c r="BB49" s="65"/>
      <c r="BC49" s="65"/>
      <c r="BD49" s="294"/>
      <c r="BE49" s="103"/>
      <c r="BF49" s="292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9"/>
      <c r="BT49" s="119"/>
      <c r="BU49" s="119"/>
      <c r="BV49" s="119"/>
      <c r="BW49" s="165"/>
      <c r="BZ49" s="452" t="s">
        <v>307</v>
      </c>
      <c r="CA49" s="449"/>
      <c r="CB49" s="449"/>
      <c r="CC49" s="449"/>
      <c r="CD49" s="449" t="e">
        <f>ROUND(SUM(CE51:CO51),0)=ROUND(SUM(CE49:CO49),0)</f>
        <v>#VALUE!</v>
      </c>
      <c r="CE49" s="449" t="e">
        <f>CE50 - CE55</f>
        <v>#VALUE!</v>
      </c>
      <c r="CF49" s="449">
        <f>CF50 - CF55</f>
        <v>0</v>
      </c>
      <c r="CG49" s="449">
        <f t="shared" ref="CG49:CO49" si="85">CG50 - CG55</f>
        <v>0</v>
      </c>
      <c r="CH49" s="449">
        <f t="shared" si="85"/>
        <v>0</v>
      </c>
      <c r="CI49" s="449">
        <f t="shared" si="85"/>
        <v>0</v>
      </c>
      <c r="CJ49" s="449">
        <f t="shared" si="85"/>
        <v>0</v>
      </c>
      <c r="CK49" s="449">
        <f t="shared" si="85"/>
        <v>0</v>
      </c>
      <c r="CL49" s="449">
        <f t="shared" si="85"/>
        <v>0</v>
      </c>
      <c r="CM49" s="449">
        <f t="shared" si="85"/>
        <v>0</v>
      </c>
      <c r="CN49" s="449">
        <f t="shared" si="85"/>
        <v>0</v>
      </c>
      <c r="CO49" s="449">
        <f t="shared" si="85"/>
        <v>0</v>
      </c>
      <c r="CP49" s="449"/>
      <c r="CQ49" s="449"/>
      <c r="CR49" s="449"/>
      <c r="CS49" s="449"/>
      <c r="CT49" s="449"/>
    </row>
    <row r="50" spans="2:98">
      <c r="B50" s="110" t="s">
        <v>225</v>
      </c>
      <c r="C50" s="125">
        <v>91698.120247280007</v>
      </c>
      <c r="D50" s="125">
        <v>93334.46</v>
      </c>
      <c r="E50" s="125">
        <v>95000</v>
      </c>
      <c r="Z50" s="253"/>
      <c r="AA50" s="253"/>
      <c r="AB50" s="253"/>
      <c r="AG50" s="58"/>
      <c r="AH50" s="143"/>
      <c r="AI50" s="61"/>
      <c r="AJ50" s="413"/>
      <c r="AK50" s="603"/>
      <c r="AL50" s="603"/>
      <c r="AM50" s="85"/>
      <c r="AN50" s="140"/>
      <c r="AO50" s="141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396"/>
      <c r="BB50" s="145"/>
      <c r="BC50" s="145"/>
      <c r="BD50" s="305"/>
      <c r="BE50" s="106" t="s">
        <v>308</v>
      </c>
      <c r="BF50" s="292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9"/>
      <c r="BT50" s="119"/>
      <c r="BU50" s="119"/>
      <c r="BV50" s="119"/>
      <c r="BW50" s="165"/>
      <c r="BZ50" s="452" t="s">
        <v>309</v>
      </c>
      <c r="CA50" s="449"/>
      <c r="CB50" s="449"/>
      <c r="CC50" s="449"/>
      <c r="CD50" s="449"/>
      <c r="CE50" s="587" t="e">
        <f>($CA$47="Equity Multiple")*(CD51*$C$110 - CD51) + ($CA$47&lt;&gt;"Equity Multiple")*(G111*$C$110)</f>
        <v>#VALUE!</v>
      </c>
      <c r="CF50" s="449"/>
      <c r="CG50" s="449"/>
      <c r="CH50" s="449"/>
      <c r="CI50" s="449"/>
      <c r="CJ50" s="449"/>
      <c r="CK50" s="449"/>
      <c r="CL50" s="449"/>
      <c r="CM50" s="449"/>
      <c r="CN50" s="449"/>
      <c r="CO50" s="449"/>
      <c r="CP50" s="449"/>
      <c r="CQ50" s="449"/>
      <c r="CR50" s="449"/>
      <c r="CS50" s="449"/>
      <c r="CT50" s="449"/>
    </row>
    <row r="51" spans="2:98">
      <c r="B51" s="110" t="s">
        <v>231</v>
      </c>
      <c r="C51" s="125">
        <v>82045.686537040005</v>
      </c>
      <c r="D51" s="125">
        <v>83509.78</v>
      </c>
      <c r="E51" s="125">
        <v>85000</v>
      </c>
      <c r="Z51" s="260"/>
      <c r="AA51" s="266"/>
      <c r="AB51" s="266"/>
      <c r="AC51" s="198"/>
      <c r="AG51" s="58"/>
      <c r="AH51" s="143"/>
      <c r="AI51" s="61"/>
      <c r="AJ51" s="413"/>
      <c r="AK51" s="85"/>
      <c r="AL51" s="85"/>
      <c r="AM51" s="85"/>
      <c r="AN51" s="140"/>
      <c r="AO51" s="141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396"/>
      <c r="BB51" s="145"/>
      <c r="BC51" s="145"/>
      <c r="BD51" s="305"/>
      <c r="BE51" s="92" t="s">
        <v>163</v>
      </c>
      <c r="BF51" s="292"/>
      <c r="BG51" s="74">
        <f t="shared" ref="BG51:BQ51" si="86">BG14-BG18</f>
        <v>-15771195.297</v>
      </c>
      <c r="BH51" s="74">
        <f t="shared" si="86"/>
        <v>0</v>
      </c>
      <c r="BI51" s="74">
        <f t="shared" si="86"/>
        <v>0</v>
      </c>
      <c r="BJ51" s="74">
        <f t="shared" si="86"/>
        <v>0</v>
      </c>
      <c r="BK51" s="74">
        <f t="shared" si="86"/>
        <v>0</v>
      </c>
      <c r="BL51" s="74">
        <f t="shared" si="86"/>
        <v>0</v>
      </c>
      <c r="BM51" s="74">
        <f t="shared" si="86"/>
        <v>0</v>
      </c>
      <c r="BN51" s="74">
        <f t="shared" si="86"/>
        <v>0</v>
      </c>
      <c r="BO51" s="74">
        <f t="shared" si="86"/>
        <v>0</v>
      </c>
      <c r="BP51" s="74">
        <f t="shared" si="86"/>
        <v>0</v>
      </c>
      <c r="BQ51" s="74">
        <f t="shared" si="86"/>
        <v>0</v>
      </c>
      <c r="BR51" s="74"/>
      <c r="BS51" s="74" t="str">
        <f t="shared" ref="BS51:BV51" si="87">IF(BS8&gt;_xlfn.SINGLE(Analysis_Period),"",BS14-BS18)</f>
        <v/>
      </c>
      <c r="BT51" s="74" t="str">
        <f t="shared" si="87"/>
        <v/>
      </c>
      <c r="BU51" s="74" t="str">
        <f t="shared" si="87"/>
        <v/>
      </c>
      <c r="BV51" s="74" t="str">
        <f t="shared" si="87"/>
        <v/>
      </c>
      <c r="BW51" s="165"/>
      <c r="BZ51" s="452" t="s">
        <v>311</v>
      </c>
      <c r="CA51" s="449"/>
      <c r="CB51" s="449"/>
      <c r="CC51" s="449"/>
      <c r="CD51" s="587">
        <f>(CD47&lt;&gt;"") * -MIN(0, CD42 * $C$116)</f>
        <v>0</v>
      </c>
      <c r="CE51" s="449"/>
      <c r="CF51" s="449"/>
      <c r="CG51" s="449"/>
      <c r="CH51" s="449"/>
      <c r="CI51" s="449"/>
      <c r="CJ51" s="449"/>
      <c r="CK51" s="449"/>
      <c r="CL51" s="449"/>
      <c r="CM51" s="449"/>
      <c r="CN51" s="449"/>
      <c r="CO51" s="449"/>
      <c r="CP51" s="449"/>
      <c r="CQ51" s="449"/>
      <c r="CR51" s="449"/>
      <c r="CS51" s="449"/>
      <c r="CT51" s="449"/>
    </row>
    <row r="52" spans="2:98">
      <c r="B52" s="110" t="s">
        <v>236</v>
      </c>
      <c r="C52" s="146">
        <v>63313.344471731994</v>
      </c>
      <c r="D52" s="146">
        <v>65255.25299999999</v>
      </c>
      <c r="E52" s="124">
        <v>68445</v>
      </c>
      <c r="Z52" s="260" t="s">
        <v>312</v>
      </c>
      <c r="AA52" s="260"/>
      <c r="AB52" s="147" t="str">
        <f>"/"&amp;D9</f>
        <v>/SF</v>
      </c>
      <c r="AC52" s="198"/>
      <c r="AG52" s="58"/>
      <c r="AH52" s="143"/>
      <c r="AI52" s="61"/>
      <c r="AJ52" s="413"/>
      <c r="AK52" s="85"/>
      <c r="AL52" s="85"/>
      <c r="AM52" s="85"/>
      <c r="AN52" s="140"/>
      <c r="AO52" s="141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396"/>
      <c r="BB52" s="145"/>
      <c r="BC52" s="145"/>
      <c r="BD52" s="305"/>
      <c r="BE52" s="92" t="s">
        <v>216</v>
      </c>
      <c r="BF52" s="292"/>
      <c r="BG52" s="74">
        <f>BG28</f>
        <v>0</v>
      </c>
      <c r="BH52" s="74">
        <f>BH28</f>
        <v>709629.5651377727</v>
      </c>
      <c r="BI52" s="74">
        <f t="shared" ref="BI52:BV52" si="88">BI28</f>
        <v>696729.46513777284</v>
      </c>
      <c r="BJ52" s="74">
        <f t="shared" si="88"/>
        <v>433571.36313777289</v>
      </c>
      <c r="BK52" s="74">
        <f>BK28</f>
        <v>-829849.90090222715</v>
      </c>
      <c r="BL52" s="74">
        <f t="shared" si="88"/>
        <v>656460.40977697272</v>
      </c>
      <c r="BM52" s="74">
        <f t="shared" si="88"/>
        <v>863802.46158975654</v>
      </c>
      <c r="BN52" s="74">
        <f t="shared" si="88"/>
        <v>849559.70882039622</v>
      </c>
      <c r="BO52" s="74">
        <f t="shared" si="88"/>
        <v>835032.10099564854</v>
      </c>
      <c r="BP52" s="74">
        <f t="shared" si="88"/>
        <v>820213.94101440615</v>
      </c>
      <c r="BQ52" s="74">
        <f t="shared" si="88"/>
        <v>805099.41783353861</v>
      </c>
      <c r="BR52" s="74"/>
      <c r="BS52" s="74" t="str">
        <f t="shared" si="88"/>
        <v/>
      </c>
      <c r="BT52" s="74">
        <f t="shared" si="88"/>
        <v>0</v>
      </c>
      <c r="BU52" s="74" t="str">
        <f t="shared" si="88"/>
        <v/>
      </c>
      <c r="BV52" s="74" t="str">
        <f t="shared" si="88"/>
        <v/>
      </c>
      <c r="BW52" s="165"/>
      <c r="BZ52" s="452" t="s">
        <v>313</v>
      </c>
      <c r="CA52" s="449"/>
      <c r="CB52" s="449"/>
      <c r="CC52" s="449"/>
      <c r="CD52" s="449"/>
      <c r="CE52" s="449"/>
      <c r="CF52" s="449"/>
      <c r="CG52" s="449"/>
      <c r="CH52" s="449"/>
      <c r="CI52" s="449"/>
      <c r="CJ52" s="449"/>
      <c r="CK52" s="449"/>
      <c r="CL52" s="449"/>
      <c r="CM52" s="449"/>
      <c r="CN52" s="449"/>
      <c r="CO52" s="449"/>
      <c r="CP52" s="449"/>
      <c r="CQ52" s="449"/>
      <c r="CR52" s="449"/>
      <c r="CS52" s="449"/>
      <c r="CT52" s="449"/>
    </row>
    <row r="53" spans="2:98">
      <c r="B53" s="110" t="s">
        <v>239</v>
      </c>
      <c r="C53" s="125">
        <v>33783.517985840001</v>
      </c>
      <c r="D53" s="125">
        <v>34386.379999999997</v>
      </c>
      <c r="E53" s="125">
        <v>35000</v>
      </c>
      <c r="Z53" s="67" t="s">
        <v>161</v>
      </c>
      <c r="AA53" s="260"/>
      <c r="AB53" s="69">
        <f>E38/$D$16</f>
        <v>0</v>
      </c>
      <c r="AC53" s="198"/>
      <c r="AG53" s="58"/>
      <c r="AH53" s="143"/>
      <c r="AI53" s="61"/>
      <c r="AJ53" s="413"/>
      <c r="AK53" s="85"/>
      <c r="AL53" s="85"/>
      <c r="AM53" s="85"/>
      <c r="AN53" s="140"/>
      <c r="AO53" s="141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396"/>
      <c r="BB53" s="145"/>
      <c r="BC53" s="145"/>
      <c r="BD53" s="305"/>
      <c r="BE53" s="92" t="s">
        <v>292</v>
      </c>
      <c r="BF53" s="292"/>
      <c r="BG53" s="148">
        <f t="shared" ref="BG53:BQ53" si="89">((BG8=$D$10)*(BG34-BG37))*(BG8&lt;=$D$10)</f>
        <v>0</v>
      </c>
      <c r="BH53" s="148">
        <f t="shared" si="89"/>
        <v>0</v>
      </c>
      <c r="BI53" s="148">
        <f t="shared" si="89"/>
        <v>0</v>
      </c>
      <c r="BJ53" s="148">
        <f t="shared" si="89"/>
        <v>0</v>
      </c>
      <c r="BK53" s="148">
        <f t="shared" si="89"/>
        <v>0</v>
      </c>
      <c r="BL53" s="148">
        <f t="shared" si="89"/>
        <v>0</v>
      </c>
      <c r="BM53" s="148">
        <f t="shared" si="89"/>
        <v>0</v>
      </c>
      <c r="BN53" s="148">
        <f t="shared" si="89"/>
        <v>0</v>
      </c>
      <c r="BO53" s="148">
        <f t="shared" si="89"/>
        <v>0</v>
      </c>
      <c r="BP53" s="148">
        <f t="shared" si="89"/>
        <v>0</v>
      </c>
      <c r="BQ53" s="148">
        <f t="shared" si="89"/>
        <v>11543634.641987301</v>
      </c>
      <c r="BR53" s="84"/>
      <c r="BS53" s="84" t="str">
        <f t="shared" ref="BS53:BV53" si="90">IF(BS8&gt;_xlfn.SINGLE(Analysis_Period),"",(BS8=_xlfn.SINGLE(Analysis_Period))*(BS34-BS37))</f>
        <v/>
      </c>
      <c r="BT53" s="84" t="str">
        <f t="shared" si="90"/>
        <v/>
      </c>
      <c r="BU53" s="84" t="str">
        <f t="shared" si="90"/>
        <v/>
      </c>
      <c r="BV53" s="84" t="str">
        <f t="shared" si="90"/>
        <v/>
      </c>
      <c r="BW53" s="165"/>
      <c r="BZ53" s="452" t="s">
        <v>314</v>
      </c>
      <c r="CA53" s="449"/>
      <c r="CB53" s="449"/>
      <c r="CC53" s="449"/>
      <c r="CD53" s="449"/>
      <c r="CE53" s="449"/>
      <c r="CF53" s="449"/>
      <c r="CG53" s="449"/>
      <c r="CH53" s="449"/>
      <c r="CI53" s="449"/>
      <c r="CJ53" s="449"/>
      <c r="CK53" s="449"/>
      <c r="CL53" s="449"/>
      <c r="CM53" s="449"/>
      <c r="CN53" s="449"/>
      <c r="CO53" s="449"/>
      <c r="CP53" s="449"/>
      <c r="CQ53" s="449"/>
      <c r="CR53" s="449"/>
      <c r="CS53" s="449"/>
      <c r="CT53" s="449"/>
    </row>
    <row r="54" spans="2:98">
      <c r="B54" s="110" t="s">
        <v>244</v>
      </c>
      <c r="C54" s="149">
        <v>241315.668972855</v>
      </c>
      <c r="D54" s="149">
        <v>245621.91234000001</v>
      </c>
      <c r="E54" s="149">
        <v>250005</v>
      </c>
      <c r="Z54" s="67" t="s">
        <v>167</v>
      </c>
      <c r="AA54" s="260"/>
      <c r="AB54" s="69">
        <f>E39/$D$16</f>
        <v>13.7</v>
      </c>
      <c r="AC54" s="198"/>
      <c r="AG54" s="58"/>
      <c r="AH54" s="243"/>
      <c r="AI54" s="61"/>
      <c r="AJ54" s="413"/>
      <c r="AK54" s="85"/>
      <c r="AL54" s="85"/>
      <c r="AM54" s="85"/>
      <c r="AN54" s="140"/>
      <c r="AO54" s="141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396"/>
      <c r="BB54" s="145"/>
      <c r="BC54" s="145"/>
      <c r="BD54" s="305"/>
      <c r="BE54" s="103" t="s">
        <v>295</v>
      </c>
      <c r="BF54" s="292"/>
      <c r="BG54" s="74">
        <f>-BG51-BG52-BG53</f>
        <v>15771195.297</v>
      </c>
      <c r="BH54" s="74">
        <f t="shared" ref="BH54:BQ54" si="91">SUM(BH51:BH53)</f>
        <v>709629.5651377727</v>
      </c>
      <c r="BI54" s="74">
        <f t="shared" si="91"/>
        <v>696729.46513777284</v>
      </c>
      <c r="BJ54" s="74">
        <f t="shared" si="91"/>
        <v>433571.36313777289</v>
      </c>
      <c r="BK54" s="74">
        <f t="shared" si="91"/>
        <v>-829849.90090222715</v>
      </c>
      <c r="BL54" s="74">
        <f t="shared" si="91"/>
        <v>656460.40977697272</v>
      </c>
      <c r="BM54" s="74">
        <f t="shared" si="91"/>
        <v>863802.46158975654</v>
      </c>
      <c r="BN54" s="74">
        <f t="shared" si="91"/>
        <v>849559.70882039622</v>
      </c>
      <c r="BO54" s="74">
        <f t="shared" si="91"/>
        <v>835032.10099564854</v>
      </c>
      <c r="BP54" s="74">
        <f t="shared" si="91"/>
        <v>820213.94101440615</v>
      </c>
      <c r="BQ54" s="74">
        <f t="shared" si="91"/>
        <v>12348734.05982084</v>
      </c>
      <c r="BR54" s="74"/>
      <c r="BS54" s="74" t="str">
        <f t="shared" ref="BS54:BV54" si="92">IF(BS8&gt;_xlfn.SINGLE(Analysis_Period),"",-BS51+BS52+BS53)</f>
        <v/>
      </c>
      <c r="BT54" s="74" t="str">
        <f t="shared" si="92"/>
        <v/>
      </c>
      <c r="BU54" s="74" t="str">
        <f t="shared" si="92"/>
        <v/>
      </c>
      <c r="BV54" s="74" t="str">
        <f t="shared" si="92"/>
        <v/>
      </c>
      <c r="BW54" s="165"/>
      <c r="BZ54" s="588" t="str">
        <f>IF(CB13="Equity Multiple", "LP EMx Check","LP IRR Check")</f>
        <v>LP IRR Check</v>
      </c>
      <c r="CA54" s="449"/>
      <c r="CB54" s="449"/>
      <c r="CC54" s="449"/>
      <c r="CD54" s="449"/>
      <c r="CE54" s="449"/>
      <c r="CF54" s="449"/>
      <c r="CG54" s="449"/>
      <c r="CH54" s="449"/>
      <c r="CI54" s="449"/>
      <c r="CJ54" s="449"/>
      <c r="CK54" s="449"/>
      <c r="CL54" s="449"/>
      <c r="CM54" s="449"/>
      <c r="CN54" s="449"/>
      <c r="CO54" s="449"/>
      <c r="CP54" s="449"/>
      <c r="CQ54" s="449"/>
      <c r="CR54" s="449"/>
      <c r="CS54" s="449"/>
      <c r="CT54" s="449"/>
    </row>
    <row r="55" spans="2:98">
      <c r="B55" s="150" t="s">
        <v>224</v>
      </c>
      <c r="C55" s="124"/>
      <c r="D55" s="124"/>
      <c r="E55" s="125"/>
      <c r="Z55" s="67" t="s">
        <v>173</v>
      </c>
      <c r="AA55" s="260"/>
      <c r="AB55" s="69">
        <f>E40/$D$16</f>
        <v>2</v>
      </c>
      <c r="AC55" s="198"/>
      <c r="AG55" s="165"/>
      <c r="AH55" s="165"/>
      <c r="AI55" s="165"/>
      <c r="AJ55" s="409"/>
      <c r="AK55" s="244"/>
      <c r="AL55" s="244"/>
      <c r="AM55" s="165"/>
      <c r="AN55" s="165"/>
      <c r="AO55" s="244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397"/>
      <c r="BB55" s="245"/>
      <c r="BC55" s="245"/>
      <c r="BD55" s="165"/>
      <c r="BE55" s="103"/>
      <c r="BF55" s="292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165"/>
      <c r="BZ55" s="452" t="s">
        <v>315</v>
      </c>
      <c r="CA55" s="449"/>
      <c r="CB55" s="449"/>
      <c r="CC55" s="449"/>
      <c r="CD55" s="449"/>
      <c r="CE55" s="449"/>
      <c r="CF55" s="449"/>
      <c r="CG55" s="449"/>
      <c r="CH55" s="449"/>
      <c r="CI55" s="449"/>
      <c r="CJ55" s="449"/>
      <c r="CK55" s="449"/>
      <c r="CL55" s="449"/>
      <c r="CM55" s="449"/>
      <c r="CN55" s="449"/>
      <c r="CO55" s="449"/>
      <c r="CP55" s="449"/>
      <c r="CQ55" s="449"/>
      <c r="CR55" s="449"/>
      <c r="CS55" s="449"/>
      <c r="CT55" s="449"/>
    </row>
    <row r="56" spans="2:98">
      <c r="B56" s="165"/>
      <c r="C56" s="227"/>
      <c r="D56" s="227"/>
      <c r="E56" s="246"/>
      <c r="Z56" s="106" t="s">
        <v>180</v>
      </c>
      <c r="AA56" s="260"/>
      <c r="AB56" s="153">
        <f>E41/$D$16</f>
        <v>0</v>
      </c>
      <c r="AC56" s="198"/>
      <c r="AG56" s="165"/>
      <c r="AH56" s="165"/>
      <c r="AI56" s="165"/>
      <c r="AJ56" s="414"/>
      <c r="AK56" s="247"/>
      <c r="AL56" s="247"/>
      <c r="AM56" s="165"/>
      <c r="AN56" s="165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398"/>
      <c r="BB56" s="247"/>
      <c r="BC56" s="247"/>
      <c r="BD56" s="165"/>
      <c r="BE56" s="103" t="s">
        <v>316</v>
      </c>
      <c r="BF56" s="292"/>
      <c r="BG56" s="108"/>
      <c r="BH56" s="108">
        <f>(BH8 &lt;= D10) * (BH28 / (SUM($BG$14:BH14) - SUM($BG$18:BH18)))</f>
        <v>-4.4995293747504259E-2</v>
      </c>
      <c r="BI56" s="108">
        <f t="shared" ref="BI56:BQ56" si="93">(BI28-BI27)/($BG$14-$BG$18)</f>
        <v>-4.4177340526009773E-2</v>
      </c>
      <c r="BJ56" s="108">
        <f t="shared" si="93"/>
        <v>-2.7491344503244274E-2</v>
      </c>
      <c r="BK56" s="108">
        <f t="shared" si="93"/>
        <v>5.2618072712604186E-2</v>
      </c>
      <c r="BL56" s="108">
        <f t="shared" si="93"/>
        <v>-4.1624011206166774E-2</v>
      </c>
      <c r="BM56" s="108">
        <f t="shared" si="93"/>
        <v>-5.4770893728902668E-2</v>
      </c>
      <c r="BN56" s="108">
        <f t="shared" si="93"/>
        <v>-5.3867807279134997E-2</v>
      </c>
      <c r="BO56" s="108">
        <f t="shared" si="93"/>
        <v>-5.2946659100371961E-2</v>
      </c>
      <c r="BP56" s="108">
        <f t="shared" si="93"/>
        <v>-5.2007087958033681E-2</v>
      </c>
      <c r="BQ56" s="108">
        <f t="shared" si="93"/>
        <v>-5.1048725392848618E-2</v>
      </c>
      <c r="BR56" s="108"/>
      <c r="BS56" s="108" t="str">
        <f>IF(BS8&gt;_xlfn.SINGLE(Analysis_Period),"",BS28/(SUM($AX$13:BS14)-SUM($AX$17:BS18)))</f>
        <v/>
      </c>
      <c r="BT56" s="108" t="str">
        <f>IF(BT8&gt;_xlfn.SINGLE(Analysis_Period),"",BT28/(SUM($AX$13:BT14)-SUM($AX$17:BT18)))</f>
        <v/>
      </c>
      <c r="BU56" s="108" t="str">
        <f>IF(BU8&gt;_xlfn.SINGLE(Analysis_Period),"",BU28/(SUM($AX$13:BU14)-SUM($AX$17:BU18)))</f>
        <v/>
      </c>
      <c r="BV56" s="108" t="str">
        <f>IF(BV8&gt;_xlfn.SINGLE(Analysis_Period),"",BV28/(SUM($AX$13:BV14)-SUM($AX$17:BV18)))</f>
        <v/>
      </c>
      <c r="BW56" s="165"/>
      <c r="BZ56" s="452"/>
      <c r="CA56" s="449"/>
      <c r="CB56" s="449"/>
      <c r="CC56" s="449"/>
      <c r="CD56" s="449"/>
      <c r="CE56" s="449"/>
      <c r="CF56" s="449"/>
      <c r="CG56" s="449"/>
      <c r="CH56" s="449"/>
      <c r="CI56" s="449"/>
      <c r="CJ56" s="449"/>
      <c r="CK56" s="449"/>
      <c r="CL56" s="449"/>
      <c r="CM56" s="449"/>
      <c r="CN56" s="449"/>
      <c r="CO56" s="449"/>
      <c r="CP56" s="449"/>
      <c r="CQ56" s="449"/>
      <c r="CR56" s="449"/>
      <c r="CS56" s="449"/>
      <c r="CT56" s="449"/>
    </row>
    <row r="57" spans="2:98">
      <c r="B57" s="165"/>
      <c r="C57" s="227"/>
      <c r="D57" s="227"/>
      <c r="Z57" s="103"/>
      <c r="AA57" s="260"/>
      <c r="AB57" s="69"/>
      <c r="AC57" s="198"/>
      <c r="AG57" s="165"/>
      <c r="AH57" s="165"/>
      <c r="AI57" s="165"/>
      <c r="AJ57" s="400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381"/>
      <c r="BB57" s="165"/>
      <c r="BC57" s="165"/>
      <c r="BD57" s="165"/>
      <c r="BE57" s="92" t="s">
        <v>221</v>
      </c>
      <c r="BF57" s="292"/>
      <c r="BG57" s="108"/>
      <c r="BH57" s="108">
        <f>AVERAGE(BH56)</f>
        <v>-4.4995293747504259E-2</v>
      </c>
      <c r="BI57" s="108">
        <f>AVERAGE(BH56:BI56)</f>
        <v>-4.4586317136757016E-2</v>
      </c>
      <c r="BJ57" s="108">
        <f>AVERAGE(BH56:BJ56)</f>
        <v>-3.8887992925586097E-2</v>
      </c>
      <c r="BK57" s="108">
        <f>AVERAGE(BH56:BK56)</f>
        <v>-1.6011476516038528E-2</v>
      </c>
      <c r="BL57" s="108">
        <f>AVERAGE(BH56:BL56)</f>
        <v>-2.1133983454064177E-2</v>
      </c>
      <c r="BM57" s="108">
        <f>AVERAGE(BH56:BM56)</f>
        <v>-2.6740135166537258E-2</v>
      </c>
      <c r="BN57" s="108">
        <f>AVERAGE(BH56:BN56)</f>
        <v>-3.0615516896908366E-2</v>
      </c>
      <c r="BO57" s="108">
        <f>AVERAGE(BH56:BO56)</f>
        <v>-3.3406909672341313E-2</v>
      </c>
      <c r="BP57" s="108">
        <f>AVERAGE(BH56:BP56)</f>
        <v>-3.5473596148529352E-2</v>
      </c>
      <c r="BQ57" s="108">
        <f>AVERAGE(BH56:BQ56)</f>
        <v>-3.7031109072961275E-2</v>
      </c>
      <c r="BR57" s="108" t="str">
        <f>IF(BR8&gt;_xlfn.SINGLE(Analysis_Period),"",AVERAGE($AX$55:BR56))</f>
        <v/>
      </c>
      <c r="BS57" s="108" t="str">
        <f>IF(BS8&gt;_xlfn.SINGLE(Analysis_Period),"",AVERAGE($AX$55:BS56))</f>
        <v/>
      </c>
      <c r="BT57" s="108" t="str">
        <f>IF(BT8&gt;_xlfn.SINGLE(Analysis_Period),"",AVERAGE($AX$55:BT56))</f>
        <v/>
      </c>
      <c r="BU57" s="108" t="str">
        <f>IF(BU8&gt;_xlfn.SINGLE(Analysis_Period),"",AVERAGE($AX$55:BU56))</f>
        <v/>
      </c>
      <c r="BV57" s="108" t="str">
        <f>IF(BV8&gt;_xlfn.SINGLE(Analysis_Period),"",AVERAGE($AX$55:BV56))</f>
        <v/>
      </c>
      <c r="BW57" s="165"/>
      <c r="BZ57" s="452" t="s">
        <v>317</v>
      </c>
      <c r="CA57" s="449"/>
      <c r="CB57" s="449"/>
      <c r="CC57" s="449"/>
      <c r="CD57" s="449"/>
      <c r="CE57" s="449"/>
      <c r="CF57" s="449"/>
      <c r="CG57" s="449"/>
      <c r="CH57" s="449"/>
      <c r="CI57" s="449"/>
      <c r="CJ57" s="449"/>
      <c r="CK57" s="449"/>
      <c r="CL57" s="449"/>
      <c r="CM57" s="449"/>
      <c r="CN57" s="449"/>
      <c r="CO57" s="449"/>
      <c r="CP57" s="449"/>
      <c r="CQ57" s="449"/>
      <c r="CR57" s="449"/>
      <c r="CS57" s="449"/>
      <c r="CT57" s="449"/>
    </row>
    <row r="58" spans="2:98">
      <c r="B58" s="231"/>
      <c r="C58" s="231" t="s">
        <v>46</v>
      </c>
      <c r="D58" s="231" t="s">
        <v>129</v>
      </c>
      <c r="E58" s="248" t="s">
        <v>130</v>
      </c>
      <c r="F58" s="598" t="s">
        <v>47</v>
      </c>
      <c r="G58" s="249">
        <v>2</v>
      </c>
      <c r="H58" s="249">
        <v>3</v>
      </c>
      <c r="I58" s="249">
        <v>4</v>
      </c>
      <c r="J58" s="249">
        <v>5</v>
      </c>
      <c r="K58" s="249">
        <v>6</v>
      </c>
      <c r="L58" s="249">
        <v>7</v>
      </c>
      <c r="M58" s="249">
        <v>8</v>
      </c>
      <c r="N58" s="249">
        <v>9</v>
      </c>
      <c r="O58" s="249">
        <v>10</v>
      </c>
      <c r="P58" s="249">
        <v>11</v>
      </c>
      <c r="Q58" s="249">
        <v>12</v>
      </c>
      <c r="R58" s="249">
        <v>13</v>
      </c>
      <c r="S58" s="249">
        <v>14</v>
      </c>
      <c r="T58" s="249">
        <v>15</v>
      </c>
      <c r="Z58" s="67" t="s">
        <v>190</v>
      </c>
      <c r="AA58" s="260"/>
      <c r="AB58" s="69">
        <f>E43/$D$16</f>
        <v>0</v>
      </c>
      <c r="AC58" s="198"/>
      <c r="AG58" s="165"/>
      <c r="AH58" s="165"/>
      <c r="AI58" s="165"/>
      <c r="AJ58" s="400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381"/>
      <c r="BB58" s="165"/>
      <c r="BC58" s="165"/>
      <c r="BD58" s="165"/>
      <c r="BE58" s="103" t="s">
        <v>81</v>
      </c>
      <c r="BF58" s="291"/>
      <c r="BG58" s="108" t="e">
        <f>IRR(BG54:BV54)</f>
        <v>#NUM!</v>
      </c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65"/>
      <c r="BZ58" s="452" t="s">
        <v>318</v>
      </c>
      <c r="CA58" s="449"/>
      <c r="CB58" s="449"/>
      <c r="CC58" s="449"/>
      <c r="CD58" s="449"/>
      <c r="CE58" s="449"/>
      <c r="CF58" s="449"/>
      <c r="CG58" s="449"/>
      <c r="CH58" s="449"/>
      <c r="CI58" s="449"/>
      <c r="CJ58" s="449"/>
      <c r="CK58" s="449"/>
      <c r="CL58" s="449"/>
      <c r="CM58" s="449"/>
      <c r="CN58" s="449"/>
      <c r="CO58" s="449"/>
      <c r="CP58" s="449"/>
      <c r="CQ58" s="449"/>
      <c r="CR58" s="449"/>
      <c r="CS58" s="449"/>
      <c r="CT58" s="449"/>
    </row>
    <row r="59" spans="2:98">
      <c r="B59" s="110" t="s">
        <v>263</v>
      </c>
      <c r="C59" s="124">
        <v>0</v>
      </c>
      <c r="D59" s="124">
        <v>0</v>
      </c>
      <c r="E59" s="124">
        <v>0</v>
      </c>
      <c r="F59" s="271"/>
      <c r="G59" s="124">
        <v>0</v>
      </c>
      <c r="H59" s="124">
        <v>0</v>
      </c>
      <c r="I59" s="124">
        <v>1250000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270"/>
      <c r="R59" s="270"/>
      <c r="S59" s="154"/>
      <c r="T59" s="154"/>
      <c r="Z59" s="67" t="s">
        <v>194</v>
      </c>
      <c r="AA59" s="260"/>
      <c r="AB59" s="69">
        <f>E44/$D$16</f>
        <v>0</v>
      </c>
      <c r="AC59" s="198"/>
      <c r="AG59" s="165"/>
      <c r="AI59" s="165"/>
      <c r="AJ59" s="400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381"/>
      <c r="BB59" s="165"/>
      <c r="BC59" s="165"/>
      <c r="BD59" s="165"/>
      <c r="BE59" s="103" t="s">
        <v>217</v>
      </c>
      <c r="BF59" s="292"/>
      <c r="BG59" s="139">
        <f>SUMIF(BG54:BV54,"&gt;0")/-SUMIF(BG54:BV54,"&lt;0")</f>
        <v>40.953102887018886</v>
      </c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65"/>
      <c r="BZ59" s="452" t="s">
        <v>319</v>
      </c>
      <c r="CA59" s="449"/>
      <c r="CB59" s="449"/>
      <c r="CC59" s="449"/>
      <c r="CD59" s="449"/>
      <c r="CE59" s="449"/>
      <c r="CF59" s="449"/>
      <c r="CG59" s="449"/>
      <c r="CH59" s="449"/>
      <c r="CI59" s="449"/>
      <c r="CJ59" s="449"/>
      <c r="CK59" s="449"/>
      <c r="CL59" s="449"/>
      <c r="CM59" s="449"/>
      <c r="CN59" s="449"/>
      <c r="CO59" s="449"/>
      <c r="CP59" s="449"/>
      <c r="CQ59" s="449"/>
      <c r="CR59" s="449"/>
      <c r="CS59" s="449"/>
      <c r="CT59" s="449"/>
    </row>
    <row r="60" spans="2:98">
      <c r="B60" s="110" t="s">
        <v>269</v>
      </c>
      <c r="C60" s="124">
        <v>0</v>
      </c>
      <c r="D60" s="124">
        <v>0</v>
      </c>
      <c r="E60" s="124">
        <v>0</v>
      </c>
      <c r="F60" s="272"/>
      <c r="G60" s="124">
        <v>0</v>
      </c>
      <c r="H60" s="124">
        <v>0</v>
      </c>
      <c r="I60" s="124">
        <v>250000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270"/>
      <c r="R60" s="270"/>
      <c r="S60" s="270"/>
      <c r="T60" s="270"/>
      <c r="Z60" s="67" t="s">
        <v>200</v>
      </c>
      <c r="AA60" s="260"/>
      <c r="AB60" s="69">
        <f>E45/$D$16</f>
        <v>0</v>
      </c>
      <c r="AC60" s="198"/>
      <c r="AD60" s="233"/>
      <c r="AG60" s="165"/>
      <c r="AH60" s="165"/>
      <c r="AI60" s="165"/>
      <c r="AJ60" s="400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381"/>
      <c r="BB60" s="165"/>
      <c r="BC60" s="165"/>
      <c r="BD60" s="165"/>
      <c r="BE60" s="103"/>
      <c r="BF60" s="292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9"/>
      <c r="BT60" s="119"/>
      <c r="BU60" s="119"/>
      <c r="BV60" s="119"/>
      <c r="BW60" s="165"/>
      <c r="BZ60" s="452" t="s">
        <v>321</v>
      </c>
      <c r="CA60" s="449"/>
      <c r="CB60" s="449"/>
      <c r="CC60" s="449"/>
      <c r="CD60" s="449"/>
      <c r="CE60" s="449"/>
      <c r="CF60" s="449"/>
      <c r="CG60" s="449"/>
      <c r="CH60" s="449"/>
      <c r="CI60" s="449"/>
      <c r="CJ60" s="449"/>
      <c r="CK60" s="449"/>
      <c r="CL60" s="449"/>
      <c r="CM60" s="449"/>
      <c r="CN60" s="449"/>
      <c r="CO60" s="449"/>
      <c r="CP60" s="449"/>
      <c r="CQ60" s="449"/>
      <c r="CR60" s="449"/>
      <c r="CS60" s="449"/>
      <c r="CT60" s="449"/>
    </row>
    <row r="61" spans="2:98" ht="16.5">
      <c r="B61" s="110" t="s">
        <v>272</v>
      </c>
      <c r="C61" s="124">
        <v>24131.084275599998</v>
      </c>
      <c r="D61" s="124">
        <v>24561.7</v>
      </c>
      <c r="E61" s="124">
        <v>25000</v>
      </c>
      <c r="F61" s="273"/>
      <c r="G61" s="126">
        <v>0</v>
      </c>
      <c r="H61" s="126">
        <v>0</v>
      </c>
      <c r="I61" s="126"/>
      <c r="J61" s="126"/>
      <c r="K61" s="126"/>
      <c r="L61" s="126"/>
      <c r="M61" s="126"/>
      <c r="N61" s="126"/>
      <c r="O61" s="126"/>
      <c r="P61" s="126"/>
      <c r="Q61" s="270"/>
      <c r="R61" s="270"/>
      <c r="S61" s="270"/>
      <c r="T61" s="270"/>
      <c r="Z61" s="89" t="s">
        <v>207</v>
      </c>
      <c r="AA61" s="260"/>
      <c r="AB61" s="153">
        <f>AB56+(SUM(AB58:AB60))</f>
        <v>0</v>
      </c>
      <c r="AC61" s="198"/>
      <c r="AG61" s="165"/>
      <c r="AH61" s="165"/>
      <c r="AI61" s="165"/>
      <c r="AJ61" s="400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381"/>
      <c r="BB61" s="165"/>
      <c r="BC61" s="165"/>
      <c r="BD61" s="165"/>
      <c r="BE61" s="103" t="s">
        <v>322</v>
      </c>
      <c r="BF61" s="292"/>
      <c r="BG61" s="139"/>
      <c r="BH61" s="139">
        <f t="shared" ref="BH61:BQ61" si="94">BH23/BH26</f>
        <v>1.8557919132169094</v>
      </c>
      <c r="BI61" s="139">
        <f t="shared" si="94"/>
        <v>1.8413466665147966</v>
      </c>
      <c r="BJ61" s="139">
        <f t="shared" si="94"/>
        <v>1.8266125148786416</v>
      </c>
      <c r="BK61" s="139">
        <f t="shared" si="94"/>
        <v>1.8115836802097633</v>
      </c>
      <c r="BL61" s="139">
        <f t="shared" si="94"/>
        <v>1.7962542688475074</v>
      </c>
      <c r="BM61" s="139">
        <f t="shared" si="94"/>
        <v>2.0384236940902616</v>
      </c>
      <c r="BN61" s="139">
        <f t="shared" si="94"/>
        <v>2.0224749745089707</v>
      </c>
      <c r="BO61" s="139">
        <f t="shared" si="94"/>
        <v>2.0062072805360538</v>
      </c>
      <c r="BP61" s="139">
        <f t="shared" si="94"/>
        <v>1.9896142326836788</v>
      </c>
      <c r="BQ61" s="139">
        <f t="shared" si="94"/>
        <v>1.972689323874256</v>
      </c>
      <c r="BR61" s="139" t="str">
        <f t="shared" ref="BR61:BV61" si="95">IFERROR(BR23/BR26,"")</f>
        <v/>
      </c>
      <c r="BS61" s="139" t="str">
        <f t="shared" si="95"/>
        <v/>
      </c>
      <c r="BT61" s="139" t="str">
        <f t="shared" si="95"/>
        <v/>
      </c>
      <c r="BU61" s="139" t="str">
        <f t="shared" si="95"/>
        <v/>
      </c>
      <c r="BV61" s="139" t="str">
        <f t="shared" si="95"/>
        <v/>
      </c>
      <c r="BW61" s="165"/>
      <c r="BZ61" s="452" t="s">
        <v>323</v>
      </c>
      <c r="CA61" s="449"/>
      <c r="CB61" s="449"/>
      <c r="CC61" s="449"/>
      <c r="CD61" s="449"/>
      <c r="CE61" s="449"/>
      <c r="CF61" s="449"/>
      <c r="CG61" s="449"/>
      <c r="CH61" s="449"/>
      <c r="CI61" s="449"/>
      <c r="CJ61" s="449"/>
      <c r="CK61" s="449"/>
      <c r="CL61" s="449"/>
      <c r="CM61" s="449"/>
      <c r="CN61" s="449"/>
      <c r="CO61" s="449"/>
      <c r="CP61" s="449"/>
      <c r="CQ61" s="449"/>
      <c r="CR61" s="449"/>
      <c r="CS61" s="449"/>
      <c r="CT61" s="449"/>
    </row>
    <row r="62" spans="2:98">
      <c r="B62" s="110" t="s">
        <v>276</v>
      </c>
      <c r="C62" s="126">
        <v>0</v>
      </c>
      <c r="D62" s="126">
        <v>0</v>
      </c>
      <c r="E62" s="126">
        <v>0</v>
      </c>
      <c r="F62" s="270"/>
      <c r="G62" s="126">
        <v>0</v>
      </c>
      <c r="H62" s="126">
        <v>250000</v>
      </c>
      <c r="I62" s="126">
        <v>0</v>
      </c>
      <c r="J62" s="126"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v>0</v>
      </c>
      <c r="P62" s="126">
        <v>0</v>
      </c>
      <c r="Q62" s="270"/>
      <c r="R62" s="270"/>
      <c r="S62" s="270"/>
      <c r="T62" s="270"/>
      <c r="Z62" s="103"/>
      <c r="AA62" s="260"/>
      <c r="AB62" s="69"/>
      <c r="AC62" s="198"/>
      <c r="AG62" s="165"/>
      <c r="AH62" s="165"/>
      <c r="AI62" s="165"/>
      <c r="AJ62" s="400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381"/>
      <c r="BB62" s="165"/>
      <c r="BC62" s="165"/>
      <c r="BD62" s="165"/>
      <c r="BE62" s="103" t="s">
        <v>324</v>
      </c>
      <c r="BF62" s="292"/>
      <c r="BG62" s="108"/>
      <c r="BH62" s="108">
        <f t="shared" ref="BH62:BQ62" si="96">(BH23/BH37)</f>
        <v>0.10195669960921851</v>
      </c>
      <c r="BI62" s="108">
        <f t="shared" si="96"/>
        <v>0.10325531556430646</v>
      </c>
      <c r="BJ62" s="108">
        <f t="shared" si="96"/>
        <v>0.10467085924192843</v>
      </c>
      <c r="BK62" s="108">
        <f t="shared" si="96"/>
        <v>0.1062170185631395</v>
      </c>
      <c r="BL62" s="108">
        <f t="shared" si="96"/>
        <v>0.10790966701971542</v>
      </c>
      <c r="BM62" s="108">
        <f t="shared" si="96"/>
        <v>0.12565989433213695</v>
      </c>
      <c r="BN62" s="108">
        <f t="shared" si="96"/>
        <v>0.1281465818971888</v>
      </c>
      <c r="BO62" s="108">
        <f t="shared" si="96"/>
        <v>0.13088812544875436</v>
      </c>
      <c r="BP62" s="108">
        <f t="shared" si="96"/>
        <v>0.13392116018436426</v>
      </c>
      <c r="BQ62" s="108">
        <f t="shared" si="96"/>
        <v>0.13728964127308488</v>
      </c>
      <c r="BR62" s="108" t="str">
        <f t="shared" ref="BR62:BV62" si="97">IFERROR(BR23/BR37,"")</f>
        <v/>
      </c>
      <c r="BS62" s="108" t="str">
        <f t="shared" si="97"/>
        <v/>
      </c>
      <c r="BT62" s="108" t="str">
        <f t="shared" si="97"/>
        <v/>
      </c>
      <c r="BU62" s="108" t="str">
        <f t="shared" si="97"/>
        <v/>
      </c>
      <c r="BV62" s="108" t="str">
        <f t="shared" si="97"/>
        <v/>
      </c>
      <c r="BW62" s="165"/>
      <c r="BZ62" s="588" t="str">
        <f>IF(CB13="Equity Multiple", "GP EMx Check","GP IRR Check")</f>
        <v>GP IRR Check</v>
      </c>
      <c r="CA62" s="449"/>
      <c r="CB62" s="449"/>
      <c r="CC62" s="449"/>
      <c r="CD62" s="449"/>
      <c r="CE62" s="449"/>
      <c r="CF62" s="449"/>
      <c r="CG62" s="449"/>
      <c r="CH62" s="449"/>
      <c r="CI62" s="449"/>
      <c r="CJ62" s="449"/>
      <c r="CK62" s="449"/>
      <c r="CL62" s="449"/>
      <c r="CM62" s="449"/>
      <c r="CN62" s="449"/>
      <c r="CO62" s="449"/>
      <c r="CP62" s="449"/>
      <c r="CQ62" s="449"/>
      <c r="CR62" s="449"/>
      <c r="CS62" s="449"/>
      <c r="CT62" s="449"/>
    </row>
    <row r="63" spans="2:98">
      <c r="B63" s="150"/>
      <c r="C63" s="155"/>
      <c r="D63" s="155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Z63" s="67" t="s">
        <v>214</v>
      </c>
      <c r="AA63" s="260"/>
      <c r="AB63" s="69">
        <f t="shared" ref="AB63:AB70" si="98">E47/$D$16</f>
        <v>0.3</v>
      </c>
      <c r="AC63" s="198"/>
      <c r="AG63" s="165"/>
      <c r="AH63" s="165"/>
      <c r="AI63" s="165"/>
      <c r="AJ63" s="400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381"/>
      <c r="BB63" s="165"/>
      <c r="BC63" s="165"/>
      <c r="BD63" s="165"/>
      <c r="BE63" s="103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165"/>
      <c r="BZ63" s="452"/>
      <c r="CA63" s="449"/>
      <c r="CB63" s="449"/>
      <c r="CC63" s="449"/>
      <c r="CD63" s="449"/>
      <c r="CE63" s="449"/>
      <c r="CF63" s="449"/>
      <c r="CG63" s="449"/>
      <c r="CH63" s="449"/>
      <c r="CI63" s="449"/>
      <c r="CJ63" s="449"/>
      <c r="CK63" s="449"/>
      <c r="CL63" s="449"/>
      <c r="CM63" s="449"/>
      <c r="CN63" s="449"/>
      <c r="CO63" s="449"/>
      <c r="CP63" s="449"/>
      <c r="CQ63" s="449"/>
      <c r="CR63" s="449"/>
      <c r="CS63" s="449"/>
      <c r="CT63" s="449"/>
    </row>
    <row r="64" spans="2:98">
      <c r="B64" s="263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Z64" s="67" t="s">
        <v>218</v>
      </c>
      <c r="AA64" s="260"/>
      <c r="AB64" s="69">
        <f t="shared" si="98"/>
        <v>1.3</v>
      </c>
      <c r="AC64" s="198"/>
      <c r="AG64" s="165"/>
      <c r="AH64" s="165"/>
      <c r="AI64" s="165"/>
      <c r="AJ64" s="400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381"/>
      <c r="BB64" s="165"/>
      <c r="BC64" s="165"/>
      <c r="BD64" s="165"/>
      <c r="BE64" s="267" t="s">
        <v>325</v>
      </c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65"/>
      <c r="BZ64" s="452" t="str">
        <f>"Total Distributions ("&amp;BZ46&amp;")"</f>
        <v>Total Distributions (Tier 1 - Preferred Return + Return of Capital)</v>
      </c>
      <c r="CA64" s="449"/>
      <c r="CB64" s="449"/>
      <c r="CC64" s="449"/>
      <c r="CD64" s="449"/>
      <c r="CE64" s="449"/>
      <c r="CF64" s="449"/>
      <c r="CG64" s="449"/>
      <c r="CH64" s="449"/>
      <c r="CI64" s="449"/>
      <c r="CJ64" s="449"/>
      <c r="CK64" s="449"/>
      <c r="CL64" s="449"/>
      <c r="CM64" s="449"/>
      <c r="CN64" s="449"/>
      <c r="CO64" s="449"/>
      <c r="CP64" s="449"/>
      <c r="CQ64" s="449"/>
      <c r="CR64" s="449"/>
      <c r="CS64" s="449"/>
      <c r="CT64" s="449"/>
    </row>
    <row r="65" spans="2:98">
      <c r="B65" s="264" t="s">
        <v>326</v>
      </c>
      <c r="C65" s="94"/>
      <c r="D65" s="94"/>
      <c r="E65" s="274"/>
      <c r="F65" s="270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232"/>
      <c r="V65" s="232"/>
      <c r="Z65" s="67" t="s">
        <v>223</v>
      </c>
      <c r="AA65" s="260"/>
      <c r="AB65" s="69">
        <f t="shared" si="98"/>
        <v>1.5</v>
      </c>
      <c r="AC65" s="198"/>
      <c r="AG65" s="165"/>
      <c r="AH65" s="165"/>
      <c r="AI65" s="165"/>
      <c r="AJ65" s="400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381"/>
      <c r="BB65" s="165"/>
      <c r="BC65" s="165"/>
      <c r="BD65" s="165"/>
      <c r="BE65" s="268" t="s">
        <v>327</v>
      </c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165"/>
      <c r="BZ65" s="452" t="s">
        <v>328</v>
      </c>
      <c r="CA65" s="449"/>
      <c r="CB65" s="449"/>
      <c r="CC65" s="449"/>
      <c r="CD65" s="449"/>
      <c r="CE65" s="449"/>
      <c r="CF65" s="449"/>
      <c r="CG65" s="449"/>
      <c r="CH65" s="449"/>
      <c r="CI65" s="449"/>
      <c r="CJ65" s="449"/>
      <c r="CK65" s="449"/>
      <c r="CL65" s="449"/>
      <c r="CM65" s="449"/>
      <c r="CN65" s="449"/>
      <c r="CO65" s="449"/>
      <c r="CP65" s="449"/>
      <c r="CQ65" s="449"/>
      <c r="CR65" s="449"/>
      <c r="CS65" s="449"/>
      <c r="CT65" s="449"/>
    </row>
    <row r="66" spans="2:98">
      <c r="B66" s="110" t="s">
        <v>329</v>
      </c>
      <c r="C66" s="275"/>
      <c r="D66" s="270"/>
      <c r="E66" s="270"/>
      <c r="F66" s="270"/>
      <c r="G66" s="46">
        <v>0.1</v>
      </c>
      <c r="H66" s="46">
        <v>0.1</v>
      </c>
      <c r="I66" s="46">
        <v>0.1</v>
      </c>
      <c r="J66" s="46">
        <v>0.1</v>
      </c>
      <c r="K66" s="46">
        <v>0.1</v>
      </c>
      <c r="L66" s="46">
        <v>0.1</v>
      </c>
      <c r="M66" s="46">
        <v>0.1</v>
      </c>
      <c r="N66" s="46">
        <v>0.1</v>
      </c>
      <c r="O66" s="46">
        <v>0.1</v>
      </c>
      <c r="P66" s="46">
        <v>0.1</v>
      </c>
      <c r="Q66" s="46">
        <v>0.1</v>
      </c>
      <c r="R66" s="46">
        <v>0.1</v>
      </c>
      <c r="S66" s="46">
        <v>0.1</v>
      </c>
      <c r="T66" s="46">
        <v>0.1</v>
      </c>
      <c r="U66" s="250"/>
      <c r="V66" s="250"/>
      <c r="Z66" s="67" t="s">
        <v>225</v>
      </c>
      <c r="AA66" s="260"/>
      <c r="AB66" s="69">
        <f t="shared" si="98"/>
        <v>1.9</v>
      </c>
      <c r="AC66" s="198"/>
      <c r="AG66" s="165"/>
      <c r="AH66" s="165"/>
      <c r="AI66" s="165"/>
      <c r="AJ66" s="400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381"/>
      <c r="BB66" s="165"/>
      <c r="BC66" s="165"/>
      <c r="BD66" s="165"/>
      <c r="BE66" s="66" t="s">
        <v>330</v>
      </c>
      <c r="BF66" s="59"/>
      <c r="BG66" s="157">
        <f t="shared" ref="BG66:BV66" si="99">IF(BG$42="","",BG$7)</f>
        <v>0</v>
      </c>
      <c r="BH66" s="157">
        <f t="shared" ref="BH66:BQ66" si="100">BH8</f>
        <v>1</v>
      </c>
      <c r="BI66" s="157">
        <f t="shared" si="100"/>
        <v>2</v>
      </c>
      <c r="BJ66" s="157">
        <f t="shared" si="100"/>
        <v>3</v>
      </c>
      <c r="BK66" s="157">
        <f t="shared" si="100"/>
        <v>4</v>
      </c>
      <c r="BL66" s="157">
        <f t="shared" si="100"/>
        <v>5</v>
      </c>
      <c r="BM66" s="157">
        <f t="shared" si="100"/>
        <v>6</v>
      </c>
      <c r="BN66" s="157">
        <f t="shared" si="100"/>
        <v>7</v>
      </c>
      <c r="BO66" s="157">
        <f t="shared" si="100"/>
        <v>8</v>
      </c>
      <c r="BP66" s="157">
        <f t="shared" si="100"/>
        <v>9</v>
      </c>
      <c r="BQ66" s="157">
        <f t="shared" si="100"/>
        <v>10</v>
      </c>
      <c r="BR66" s="65" t="str">
        <f t="shared" si="99"/>
        <v/>
      </c>
      <c r="BS66" s="65" t="str">
        <f t="shared" si="99"/>
        <v/>
      </c>
      <c r="BT66" s="65" t="str">
        <f t="shared" si="99"/>
        <v/>
      </c>
      <c r="BU66" s="65" t="str">
        <f t="shared" si="99"/>
        <v/>
      </c>
      <c r="BV66" s="65" t="str">
        <f t="shared" si="99"/>
        <v/>
      </c>
      <c r="BW66" s="165"/>
      <c r="BZ66" s="449"/>
      <c r="CA66" s="449"/>
      <c r="CB66" s="449"/>
      <c r="CC66" s="449"/>
      <c r="CD66" s="449"/>
      <c r="CE66" s="449"/>
      <c r="CF66" s="449"/>
      <c r="CG66" s="449"/>
      <c r="CH66" s="449"/>
      <c r="CI66" s="449"/>
      <c r="CJ66" s="449"/>
      <c r="CK66" s="449"/>
      <c r="CL66" s="449"/>
      <c r="CM66" s="449"/>
      <c r="CN66" s="449"/>
      <c r="CO66" s="449"/>
      <c r="CP66" s="449"/>
      <c r="CQ66" s="449"/>
      <c r="CR66" s="449"/>
      <c r="CS66" s="449"/>
      <c r="CT66" s="449"/>
    </row>
    <row r="67" spans="2:98" ht="15.75">
      <c r="B67" s="110" t="s">
        <v>331</v>
      </c>
      <c r="C67" s="275"/>
      <c r="D67" s="270"/>
      <c r="E67" s="270"/>
      <c r="F67" s="270"/>
      <c r="G67" s="46">
        <v>0</v>
      </c>
      <c r="H67" s="46">
        <v>0</v>
      </c>
      <c r="I67" s="46">
        <v>0</v>
      </c>
      <c r="J67" s="46">
        <v>0</v>
      </c>
      <c r="K67" s="46">
        <v>0.1</v>
      </c>
      <c r="L67" s="46">
        <v>0</v>
      </c>
      <c r="M67" s="46">
        <v>0</v>
      </c>
      <c r="N67" s="46">
        <v>0</v>
      </c>
      <c r="O67" s="46">
        <v>0</v>
      </c>
      <c r="P67" s="46">
        <v>0.1</v>
      </c>
      <c r="Q67" s="46">
        <v>0</v>
      </c>
      <c r="R67" s="46">
        <v>0</v>
      </c>
      <c r="S67" s="46">
        <v>0</v>
      </c>
      <c r="T67" s="46">
        <v>0</v>
      </c>
      <c r="U67" s="250"/>
      <c r="V67" s="250"/>
      <c r="Z67" s="67" t="s">
        <v>231</v>
      </c>
      <c r="AA67" s="260"/>
      <c r="AB67" s="69">
        <f t="shared" si="98"/>
        <v>1.7</v>
      </c>
      <c r="AC67" s="198"/>
      <c r="AG67" s="165"/>
      <c r="AH67" s="165"/>
      <c r="AI67" s="165"/>
      <c r="AJ67" s="400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381"/>
      <c r="BB67" s="165"/>
      <c r="BC67" s="165"/>
      <c r="BD67" s="165"/>
      <c r="BE67" s="103" t="s">
        <v>4</v>
      </c>
      <c r="BF67" s="59"/>
      <c r="BG67" s="59"/>
      <c r="BH67" s="136" t="str">
        <f t="shared" ref="BH67:BV67" si="101">IF(BH66="","",IFERROR(IRR(BH68:BH83),""))</f>
        <v/>
      </c>
      <c r="BI67" s="136" t="str">
        <f t="shared" si="101"/>
        <v/>
      </c>
      <c r="BJ67" s="136" t="str">
        <f t="shared" si="101"/>
        <v/>
      </c>
      <c r="BK67" s="136" t="str">
        <f t="shared" si="101"/>
        <v/>
      </c>
      <c r="BL67" s="136" t="str">
        <f t="shared" si="101"/>
        <v/>
      </c>
      <c r="BM67" s="136" t="str">
        <f t="shared" si="101"/>
        <v/>
      </c>
      <c r="BN67" s="136" t="str">
        <f t="shared" si="101"/>
        <v/>
      </c>
      <c r="BO67" s="136" t="str">
        <f t="shared" si="101"/>
        <v/>
      </c>
      <c r="BP67" s="136" t="str">
        <f t="shared" si="101"/>
        <v/>
      </c>
      <c r="BQ67" s="136" t="str">
        <f t="shared" si="101"/>
        <v/>
      </c>
      <c r="BR67" s="136" t="str">
        <f t="shared" si="101"/>
        <v/>
      </c>
      <c r="BS67" s="136" t="str">
        <f t="shared" si="101"/>
        <v/>
      </c>
      <c r="BT67" s="136" t="str">
        <f t="shared" si="101"/>
        <v/>
      </c>
      <c r="BU67" s="136" t="str">
        <f t="shared" si="101"/>
        <v/>
      </c>
      <c r="BV67" s="136" t="str">
        <f t="shared" si="101"/>
        <v/>
      </c>
      <c r="BW67" s="165"/>
      <c r="BZ67" s="589" t="s">
        <v>332</v>
      </c>
      <c r="CA67" s="569"/>
      <c r="CB67" s="569"/>
      <c r="CC67" s="569"/>
      <c r="CD67" s="584" t="str">
        <f t="shared" ref="CD67:CS67" si="102">CD47</f>
        <v>Year 0</v>
      </c>
      <c r="CE67" s="584" t="str">
        <f t="shared" si="102"/>
        <v>Year 1</v>
      </c>
      <c r="CF67" s="584" t="str">
        <f t="shared" si="102"/>
        <v>Year 2</v>
      </c>
      <c r="CG67" s="584" t="str">
        <f t="shared" si="102"/>
        <v>Year 3</v>
      </c>
      <c r="CH67" s="584" t="str">
        <f t="shared" si="102"/>
        <v>Year 4</v>
      </c>
      <c r="CI67" s="584" t="str">
        <f t="shared" si="102"/>
        <v>Year 5</v>
      </c>
      <c r="CJ67" s="584" t="str">
        <f t="shared" si="102"/>
        <v>Year 6</v>
      </c>
      <c r="CK67" s="584" t="str">
        <f t="shared" si="102"/>
        <v>Year 7</v>
      </c>
      <c r="CL67" s="584" t="str">
        <f t="shared" si="102"/>
        <v>Year 8</v>
      </c>
      <c r="CM67" s="584" t="str">
        <f t="shared" si="102"/>
        <v>Year 9</v>
      </c>
      <c r="CN67" s="584" t="str">
        <f t="shared" si="102"/>
        <v>Year 10</v>
      </c>
      <c r="CO67" s="584" t="str">
        <f t="shared" si="102"/>
        <v> </v>
      </c>
      <c r="CP67" s="584" t="str">
        <f t="shared" si="102"/>
        <v> </v>
      </c>
      <c r="CQ67" s="584" t="str">
        <f t="shared" si="102"/>
        <v> </v>
      </c>
      <c r="CR67" s="584" t="str">
        <f t="shared" si="102"/>
        <v> </v>
      </c>
      <c r="CS67" s="584" t="str">
        <f t="shared" si="102"/>
        <v> </v>
      </c>
      <c r="CT67" s="449"/>
    </row>
    <row r="68" spans="2:98">
      <c r="B68" s="110" t="s">
        <v>333</v>
      </c>
      <c r="C68" s="275"/>
      <c r="D68" s="270"/>
      <c r="E68" s="270"/>
      <c r="F68" s="270"/>
      <c r="G68" s="46">
        <v>0.02</v>
      </c>
      <c r="H68" s="46">
        <v>0.02</v>
      </c>
      <c r="I68" s="46">
        <v>0.02</v>
      </c>
      <c r="J68" s="46">
        <v>0.02</v>
      </c>
      <c r="K68" s="46">
        <v>0.02</v>
      </c>
      <c r="L68" s="46">
        <v>0.02</v>
      </c>
      <c r="M68" s="46">
        <v>0.02</v>
      </c>
      <c r="N68" s="46">
        <v>0.02</v>
      </c>
      <c r="O68" s="46">
        <v>0.02</v>
      </c>
      <c r="P68" s="46">
        <v>0.02</v>
      </c>
      <c r="Q68" s="46">
        <v>0.02</v>
      </c>
      <c r="R68" s="46">
        <v>0.02</v>
      </c>
      <c r="S68" s="46">
        <v>0.02</v>
      </c>
      <c r="T68" s="46">
        <v>0.02</v>
      </c>
      <c r="U68" s="250"/>
      <c r="V68" s="250"/>
      <c r="Z68" s="67" t="s">
        <v>236</v>
      </c>
      <c r="AA68" s="260"/>
      <c r="AB68" s="69">
        <f t="shared" si="98"/>
        <v>1.3689</v>
      </c>
      <c r="AC68" s="198"/>
      <c r="AG68" s="165"/>
      <c r="AH68" s="165"/>
      <c r="AI68" s="165"/>
      <c r="AJ68" s="400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381"/>
      <c r="BB68" s="165"/>
      <c r="BC68" s="165"/>
      <c r="BD68" s="165"/>
      <c r="BE68" s="256">
        <f>BG66</f>
        <v>0</v>
      </c>
      <c r="BF68" s="56"/>
      <c r="BG68" s="73">
        <f t="shared" ref="BG68:BG78" si="103">$BG$43</f>
        <v>0</v>
      </c>
      <c r="BH68" s="71"/>
      <c r="BI68" s="71" t="str">
        <f t="shared" ref="BI68:BV83" si="104">IF(OR(BI$65="",$AU68=""),"",(BI$65&lt;=$AU68)*(-BI$13+BI$24)+(BI$65=$AU68)*BI$33)</f>
        <v/>
      </c>
      <c r="BJ68" s="71" t="str">
        <f t="shared" si="104"/>
        <v/>
      </c>
      <c r="BK68" s="71" t="str">
        <f t="shared" si="104"/>
        <v/>
      </c>
      <c r="BL68" s="71" t="str">
        <f t="shared" si="104"/>
        <v/>
      </c>
      <c r="BM68" s="71" t="str">
        <f t="shared" si="104"/>
        <v/>
      </c>
      <c r="BN68" s="71" t="str">
        <f t="shared" si="104"/>
        <v/>
      </c>
      <c r="BO68" s="71" t="str">
        <f t="shared" si="104"/>
        <v/>
      </c>
      <c r="BP68" s="71" t="str">
        <f t="shared" si="104"/>
        <v/>
      </c>
      <c r="BQ68" s="71" t="str">
        <f t="shared" si="104"/>
        <v/>
      </c>
      <c r="BR68" s="71" t="str">
        <f t="shared" si="104"/>
        <v/>
      </c>
      <c r="BS68" s="71" t="str">
        <f t="shared" si="104"/>
        <v/>
      </c>
      <c r="BT68" s="71" t="str">
        <f t="shared" si="104"/>
        <v/>
      </c>
      <c r="BU68" s="71" t="str">
        <f t="shared" si="104"/>
        <v/>
      </c>
      <c r="BV68" s="71" t="str">
        <f t="shared" si="104"/>
        <v/>
      </c>
      <c r="BW68" s="165"/>
      <c r="BZ68" s="590" t="s">
        <v>305</v>
      </c>
      <c r="CA68" s="591" t="str">
        <f>CA18</f>
        <v> </v>
      </c>
      <c r="CB68" s="449"/>
      <c r="CC68" s="449"/>
      <c r="CD68" s="449"/>
      <c r="CE68" s="449"/>
      <c r="CF68" s="449"/>
      <c r="CG68" s="449"/>
      <c r="CH68" s="449"/>
      <c r="CI68" s="449"/>
      <c r="CJ68" s="449"/>
      <c r="CK68" s="449"/>
      <c r="CL68" s="449"/>
      <c r="CM68" s="449"/>
      <c r="CN68" s="449"/>
      <c r="CO68" s="449"/>
      <c r="CP68" s="449"/>
      <c r="CQ68" s="449"/>
      <c r="CR68" s="449"/>
      <c r="CS68" s="449"/>
      <c r="CT68" s="449"/>
    </row>
    <row r="69" spans="2:98">
      <c r="B69" s="110" t="s">
        <v>334</v>
      </c>
      <c r="C69" s="275"/>
      <c r="D69" s="270"/>
      <c r="E69" s="270"/>
      <c r="F69" s="270"/>
      <c r="G69" s="46">
        <v>0.03</v>
      </c>
      <c r="H69" s="46">
        <v>0.03</v>
      </c>
      <c r="I69" s="46">
        <v>0.03</v>
      </c>
      <c r="J69" s="46">
        <v>0.03</v>
      </c>
      <c r="K69" s="46">
        <v>0.03</v>
      </c>
      <c r="L69" s="46">
        <v>0.03</v>
      </c>
      <c r="M69" s="46">
        <v>0.03</v>
      </c>
      <c r="N69" s="46">
        <v>0.03</v>
      </c>
      <c r="O69" s="46">
        <v>0.03</v>
      </c>
      <c r="P69" s="46">
        <v>0.03</v>
      </c>
      <c r="Q69" s="46">
        <v>0.03</v>
      </c>
      <c r="R69" s="46">
        <v>0.03</v>
      </c>
      <c r="S69" s="46">
        <v>0.03</v>
      </c>
      <c r="T69" s="46">
        <v>0.03</v>
      </c>
      <c r="U69" s="250"/>
      <c r="V69" s="250"/>
      <c r="Z69" s="67" t="s">
        <v>239</v>
      </c>
      <c r="AA69" s="260"/>
      <c r="AB69" s="69">
        <f t="shared" si="98"/>
        <v>0.7</v>
      </c>
      <c r="AC69" s="198"/>
      <c r="AG69" s="165"/>
      <c r="AH69" s="165"/>
      <c r="AI69" s="165"/>
      <c r="AJ69" s="400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381"/>
      <c r="BB69" s="165"/>
      <c r="BC69" s="165"/>
      <c r="BD69" s="165"/>
      <c r="BE69" s="256">
        <f>BH66</f>
        <v>1</v>
      </c>
      <c r="BF69" s="136" t="e">
        <f>IF(BE69="","",IRR(BG69:BV69))</f>
        <v>#NUM!</v>
      </c>
      <c r="BG69" s="73">
        <f t="shared" si="103"/>
        <v>0</v>
      </c>
      <c r="BH69" s="73">
        <f>(BH66&lt;&gt;"") * (BE69&lt;&gt;"") * ((BH66&lt;=BE69)*(-BH14+BH25) + (BH66=BE69)*BH34)</f>
        <v>25586347.921753842</v>
      </c>
      <c r="BI69" s="73"/>
      <c r="BJ69" s="73"/>
      <c r="BK69" s="73"/>
      <c r="BL69" s="73"/>
      <c r="BM69" s="73"/>
      <c r="BN69" s="73"/>
      <c r="BO69" s="73"/>
      <c r="BP69" s="73"/>
      <c r="BQ69" s="73"/>
      <c r="BR69" s="73" t="str">
        <f t="shared" si="104"/>
        <v/>
      </c>
      <c r="BS69" s="73" t="str">
        <f t="shared" si="104"/>
        <v/>
      </c>
      <c r="BT69" s="73" t="str">
        <f t="shared" si="104"/>
        <v/>
      </c>
      <c r="BU69" s="73" t="str">
        <f t="shared" si="104"/>
        <v/>
      </c>
      <c r="BV69" s="73" t="str">
        <f t="shared" si="104"/>
        <v/>
      </c>
      <c r="BW69" s="165"/>
      <c r="BZ69" s="592" t="s">
        <v>306</v>
      </c>
      <c r="CA69" s="556"/>
      <c r="CB69" s="449"/>
      <c r="CC69" s="449"/>
      <c r="CD69" s="449"/>
      <c r="CE69" s="449"/>
      <c r="CF69" s="449"/>
      <c r="CG69" s="449"/>
      <c r="CH69" s="449"/>
      <c r="CI69" s="449"/>
      <c r="CJ69" s="449"/>
      <c r="CK69" s="449"/>
      <c r="CL69" s="449"/>
      <c r="CM69" s="449"/>
      <c r="CN69" s="449"/>
      <c r="CO69" s="449"/>
      <c r="CP69" s="449"/>
      <c r="CQ69" s="449"/>
      <c r="CR69" s="449"/>
      <c r="CS69" s="449"/>
      <c r="CT69" s="449"/>
    </row>
    <row r="70" spans="2:98">
      <c r="B70" s="110" t="s">
        <v>335</v>
      </c>
      <c r="C70" s="275"/>
      <c r="D70" s="270"/>
      <c r="E70" s="270"/>
      <c r="F70" s="270"/>
      <c r="G70" s="46">
        <v>0.02</v>
      </c>
      <c r="H70" s="46">
        <v>0.02</v>
      </c>
      <c r="I70" s="46">
        <v>0.02</v>
      </c>
      <c r="J70" s="46">
        <v>0.02</v>
      </c>
      <c r="K70" s="46">
        <v>0.02</v>
      </c>
      <c r="L70" s="46">
        <v>0.02</v>
      </c>
      <c r="M70" s="46">
        <v>0.02</v>
      </c>
      <c r="N70" s="46">
        <v>0.02</v>
      </c>
      <c r="O70" s="46">
        <v>0.02</v>
      </c>
      <c r="P70" s="46">
        <v>0.02</v>
      </c>
      <c r="Q70" s="46">
        <v>0.02</v>
      </c>
      <c r="R70" s="46">
        <v>0.02</v>
      </c>
      <c r="S70" s="46">
        <v>0.02</v>
      </c>
      <c r="T70" s="46">
        <v>0.02</v>
      </c>
      <c r="U70" s="250"/>
      <c r="V70" s="250"/>
      <c r="Z70" s="67" t="s">
        <v>244</v>
      </c>
      <c r="AA70" s="260"/>
      <c r="AB70" s="69">
        <f t="shared" si="98"/>
        <v>5.0000999999999998</v>
      </c>
      <c r="AC70" s="198"/>
      <c r="AG70" s="165"/>
      <c r="AH70" s="165"/>
      <c r="AI70" s="165"/>
      <c r="AJ70" s="400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381"/>
      <c r="BB70" s="165"/>
      <c r="BC70" s="165"/>
      <c r="BD70" s="165"/>
      <c r="BE70" s="256">
        <f>BI66</f>
        <v>2</v>
      </c>
      <c r="BF70" s="136" t="e">
        <f t="shared" ref="BF70:BF83" si="105">IF(BE70="","",IRR(BG70:BV70))</f>
        <v>#NUM!</v>
      </c>
      <c r="BG70" s="73">
        <f t="shared" si="103"/>
        <v>0</v>
      </c>
      <c r="BH70" s="73">
        <f t="shared" ref="BH70:BQ78" si="106">(BH$66&lt;&gt;"") * ($BE70&lt;&gt;"") * ((BH$66&lt;=$BE70)*(-BH$14+BH$25) + (BH$66=$BE70)*BH$34)</f>
        <v>1568050.3491999998</v>
      </c>
      <c r="BI70" s="73">
        <f t="shared" si="106"/>
        <v>25204573.825016793</v>
      </c>
      <c r="BJ70" s="73">
        <f>(BJ$66&lt;&gt;"") * ($BE$70&lt;&gt;"") * ((BJ$66&lt;=$BE$70)*(-BJ$14+BJ$25) + (BJ$66=$BE$70)*BJ$34)</f>
        <v>0</v>
      </c>
      <c r="BK70" s="73" t="str">
        <f t="shared" ref="BK70:BQ71" si="107">IF(OR(BK$65="",$AU70=""),"",(BK$65&lt;=$AU70)*(-BK$13+BK$24)+(BK$65=$AU70)*BK$33)</f>
        <v/>
      </c>
      <c r="BL70" s="73" t="str">
        <f t="shared" si="107"/>
        <v/>
      </c>
      <c r="BM70" s="73" t="str">
        <f t="shared" si="107"/>
        <v/>
      </c>
      <c r="BN70" s="73" t="str">
        <f t="shared" si="107"/>
        <v/>
      </c>
      <c r="BO70" s="73" t="str">
        <f t="shared" si="107"/>
        <v/>
      </c>
      <c r="BP70" s="73" t="str">
        <f t="shared" si="107"/>
        <v/>
      </c>
      <c r="BQ70" s="73" t="str">
        <f t="shared" si="107"/>
        <v/>
      </c>
      <c r="BR70" s="73" t="str">
        <f t="shared" si="104"/>
        <v/>
      </c>
      <c r="BS70" s="73" t="str">
        <f t="shared" si="104"/>
        <v/>
      </c>
      <c r="BT70" s="73" t="str">
        <f t="shared" si="104"/>
        <v/>
      </c>
      <c r="BU70" s="73" t="str">
        <f t="shared" si="104"/>
        <v/>
      </c>
      <c r="BV70" s="73" t="str">
        <f t="shared" si="104"/>
        <v/>
      </c>
      <c r="BW70" s="165"/>
      <c r="BZ70" s="592" t="s">
        <v>336</v>
      </c>
      <c r="CA70" s="556"/>
      <c r="CB70" s="449"/>
      <c r="CC70" s="449"/>
      <c r="CD70" s="449"/>
      <c r="CE70" s="449"/>
      <c r="CF70" s="449"/>
      <c r="CG70" s="449"/>
      <c r="CH70" s="449"/>
      <c r="CI70" s="449"/>
      <c r="CJ70" s="449"/>
      <c r="CK70" s="449"/>
      <c r="CL70" s="449"/>
      <c r="CM70" s="449"/>
      <c r="CN70" s="449"/>
      <c r="CO70" s="449"/>
      <c r="CP70" s="449"/>
      <c r="CQ70" s="449"/>
      <c r="CR70" s="449"/>
      <c r="CS70" s="449"/>
      <c r="CT70" s="449"/>
    </row>
    <row r="71" spans="2:98">
      <c r="B71" s="110" t="s">
        <v>337</v>
      </c>
      <c r="C71" s="275"/>
      <c r="D71" s="270"/>
      <c r="E71" s="270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250"/>
      <c r="V71" s="250"/>
      <c r="Z71" s="103" t="s">
        <v>224</v>
      </c>
      <c r="AA71" s="260"/>
      <c r="AB71" s="69">
        <f>SUM(AB63:AB70)</f>
        <v>13.768999999999998</v>
      </c>
      <c r="AC71" s="198"/>
      <c r="AG71" s="165"/>
      <c r="AH71" s="165"/>
      <c r="AI71" s="165"/>
      <c r="AJ71" s="400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381"/>
      <c r="BB71" s="165"/>
      <c r="BC71" s="165"/>
      <c r="BD71" s="165"/>
      <c r="BE71" s="256">
        <f>BJ66</f>
        <v>3</v>
      </c>
      <c r="BF71" s="136" t="e">
        <f t="shared" si="105"/>
        <v>#NUM!</v>
      </c>
      <c r="BG71" s="73">
        <f t="shared" si="103"/>
        <v>0</v>
      </c>
      <c r="BH71" s="73">
        <f t="shared" si="106"/>
        <v>1568050.3491999998</v>
      </c>
      <c r="BI71" s="73">
        <f t="shared" si="106"/>
        <v>1555150.2492</v>
      </c>
      <c r="BJ71" s="73">
        <f t="shared" si="106"/>
        <v>24574448.272290908</v>
      </c>
      <c r="BK71" s="73" t="str">
        <f t="shared" si="107"/>
        <v/>
      </c>
      <c r="BL71" s="73" t="str">
        <f t="shared" si="107"/>
        <v/>
      </c>
      <c r="BM71" s="73" t="str">
        <f t="shared" si="107"/>
        <v/>
      </c>
      <c r="BN71" s="73" t="str">
        <f t="shared" si="107"/>
        <v/>
      </c>
      <c r="BO71" s="73" t="str">
        <f t="shared" si="107"/>
        <v/>
      </c>
      <c r="BP71" s="73" t="str">
        <f t="shared" si="107"/>
        <v/>
      </c>
      <c r="BQ71" s="73" t="str">
        <f t="shared" si="107"/>
        <v/>
      </c>
      <c r="BR71" s="73" t="str">
        <f t="shared" si="104"/>
        <v/>
      </c>
      <c r="BS71" s="73" t="str">
        <f t="shared" si="104"/>
        <v/>
      </c>
      <c r="BT71" s="73" t="str">
        <f t="shared" si="104"/>
        <v/>
      </c>
      <c r="BU71" s="73" t="str">
        <f t="shared" si="104"/>
        <v/>
      </c>
      <c r="BV71" s="73" t="str">
        <f t="shared" si="104"/>
        <v/>
      </c>
      <c r="BW71" s="165"/>
      <c r="BZ71" s="592" t="s">
        <v>311</v>
      </c>
      <c r="CA71" s="556"/>
      <c r="CB71" s="449"/>
      <c r="CC71" s="449"/>
      <c r="CD71" s="449"/>
      <c r="CE71" s="449"/>
      <c r="CF71" s="449"/>
      <c r="CG71" s="449"/>
      <c r="CH71" s="449"/>
      <c r="CI71" s="449"/>
      <c r="CJ71" s="449"/>
      <c r="CK71" s="449"/>
      <c r="CL71" s="449"/>
      <c r="CM71" s="449"/>
      <c r="CN71" s="449"/>
      <c r="CO71" s="449"/>
      <c r="CP71" s="449"/>
      <c r="CQ71" s="449"/>
      <c r="CR71" s="449"/>
      <c r="CS71" s="449"/>
      <c r="CT71" s="449"/>
    </row>
    <row r="72" spans="2:98"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32"/>
      <c r="V72" s="232"/>
      <c r="Z72" s="103"/>
      <c r="AA72" s="260"/>
      <c r="AB72" s="69"/>
      <c r="AC72" s="198"/>
      <c r="AG72" s="165"/>
      <c r="AH72" s="165"/>
      <c r="AI72" s="165"/>
      <c r="AJ72" s="400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381"/>
      <c r="BB72" s="165"/>
      <c r="BC72" s="165"/>
      <c r="BD72" s="165"/>
      <c r="BE72" s="256">
        <f>BK66</f>
        <v>4</v>
      </c>
      <c r="BF72" s="136" t="e">
        <f t="shared" si="105"/>
        <v>#NUM!</v>
      </c>
      <c r="BG72" s="73">
        <f t="shared" si="103"/>
        <v>0</v>
      </c>
      <c r="BH72" s="73">
        <f t="shared" si="106"/>
        <v>1568050.3491999998</v>
      </c>
      <c r="BI72" s="73">
        <f t="shared" si="106"/>
        <v>1555150.2492</v>
      </c>
      <c r="BJ72" s="73">
        <f t="shared" si="106"/>
        <v>1291992.1472</v>
      </c>
      <c r="BK72" s="73">
        <f t="shared" si="106"/>
        <v>22945850.003412627</v>
      </c>
      <c r="BL72" s="73">
        <f t="shared" si="106"/>
        <v>0</v>
      </c>
      <c r="BM72" s="73">
        <f t="shared" si="106"/>
        <v>0</v>
      </c>
      <c r="BN72" s="73">
        <f t="shared" si="106"/>
        <v>0</v>
      </c>
      <c r="BO72" s="73">
        <f t="shared" si="106"/>
        <v>0</v>
      </c>
      <c r="BP72" s="73">
        <f t="shared" si="106"/>
        <v>0</v>
      </c>
      <c r="BQ72" s="73">
        <f t="shared" si="106"/>
        <v>0</v>
      </c>
      <c r="BR72" s="73" t="str">
        <f t="shared" si="104"/>
        <v/>
      </c>
      <c r="BS72" s="73" t="str">
        <f t="shared" si="104"/>
        <v/>
      </c>
      <c r="BT72" s="73" t="str">
        <f t="shared" si="104"/>
        <v/>
      </c>
      <c r="BU72" s="73" t="str">
        <f t="shared" si="104"/>
        <v/>
      </c>
      <c r="BV72" s="73" t="str">
        <f t="shared" si="104"/>
        <v/>
      </c>
      <c r="BW72" s="165"/>
      <c r="BZ72" s="592" t="s">
        <v>338</v>
      </c>
      <c r="CA72" s="556"/>
      <c r="CB72" s="449"/>
      <c r="CC72" s="449"/>
      <c r="CD72" s="449"/>
      <c r="CE72" s="449"/>
      <c r="CF72" s="449"/>
      <c r="CG72" s="449"/>
      <c r="CH72" s="449"/>
      <c r="CI72" s="449"/>
      <c r="CJ72" s="449"/>
      <c r="CK72" s="449"/>
      <c r="CL72" s="449"/>
      <c r="CM72" s="449"/>
      <c r="CN72" s="449"/>
      <c r="CO72" s="449"/>
      <c r="CP72" s="449"/>
      <c r="CQ72" s="449"/>
      <c r="CR72" s="449"/>
      <c r="CS72" s="449"/>
      <c r="CT72" s="449"/>
    </row>
    <row r="73" spans="2:98">
      <c r="Z73" s="106" t="s">
        <v>227</v>
      </c>
      <c r="AA73" s="260"/>
      <c r="AB73" s="158">
        <f>AB61-AB71</f>
        <v>-13.768999999999998</v>
      </c>
      <c r="AC73" s="198"/>
      <c r="AG73" s="165"/>
      <c r="AH73" s="165"/>
      <c r="AI73" s="165"/>
      <c r="AJ73" s="400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381"/>
      <c r="BB73" s="165"/>
      <c r="BC73" s="165"/>
      <c r="BD73" s="165"/>
      <c r="BE73" s="256">
        <f>BL66</f>
        <v>5</v>
      </c>
      <c r="BF73" s="136" t="e">
        <f t="shared" si="105"/>
        <v>#NUM!</v>
      </c>
      <c r="BG73" s="73">
        <f t="shared" si="103"/>
        <v>0</v>
      </c>
      <c r="BH73" s="73">
        <f t="shared" si="106"/>
        <v>1568050.3491999998</v>
      </c>
      <c r="BI73" s="73">
        <f t="shared" si="106"/>
        <v>1555150.2492</v>
      </c>
      <c r="BJ73" s="73">
        <f t="shared" si="106"/>
        <v>1291992.1472</v>
      </c>
      <c r="BK73" s="73">
        <f t="shared" si="106"/>
        <v>28570.883159999968</v>
      </c>
      <c r="BL73" s="73">
        <f t="shared" si="106"/>
        <v>24068659.669696148</v>
      </c>
      <c r="BM73" s="73">
        <f t="shared" si="106"/>
        <v>0</v>
      </c>
      <c r="BN73" s="73">
        <f t="shared" si="106"/>
        <v>0</v>
      </c>
      <c r="BO73" s="73">
        <f t="shared" si="106"/>
        <v>0</v>
      </c>
      <c r="BP73" s="73">
        <f t="shared" si="106"/>
        <v>0</v>
      </c>
      <c r="BQ73" s="73">
        <f t="shared" si="106"/>
        <v>0</v>
      </c>
      <c r="BR73" s="73" t="str">
        <f t="shared" si="104"/>
        <v/>
      </c>
      <c r="BS73" s="73" t="str">
        <f t="shared" si="104"/>
        <v/>
      </c>
      <c r="BT73" s="73" t="str">
        <f t="shared" si="104"/>
        <v/>
      </c>
      <c r="BU73" s="73" t="str">
        <f t="shared" si="104"/>
        <v/>
      </c>
      <c r="BV73" s="73" t="str">
        <f t="shared" si="104"/>
        <v/>
      </c>
      <c r="BW73" s="165"/>
      <c r="BZ73" s="592" t="str">
        <f>"Distributions to LP "&amp;BZ67</f>
        <v>Distributions to LP Tier 2</v>
      </c>
      <c r="CA73" s="556"/>
      <c r="CB73" s="449"/>
      <c r="CC73" s="449"/>
      <c r="CD73" s="449"/>
      <c r="CE73" s="449"/>
      <c r="CF73" s="449"/>
      <c r="CG73" s="449"/>
      <c r="CH73" s="449"/>
      <c r="CI73" s="449"/>
      <c r="CJ73" s="449"/>
      <c r="CK73" s="449"/>
      <c r="CL73" s="449"/>
      <c r="CM73" s="449"/>
      <c r="CN73" s="449"/>
      <c r="CO73" s="449"/>
      <c r="CP73" s="449"/>
      <c r="CQ73" s="449"/>
      <c r="CR73" s="449"/>
      <c r="CS73" s="449"/>
      <c r="CT73" s="449"/>
    </row>
    <row r="74" spans="2:98"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Z74" s="103"/>
      <c r="AA74" s="260"/>
      <c r="AB74" s="69"/>
      <c r="AC74" s="198"/>
      <c r="AG74" s="165"/>
      <c r="AH74" s="165"/>
      <c r="AI74" s="165"/>
      <c r="AJ74" s="400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381"/>
      <c r="BB74" s="165"/>
      <c r="BC74" s="165"/>
      <c r="BD74" s="165"/>
      <c r="BE74" s="256">
        <f>BM66</f>
        <v>6</v>
      </c>
      <c r="BF74" s="136" t="e">
        <f t="shared" si="105"/>
        <v>#NUM!</v>
      </c>
      <c r="BG74" s="73">
        <f t="shared" si="103"/>
        <v>0</v>
      </c>
      <c r="BH74" s="73">
        <f t="shared" si="106"/>
        <v>1568050.3491999998</v>
      </c>
      <c r="BI74" s="73">
        <f t="shared" si="106"/>
        <v>1555150.2492</v>
      </c>
      <c r="BJ74" s="73">
        <f t="shared" si="106"/>
        <v>1291992.1472</v>
      </c>
      <c r="BK74" s="73">
        <f t="shared" si="106"/>
        <v>28570.883159999968</v>
      </c>
      <c r="BL74" s="73">
        <f t="shared" si="106"/>
        <v>1514881.1938391998</v>
      </c>
      <c r="BM74" s="73">
        <f t="shared" si="106"/>
        <v>27127093.770353373</v>
      </c>
      <c r="BN74" s="73">
        <f t="shared" si="106"/>
        <v>0</v>
      </c>
      <c r="BO74" s="73">
        <f t="shared" si="106"/>
        <v>0</v>
      </c>
      <c r="BP74" s="73">
        <f t="shared" si="106"/>
        <v>0</v>
      </c>
      <c r="BQ74" s="73">
        <f t="shared" si="106"/>
        <v>0</v>
      </c>
      <c r="BR74" s="73" t="str">
        <f t="shared" si="104"/>
        <v/>
      </c>
      <c r="BS74" s="73" t="str">
        <f t="shared" si="104"/>
        <v/>
      </c>
      <c r="BT74" s="73" t="str">
        <f t="shared" si="104"/>
        <v/>
      </c>
      <c r="BU74" s="73" t="str">
        <f t="shared" si="104"/>
        <v/>
      </c>
      <c r="BV74" s="73" t="str">
        <f t="shared" si="104"/>
        <v/>
      </c>
      <c r="BW74" s="165"/>
      <c r="BZ74" s="592" t="s">
        <v>314</v>
      </c>
      <c r="CA74" s="556"/>
      <c r="CB74" s="449"/>
      <c r="CC74" s="449"/>
      <c r="CD74" s="449"/>
      <c r="CE74" s="449"/>
      <c r="CF74" s="449"/>
      <c r="CG74" s="449"/>
      <c r="CH74" s="449"/>
      <c r="CI74" s="449"/>
      <c r="CJ74" s="449"/>
      <c r="CK74" s="449"/>
      <c r="CL74" s="449"/>
      <c r="CM74" s="449"/>
      <c r="CN74" s="449"/>
      <c r="CO74" s="449"/>
      <c r="CP74" s="449"/>
      <c r="CQ74" s="449"/>
      <c r="CR74" s="449"/>
      <c r="CS74" s="449"/>
      <c r="CT74" s="449"/>
    </row>
    <row r="75" spans="2:98"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232"/>
      <c r="V75" s="232"/>
      <c r="Z75" s="67" t="s">
        <v>263</v>
      </c>
      <c r="AA75" s="260"/>
      <c r="AB75" s="159">
        <f>E59/$D$16</f>
        <v>0</v>
      </c>
      <c r="AC75" s="198"/>
      <c r="AG75" s="165"/>
      <c r="AH75" s="165"/>
      <c r="AI75" s="165"/>
      <c r="AJ75" s="400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381"/>
      <c r="BB75" s="165"/>
      <c r="BC75" s="165"/>
      <c r="BD75" s="165"/>
      <c r="BE75" s="256">
        <f>BN66</f>
        <v>7</v>
      </c>
      <c r="BF75" s="136" t="e">
        <f t="shared" si="105"/>
        <v>#NUM!</v>
      </c>
      <c r="BG75" s="73">
        <f t="shared" si="103"/>
        <v>0</v>
      </c>
      <c r="BH75" s="73">
        <f t="shared" si="106"/>
        <v>1568050.3491999998</v>
      </c>
      <c r="BI75" s="73">
        <f t="shared" si="106"/>
        <v>1555150.2492</v>
      </c>
      <c r="BJ75" s="73">
        <f t="shared" si="106"/>
        <v>1291992.1472</v>
      </c>
      <c r="BK75" s="73">
        <f t="shared" si="106"/>
        <v>28570.883159999968</v>
      </c>
      <c r="BL75" s="73">
        <f t="shared" si="106"/>
        <v>1514881.1938391998</v>
      </c>
      <c r="BM75" s="73">
        <f t="shared" si="106"/>
        <v>1722223.2456519837</v>
      </c>
      <c r="BN75" s="73">
        <f t="shared" si="106"/>
        <v>26728743.173719957</v>
      </c>
      <c r="BO75" s="73">
        <f t="shared" si="106"/>
        <v>0</v>
      </c>
      <c r="BP75" s="73">
        <f t="shared" si="106"/>
        <v>0</v>
      </c>
      <c r="BQ75" s="73">
        <f t="shared" si="106"/>
        <v>0</v>
      </c>
      <c r="BR75" s="73" t="str">
        <f t="shared" si="104"/>
        <v/>
      </c>
      <c r="BS75" s="73" t="str">
        <f t="shared" si="104"/>
        <v/>
      </c>
      <c r="BT75" s="73" t="str">
        <f t="shared" si="104"/>
        <v/>
      </c>
      <c r="BU75" s="73" t="str">
        <f t="shared" si="104"/>
        <v/>
      </c>
      <c r="BV75" s="73" t="str">
        <f t="shared" si="104"/>
        <v/>
      </c>
      <c r="BW75" s="165"/>
      <c r="BZ75" s="593" t="str">
        <f>CA68</f>
        <v> </v>
      </c>
      <c r="CA75" s="556"/>
      <c r="CB75" s="449"/>
      <c r="CC75" s="449"/>
      <c r="CD75" s="449"/>
      <c r="CE75" s="449"/>
      <c r="CF75" s="449"/>
      <c r="CG75" s="449"/>
      <c r="CH75" s="449"/>
      <c r="CI75" s="449"/>
      <c r="CJ75" s="449"/>
      <c r="CK75" s="449"/>
      <c r="CL75" s="449"/>
      <c r="CM75" s="449"/>
      <c r="CN75" s="449"/>
      <c r="CO75" s="449"/>
      <c r="CP75" s="449"/>
      <c r="CQ75" s="449"/>
      <c r="CR75" s="449"/>
      <c r="CS75" s="449"/>
      <c r="CT75" s="449"/>
    </row>
    <row r="76" spans="2:98"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Z76" s="67" t="s">
        <v>269</v>
      </c>
      <c r="AA76" s="260"/>
      <c r="AB76" s="159">
        <f>E60/$D$16</f>
        <v>0</v>
      </c>
      <c r="AC76" s="198"/>
      <c r="AG76" s="165"/>
      <c r="AH76" s="165"/>
      <c r="AI76" s="165"/>
      <c r="AJ76" s="400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381"/>
      <c r="BB76" s="165"/>
      <c r="BC76" s="165"/>
      <c r="BD76" s="165"/>
      <c r="BE76" s="256">
        <f>BO66</f>
        <v>8</v>
      </c>
      <c r="BF76" s="136" t="e">
        <f t="shared" si="105"/>
        <v>#NUM!</v>
      </c>
      <c r="BG76" s="73">
        <f t="shared" si="103"/>
        <v>0</v>
      </c>
      <c r="BH76" s="73">
        <f t="shared" si="106"/>
        <v>1568050.3491999998</v>
      </c>
      <c r="BI76" s="73">
        <f t="shared" si="106"/>
        <v>1555150.2492</v>
      </c>
      <c r="BJ76" s="73">
        <f t="shared" si="106"/>
        <v>1291992.1472</v>
      </c>
      <c r="BK76" s="73">
        <f t="shared" si="106"/>
        <v>28570.883159999968</v>
      </c>
      <c r="BL76" s="73">
        <f t="shared" si="106"/>
        <v>1514881.1938391998</v>
      </c>
      <c r="BM76" s="73">
        <f t="shared" si="106"/>
        <v>1722223.2456519837</v>
      </c>
      <c r="BN76" s="73">
        <f t="shared" si="106"/>
        <v>1707980.4928826233</v>
      </c>
      <c r="BO76" s="73">
        <f t="shared" si="106"/>
        <v>26331797.793293282</v>
      </c>
      <c r="BP76" s="73">
        <f t="shared" si="106"/>
        <v>0</v>
      </c>
      <c r="BQ76" s="73">
        <f t="shared" si="106"/>
        <v>0</v>
      </c>
      <c r="BR76" s="73" t="str">
        <f t="shared" si="104"/>
        <v/>
      </c>
      <c r="BS76" s="73" t="str">
        <f t="shared" si="104"/>
        <v/>
      </c>
      <c r="BT76" s="73" t="str">
        <f t="shared" si="104"/>
        <v/>
      </c>
      <c r="BU76" s="73" t="str">
        <f t="shared" si="104"/>
        <v/>
      </c>
      <c r="BV76" s="73" t="str">
        <f t="shared" si="104"/>
        <v/>
      </c>
      <c r="BW76" s="165"/>
      <c r="BZ76" s="594" t="s">
        <v>158</v>
      </c>
      <c r="CA76" s="595" t="s">
        <v>158</v>
      </c>
      <c r="CB76" s="449"/>
      <c r="CC76" s="449"/>
      <c r="CD76" s="449"/>
      <c r="CE76" s="449"/>
      <c r="CF76" s="449"/>
      <c r="CG76" s="449"/>
      <c r="CH76" s="449"/>
      <c r="CI76" s="449"/>
      <c r="CJ76" s="449"/>
      <c r="CK76" s="449"/>
      <c r="CL76" s="449"/>
      <c r="CM76" s="449"/>
      <c r="CN76" s="449"/>
      <c r="CO76" s="449"/>
      <c r="CP76" s="449"/>
      <c r="CQ76" s="449"/>
      <c r="CR76" s="449"/>
      <c r="CS76" s="449"/>
      <c r="CT76" s="449"/>
    </row>
    <row r="77" spans="2:98"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Z77" s="67" t="s">
        <v>272</v>
      </c>
      <c r="AA77" s="260"/>
      <c r="AB77" s="115">
        <f>E61/$D$16</f>
        <v>0.5</v>
      </c>
      <c r="AC77" s="198"/>
      <c r="AG77" s="165"/>
      <c r="AH77" s="165"/>
      <c r="AI77" s="165"/>
      <c r="AJ77" s="400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381"/>
      <c r="BB77" s="165"/>
      <c r="BC77" s="165"/>
      <c r="BD77" s="165"/>
      <c r="BE77" s="256">
        <f>BP66</f>
        <v>9</v>
      </c>
      <c r="BF77" s="136" t="e">
        <f t="shared" si="105"/>
        <v>#NUM!</v>
      </c>
      <c r="BG77" s="73">
        <f t="shared" si="103"/>
        <v>0</v>
      </c>
      <c r="BH77" s="73">
        <f t="shared" si="106"/>
        <v>1568050.3491999998</v>
      </c>
      <c r="BI77" s="73">
        <f t="shared" si="106"/>
        <v>1555150.2492</v>
      </c>
      <c r="BJ77" s="73">
        <f t="shared" si="106"/>
        <v>1291992.1472</v>
      </c>
      <c r="BK77" s="73">
        <f t="shared" si="106"/>
        <v>28570.883159999968</v>
      </c>
      <c r="BL77" s="73">
        <f t="shared" si="106"/>
        <v>1514881.1938391998</v>
      </c>
      <c r="BM77" s="73">
        <f t="shared" si="106"/>
        <v>1722223.2456519837</v>
      </c>
      <c r="BN77" s="73">
        <f t="shared" si="106"/>
        <v>1707980.4928826233</v>
      </c>
      <c r="BO77" s="73">
        <f t="shared" si="106"/>
        <v>1693452.8850578757</v>
      </c>
      <c r="BP77" s="73">
        <f t="shared" si="106"/>
        <v>25936137.412173096</v>
      </c>
      <c r="BQ77" s="73">
        <f t="shared" si="106"/>
        <v>0</v>
      </c>
      <c r="BR77" s="73" t="str">
        <f t="shared" si="104"/>
        <v/>
      </c>
      <c r="BS77" s="73" t="str">
        <f t="shared" si="104"/>
        <v/>
      </c>
      <c r="BT77" s="73" t="str">
        <f t="shared" si="104"/>
        <v/>
      </c>
      <c r="BU77" s="73" t="str">
        <f t="shared" si="104"/>
        <v/>
      </c>
      <c r="BV77" s="73" t="str">
        <f t="shared" si="104"/>
        <v/>
      </c>
      <c r="BW77" s="165"/>
      <c r="BZ77" s="592" t="s">
        <v>315</v>
      </c>
      <c r="CA77" s="556"/>
      <c r="CB77" s="449"/>
      <c r="CC77" s="449"/>
      <c r="CD77" s="449"/>
      <c r="CE77" s="449"/>
      <c r="CF77" s="449"/>
      <c r="CG77" s="449"/>
      <c r="CH77" s="449"/>
      <c r="CI77" s="449"/>
      <c r="CJ77" s="449"/>
      <c r="CK77" s="449"/>
      <c r="CL77" s="449"/>
      <c r="CM77" s="449"/>
      <c r="CN77" s="449"/>
      <c r="CO77" s="449"/>
      <c r="CP77" s="449"/>
      <c r="CQ77" s="449"/>
      <c r="CR77" s="449"/>
      <c r="CS77" s="449"/>
      <c r="CT77" s="449"/>
    </row>
    <row r="78" spans="2:98">
      <c r="U78" s="164"/>
      <c r="V78" s="164"/>
      <c r="Z78" s="67" t="s">
        <v>276</v>
      </c>
      <c r="AA78" s="260"/>
      <c r="AB78" s="159">
        <f>E62/$D$16</f>
        <v>0</v>
      </c>
      <c r="AC78" s="198"/>
      <c r="AG78" s="165"/>
      <c r="AH78" s="165"/>
      <c r="AI78" s="165"/>
      <c r="AJ78" s="400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381"/>
      <c r="BB78" s="165"/>
      <c r="BC78" s="165"/>
      <c r="BD78" s="165"/>
      <c r="BE78" s="256">
        <f>BQ66</f>
        <v>10</v>
      </c>
      <c r="BF78" s="136" t="e">
        <f t="shared" si="105"/>
        <v>#NUM!</v>
      </c>
      <c r="BG78" s="73">
        <f t="shared" si="103"/>
        <v>0</v>
      </c>
      <c r="BH78" s="73">
        <f t="shared" si="106"/>
        <v>1568050.3491999998</v>
      </c>
      <c r="BI78" s="73">
        <f t="shared" si="106"/>
        <v>1555150.2492</v>
      </c>
      <c r="BJ78" s="73">
        <f t="shared" si="106"/>
        <v>1291992.1472</v>
      </c>
      <c r="BK78" s="73">
        <f t="shared" si="106"/>
        <v>28570.883159999968</v>
      </c>
      <c r="BL78" s="73">
        <f t="shared" si="106"/>
        <v>1514881.1938391998</v>
      </c>
      <c r="BM78" s="73">
        <f t="shared" si="106"/>
        <v>1722223.2456519837</v>
      </c>
      <c r="BN78" s="73">
        <f t="shared" si="106"/>
        <v>1707980.4928826233</v>
      </c>
      <c r="BO78" s="73">
        <f t="shared" si="106"/>
        <v>1693452.8850578757</v>
      </c>
      <c r="BP78" s="73">
        <f t="shared" si="106"/>
        <v>1678634.7250766333</v>
      </c>
      <c r="BQ78" s="137">
        <f t="shared" si="106"/>
        <v>25541643.450659752</v>
      </c>
      <c r="BR78" s="73" t="str">
        <f t="shared" si="104"/>
        <v/>
      </c>
      <c r="BS78" s="73" t="str">
        <f t="shared" si="104"/>
        <v/>
      </c>
      <c r="BT78" s="73" t="str">
        <f t="shared" si="104"/>
        <v/>
      </c>
      <c r="BU78" s="73" t="str">
        <f t="shared" si="104"/>
        <v/>
      </c>
      <c r="BV78" s="73" t="str">
        <f t="shared" si="104"/>
        <v/>
      </c>
      <c r="BW78" s="165"/>
      <c r="BZ78" s="592" t="s">
        <v>321</v>
      </c>
      <c r="CA78" s="556"/>
      <c r="CB78" s="449"/>
      <c r="CC78" s="449"/>
      <c r="CD78" s="449"/>
      <c r="CE78" s="449"/>
      <c r="CF78" s="449"/>
      <c r="CG78" s="449"/>
      <c r="CH78" s="449"/>
      <c r="CI78" s="449"/>
      <c r="CJ78" s="449"/>
      <c r="CK78" s="449"/>
      <c r="CL78" s="449"/>
      <c r="CM78" s="449"/>
      <c r="CN78" s="449"/>
      <c r="CO78" s="449"/>
      <c r="CP78" s="449"/>
      <c r="CQ78" s="449"/>
      <c r="CR78" s="449"/>
      <c r="CS78" s="449"/>
      <c r="CT78" s="449"/>
    </row>
    <row r="79" spans="2:98">
      <c r="Z79" s="103" t="s">
        <v>233</v>
      </c>
      <c r="AA79" s="260"/>
      <c r="AB79" s="69">
        <f>SUM(AB75:AB78)</f>
        <v>0.5</v>
      </c>
      <c r="AC79" s="198"/>
      <c r="AG79" s="165"/>
      <c r="AH79" s="165"/>
      <c r="AI79" s="165"/>
      <c r="AJ79" s="400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381"/>
      <c r="BB79" s="165"/>
      <c r="BC79" s="165"/>
      <c r="BD79" s="165"/>
      <c r="BE79" s="256" t="str">
        <f>BR66</f>
        <v/>
      </c>
      <c r="BF79" s="136" t="str">
        <f t="shared" si="105"/>
        <v/>
      </c>
      <c r="BG79" s="73" t="str">
        <f t="shared" ref="BG79:BQ83" si="108">IF(OR(BG$65="",$AU79=""),"",(BG$65&lt;=$AU79)*(-BG$13+BG$24)+(BG$65=$AU79)*BG$33)</f>
        <v/>
      </c>
      <c r="BH79" s="73" t="str">
        <f t="shared" si="108"/>
        <v/>
      </c>
      <c r="BI79" s="73" t="str">
        <f t="shared" si="108"/>
        <v/>
      </c>
      <c r="BJ79" s="73" t="str">
        <f t="shared" si="108"/>
        <v/>
      </c>
      <c r="BK79" s="73" t="str">
        <f t="shared" si="108"/>
        <v/>
      </c>
      <c r="BL79" s="73" t="str">
        <f t="shared" si="108"/>
        <v/>
      </c>
      <c r="BM79" s="73" t="str">
        <f t="shared" si="108"/>
        <v/>
      </c>
      <c r="BN79" s="73" t="str">
        <f t="shared" si="108"/>
        <v/>
      </c>
      <c r="BO79" s="73" t="str">
        <f t="shared" si="108"/>
        <v/>
      </c>
      <c r="BP79" s="73" t="str">
        <f t="shared" si="108"/>
        <v/>
      </c>
      <c r="BQ79" s="73" t="str">
        <f t="shared" si="108"/>
        <v/>
      </c>
      <c r="BR79" s="73" t="str">
        <f t="shared" si="104"/>
        <v/>
      </c>
      <c r="BS79" s="73" t="str">
        <f t="shared" si="104"/>
        <v/>
      </c>
      <c r="BT79" s="73" t="str">
        <f t="shared" si="104"/>
        <v/>
      </c>
      <c r="BU79" s="73" t="str">
        <f t="shared" si="104"/>
        <v/>
      </c>
      <c r="BV79" s="73" t="str">
        <f t="shared" si="104"/>
        <v/>
      </c>
      <c r="BW79" s="165"/>
      <c r="BZ79" s="592" t="str">
        <f>"Total Distributions ("&amp;BZ67&amp;")"</f>
        <v>Total Distributions (Tier 2)</v>
      </c>
      <c r="CA79" s="556"/>
      <c r="CB79" s="449"/>
      <c r="CC79" s="449"/>
      <c r="CD79" s="449"/>
      <c r="CE79" s="449"/>
      <c r="CF79" s="449"/>
      <c r="CG79" s="449"/>
      <c r="CH79" s="449"/>
      <c r="CI79" s="449"/>
      <c r="CJ79" s="449"/>
      <c r="CK79" s="449"/>
      <c r="CL79" s="449"/>
      <c r="CM79" s="449"/>
      <c r="CN79" s="449"/>
      <c r="CO79" s="449"/>
      <c r="CP79" s="449"/>
      <c r="CQ79" s="449"/>
      <c r="CR79" s="449"/>
      <c r="CS79" s="449"/>
      <c r="CT79" s="449"/>
    </row>
    <row r="80" spans="2:98" ht="15.75">
      <c r="B80" s="172"/>
      <c r="C80" s="173" t="s">
        <v>1</v>
      </c>
      <c r="D80" s="176"/>
      <c r="E80" s="173" t="s">
        <v>1</v>
      </c>
      <c r="G80" s="332"/>
      <c r="H80" s="332"/>
      <c r="I80" s="332"/>
      <c r="J80" s="332" t="s">
        <v>1</v>
      </c>
      <c r="K80" s="332" t="s">
        <v>1</v>
      </c>
      <c r="L80" s="332" t="s">
        <v>1</v>
      </c>
      <c r="M80" s="332" t="s">
        <v>1</v>
      </c>
      <c r="N80" s="332" t="s">
        <v>1</v>
      </c>
      <c r="O80" s="332" t="s">
        <v>1</v>
      </c>
      <c r="P80" s="173" t="s">
        <v>1</v>
      </c>
      <c r="Z80" s="103"/>
      <c r="AA80" s="260"/>
      <c r="AB80" s="69"/>
      <c r="AC80" s="198"/>
      <c r="AG80" s="165"/>
      <c r="AH80" s="165"/>
      <c r="AI80" s="165"/>
      <c r="AJ80" s="400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381"/>
      <c r="BB80" s="165"/>
      <c r="BC80" s="165"/>
      <c r="BD80" s="165"/>
      <c r="BE80" s="256" t="str">
        <f>BS66</f>
        <v/>
      </c>
      <c r="BF80" s="136" t="str">
        <f t="shared" si="105"/>
        <v/>
      </c>
      <c r="BG80" s="73" t="str">
        <f t="shared" si="108"/>
        <v/>
      </c>
      <c r="BH80" s="73" t="str">
        <f t="shared" si="108"/>
        <v/>
      </c>
      <c r="BI80" s="73" t="str">
        <f t="shared" si="108"/>
        <v/>
      </c>
      <c r="BJ80" s="73" t="str">
        <f t="shared" si="108"/>
        <v/>
      </c>
      <c r="BK80" s="73" t="str">
        <f t="shared" si="108"/>
        <v/>
      </c>
      <c r="BL80" s="73" t="str">
        <f t="shared" si="108"/>
        <v/>
      </c>
      <c r="BM80" s="73" t="str">
        <f t="shared" si="108"/>
        <v/>
      </c>
      <c r="BN80" s="73" t="str">
        <f t="shared" si="108"/>
        <v/>
      </c>
      <c r="BO80" s="73" t="str">
        <f t="shared" si="108"/>
        <v/>
      </c>
      <c r="BP80" s="73" t="str">
        <f t="shared" si="108"/>
        <v/>
      </c>
      <c r="BQ80" s="73" t="str">
        <f t="shared" si="108"/>
        <v/>
      </c>
      <c r="BR80" s="73" t="str">
        <f t="shared" si="104"/>
        <v/>
      </c>
      <c r="BS80" s="73" t="str">
        <f t="shared" si="104"/>
        <v/>
      </c>
      <c r="BT80" s="73" t="str">
        <f t="shared" si="104"/>
        <v/>
      </c>
      <c r="BU80" s="73" t="str">
        <f t="shared" si="104"/>
        <v/>
      </c>
      <c r="BV80" s="73" t="str">
        <f t="shared" si="104"/>
        <v/>
      </c>
      <c r="BW80" s="165"/>
      <c r="BZ80" s="592" t="s">
        <v>328</v>
      </c>
      <c r="CA80" s="556"/>
      <c r="CB80" s="449"/>
      <c r="CC80" s="449"/>
      <c r="CD80" s="449"/>
      <c r="CE80" s="449"/>
      <c r="CF80" s="449"/>
      <c r="CG80" s="449"/>
      <c r="CH80" s="449"/>
      <c r="CI80" s="449"/>
      <c r="CJ80" s="449"/>
      <c r="CK80" s="449"/>
      <c r="CL80" s="449"/>
      <c r="CM80" s="449"/>
      <c r="CN80" s="449"/>
      <c r="CO80" s="449"/>
      <c r="CP80" s="449"/>
      <c r="CQ80" s="449"/>
      <c r="CR80" s="449"/>
      <c r="CS80" s="449"/>
      <c r="CT80" s="449"/>
    </row>
    <row r="81" spans="2:98" ht="15.75">
      <c r="B81" s="333"/>
      <c r="C81" s="332" t="s">
        <v>1</v>
      </c>
      <c r="D81" s="178"/>
      <c r="E81" s="332" t="s">
        <v>7</v>
      </c>
      <c r="F81" s="332"/>
      <c r="G81" s="332"/>
      <c r="H81" s="332"/>
      <c r="I81" s="332"/>
      <c r="J81" s="332" t="s">
        <v>1</v>
      </c>
      <c r="K81" s="332" t="s">
        <v>1</v>
      </c>
      <c r="L81" s="332" t="s">
        <v>1</v>
      </c>
      <c r="M81" s="332" t="s">
        <v>1</v>
      </c>
      <c r="N81" s="332" t="s">
        <v>1</v>
      </c>
      <c r="O81" s="332" t="s">
        <v>1</v>
      </c>
      <c r="P81" s="332" t="s">
        <v>1</v>
      </c>
      <c r="Z81" s="106" t="s">
        <v>237</v>
      </c>
      <c r="AA81" s="260"/>
      <c r="AB81" s="158">
        <f>AB73-AB79</f>
        <v>-14.268999999999998</v>
      </c>
      <c r="AC81" s="198"/>
      <c r="AG81" s="165"/>
      <c r="AH81" s="165"/>
      <c r="AI81" s="165"/>
      <c r="AJ81" s="400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381"/>
      <c r="BB81" s="165"/>
      <c r="BC81" s="165"/>
      <c r="BD81" s="165"/>
      <c r="BE81" s="256" t="str">
        <f>BT66</f>
        <v/>
      </c>
      <c r="BF81" s="136" t="str">
        <f t="shared" si="105"/>
        <v/>
      </c>
      <c r="BG81" s="73" t="str">
        <f t="shared" si="108"/>
        <v/>
      </c>
      <c r="BH81" s="73" t="str">
        <f t="shared" si="108"/>
        <v/>
      </c>
      <c r="BI81" s="73" t="str">
        <f t="shared" si="108"/>
        <v/>
      </c>
      <c r="BJ81" s="73" t="str">
        <f t="shared" si="108"/>
        <v/>
      </c>
      <c r="BK81" s="73" t="str">
        <f t="shared" si="108"/>
        <v/>
      </c>
      <c r="BL81" s="73" t="str">
        <f t="shared" si="108"/>
        <v/>
      </c>
      <c r="BM81" s="73" t="str">
        <f t="shared" si="108"/>
        <v/>
      </c>
      <c r="BN81" s="73" t="str">
        <f t="shared" si="108"/>
        <v/>
      </c>
      <c r="BO81" s="73" t="str">
        <f t="shared" si="108"/>
        <v/>
      </c>
      <c r="BP81" s="73" t="str">
        <f t="shared" si="108"/>
        <v/>
      </c>
      <c r="BQ81" s="73" t="str">
        <f t="shared" si="108"/>
        <v/>
      </c>
      <c r="BR81" s="73" t="str">
        <f t="shared" si="104"/>
        <v/>
      </c>
      <c r="BS81" s="73" t="str">
        <f t="shared" si="104"/>
        <v/>
      </c>
      <c r="BT81" s="73" t="str">
        <f t="shared" si="104"/>
        <v/>
      </c>
      <c r="BU81" s="73" t="str">
        <f t="shared" si="104"/>
        <v/>
      </c>
      <c r="BV81" s="73" t="str">
        <f t="shared" si="104"/>
        <v/>
      </c>
      <c r="BW81" s="165"/>
      <c r="BZ81" s="592"/>
      <c r="CA81" s="556"/>
      <c r="CB81" s="449"/>
      <c r="CC81" s="449"/>
      <c r="CD81" s="449"/>
      <c r="CE81" s="449"/>
      <c r="CF81" s="449"/>
      <c r="CG81" s="449"/>
      <c r="CH81" s="449"/>
      <c r="CI81" s="449"/>
      <c r="CJ81" s="449"/>
      <c r="CK81" s="449"/>
      <c r="CL81" s="449"/>
      <c r="CM81" s="449"/>
      <c r="CN81" s="449"/>
      <c r="CO81" s="449"/>
      <c r="CP81" s="449"/>
      <c r="CQ81" s="449"/>
      <c r="CR81" s="449"/>
      <c r="CS81" s="449"/>
      <c r="CT81" s="449"/>
    </row>
    <row r="82" spans="2:98" ht="15.75">
      <c r="Z82" s="260"/>
      <c r="AA82" s="260"/>
      <c r="AB82" s="260"/>
      <c r="AC82" s="198"/>
      <c r="AG82" s="165"/>
      <c r="AH82" s="165"/>
      <c r="AI82" s="165"/>
      <c r="AJ82" s="400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381"/>
      <c r="BB82" s="165"/>
      <c r="BC82" s="165"/>
      <c r="BD82" s="165"/>
      <c r="BE82" s="256" t="str">
        <f>BU66</f>
        <v/>
      </c>
      <c r="BF82" s="136" t="str">
        <f t="shared" si="105"/>
        <v/>
      </c>
      <c r="BG82" s="73" t="str">
        <f t="shared" si="108"/>
        <v/>
      </c>
      <c r="BH82" s="73" t="str">
        <f t="shared" si="108"/>
        <v/>
      </c>
      <c r="BI82" s="73" t="str">
        <f t="shared" si="108"/>
        <v/>
      </c>
      <c r="BJ82" s="73" t="str">
        <f t="shared" si="108"/>
        <v/>
      </c>
      <c r="BK82" s="73" t="str">
        <f t="shared" si="108"/>
        <v/>
      </c>
      <c r="BL82" s="73" t="str">
        <f t="shared" si="108"/>
        <v/>
      </c>
      <c r="BM82" s="73" t="str">
        <f t="shared" si="108"/>
        <v/>
      </c>
      <c r="BN82" s="73" t="str">
        <f t="shared" si="108"/>
        <v/>
      </c>
      <c r="BO82" s="73" t="str">
        <f t="shared" si="108"/>
        <v/>
      </c>
      <c r="BP82" s="73" t="str">
        <f t="shared" si="108"/>
        <v/>
      </c>
      <c r="BQ82" s="73" t="str">
        <f t="shared" si="108"/>
        <v/>
      </c>
      <c r="BR82" s="73" t="str">
        <f t="shared" si="104"/>
        <v/>
      </c>
      <c r="BS82" s="73" t="str">
        <f t="shared" si="104"/>
        <v/>
      </c>
      <c r="BT82" s="73" t="str">
        <f t="shared" si="104"/>
        <v/>
      </c>
      <c r="BU82" s="73" t="str">
        <f t="shared" si="104"/>
        <v/>
      </c>
      <c r="BV82" s="73" t="str">
        <f t="shared" si="104"/>
        <v/>
      </c>
      <c r="BW82" s="165"/>
      <c r="BZ82" s="589" t="s">
        <v>339</v>
      </c>
      <c r="CA82" s="569"/>
      <c r="CB82" s="569"/>
      <c r="CC82" s="569"/>
      <c r="CD82" s="584" t="str">
        <f t="shared" ref="CD82:CN82" si="109">CD67</f>
        <v>Year 0</v>
      </c>
      <c r="CE82" s="584" t="str">
        <f t="shared" si="109"/>
        <v>Year 1</v>
      </c>
      <c r="CF82" s="584" t="str">
        <f t="shared" si="109"/>
        <v>Year 2</v>
      </c>
      <c r="CG82" s="584" t="str">
        <f t="shared" si="109"/>
        <v>Year 3</v>
      </c>
      <c r="CH82" s="584" t="str">
        <f t="shared" si="109"/>
        <v>Year 4</v>
      </c>
      <c r="CI82" s="584" t="str">
        <f t="shared" si="109"/>
        <v>Year 5</v>
      </c>
      <c r="CJ82" s="584" t="str">
        <f t="shared" si="109"/>
        <v>Year 6</v>
      </c>
      <c r="CK82" s="584" t="str">
        <f t="shared" si="109"/>
        <v>Year 7</v>
      </c>
      <c r="CL82" s="584" t="str">
        <f t="shared" si="109"/>
        <v>Year 8</v>
      </c>
      <c r="CM82" s="584" t="str">
        <f t="shared" si="109"/>
        <v>Year 9</v>
      </c>
      <c r="CN82" s="584" t="str">
        <f t="shared" si="109"/>
        <v>Year 10</v>
      </c>
      <c r="CO82" s="520" t="s">
        <v>1</v>
      </c>
      <c r="CP82" s="585" t="str">
        <f>CP$20</f>
        <v> </v>
      </c>
      <c r="CQ82" s="585" t="str">
        <f>CQ$20</f>
        <v> </v>
      </c>
      <c r="CR82" s="585" t="str">
        <f>CR$20</f>
        <v> </v>
      </c>
      <c r="CS82" s="585" t="str">
        <f>CS$20</f>
        <v> </v>
      </c>
      <c r="CT82" s="449"/>
    </row>
    <row r="83" spans="2:98"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Z83" s="253"/>
      <c r="AA83" s="253"/>
      <c r="AB83" s="253"/>
      <c r="AG83" s="165"/>
      <c r="AH83" s="165"/>
      <c r="AI83" s="165"/>
      <c r="AJ83" s="400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381"/>
      <c r="BB83" s="165"/>
      <c r="BC83" s="165"/>
      <c r="BD83" s="165"/>
      <c r="BE83" s="256" t="str">
        <f>BV66</f>
        <v/>
      </c>
      <c r="BF83" s="136" t="str">
        <f t="shared" si="105"/>
        <v/>
      </c>
      <c r="BG83" s="73" t="str">
        <f t="shared" si="108"/>
        <v/>
      </c>
      <c r="BH83" s="73" t="str">
        <f t="shared" si="108"/>
        <v/>
      </c>
      <c r="BI83" s="73" t="str">
        <f t="shared" si="108"/>
        <v/>
      </c>
      <c r="BJ83" s="73" t="str">
        <f t="shared" si="108"/>
        <v/>
      </c>
      <c r="BK83" s="73" t="str">
        <f t="shared" si="108"/>
        <v/>
      </c>
      <c r="BL83" s="73" t="str">
        <f t="shared" si="108"/>
        <v/>
      </c>
      <c r="BM83" s="73" t="str">
        <f t="shared" si="108"/>
        <v/>
      </c>
      <c r="BN83" s="73" t="str">
        <f t="shared" si="108"/>
        <v/>
      </c>
      <c r="BO83" s="73" t="str">
        <f t="shared" si="108"/>
        <v/>
      </c>
      <c r="BP83" s="73" t="str">
        <f t="shared" si="108"/>
        <v/>
      </c>
      <c r="BQ83" s="73" t="str">
        <f t="shared" si="108"/>
        <v/>
      </c>
      <c r="BR83" s="73" t="str">
        <f>IF(OR(BR$65="",$AU83=""),"",(BR$65&lt;=$AU83)*(-BR$13+BR$24)+(BR$65=$AU83)*BR$33)</f>
        <v/>
      </c>
      <c r="BS83" s="73" t="str">
        <f>IF(OR(BS$65="",$AU83=""),"",(BS$65&lt;=$AU83)*(-BS$13+BS$24)+(BS$65=$AU83)*BS$33)</f>
        <v/>
      </c>
      <c r="BT83" s="73" t="str">
        <f>IF(OR(BT$65="",$AU83=""),"",(BT$65&lt;=$AU83)*(-BT$13+BT$24)+(BT$65=$AU83)*BT$33)</f>
        <v/>
      </c>
      <c r="BU83" s="73" t="str">
        <f>IF(OR(BU$65="",$AU83=""),"",(BU$65&lt;=$AU83)*(-BU$13+BU$24)+(BU$65=$AU83)*BU$33)</f>
        <v/>
      </c>
      <c r="BV83" s="73" t="str">
        <f t="shared" si="104"/>
        <v/>
      </c>
      <c r="BW83" s="165"/>
      <c r="BZ83" s="590" t="s">
        <v>305</v>
      </c>
      <c r="CA83" s="591" t="str">
        <f>CA19</f>
        <v> </v>
      </c>
      <c r="CB83" s="449"/>
      <c r="CC83" s="449"/>
      <c r="CD83" s="449"/>
      <c r="CE83" s="449"/>
      <c r="CF83" s="449"/>
      <c r="CG83" s="449"/>
      <c r="CH83" s="449"/>
      <c r="CI83" s="449"/>
      <c r="CJ83" s="449"/>
      <c r="CK83" s="449"/>
      <c r="CL83" s="449"/>
      <c r="CM83" s="449"/>
      <c r="CN83" s="449"/>
      <c r="CO83" s="449"/>
      <c r="CP83" s="449"/>
      <c r="CQ83" s="449"/>
      <c r="CR83" s="449"/>
      <c r="CS83" s="449"/>
      <c r="CT83" s="449"/>
    </row>
    <row r="84" spans="2:98">
      <c r="B84" s="334" t="s">
        <v>340</v>
      </c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Z84" s="253"/>
      <c r="AA84" s="253"/>
      <c r="AB84" s="253"/>
      <c r="AG84" s="165"/>
      <c r="AH84" s="165"/>
      <c r="AI84" s="165"/>
      <c r="AJ84" s="400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381"/>
      <c r="BB84" s="165"/>
      <c r="BC84" s="165"/>
      <c r="BD84" s="165"/>
      <c r="BE84" s="254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65"/>
      <c r="BZ84" s="592" t="s">
        <v>306</v>
      </c>
      <c r="CA84" s="556"/>
      <c r="CB84" s="449"/>
      <c r="CC84" s="449"/>
      <c r="CD84" s="449"/>
      <c r="CE84" s="449"/>
      <c r="CF84" s="449"/>
      <c r="CG84" s="449"/>
      <c r="CH84" s="449"/>
      <c r="CI84" s="449"/>
      <c r="CJ84" s="449"/>
      <c r="CK84" s="449"/>
      <c r="CL84" s="449"/>
      <c r="CM84" s="449"/>
      <c r="CN84" s="449"/>
      <c r="CO84" s="449"/>
      <c r="CP84" s="449"/>
      <c r="CQ84" s="449"/>
      <c r="CR84" s="449"/>
      <c r="CS84" s="449"/>
      <c r="CT84" s="449"/>
    </row>
    <row r="85" spans="2:98"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164"/>
      <c r="V85" s="164"/>
      <c r="Z85" s="253"/>
      <c r="AA85" s="253"/>
      <c r="AB85" s="253"/>
      <c r="AG85" s="165"/>
      <c r="AH85" s="165"/>
      <c r="AI85" s="165"/>
      <c r="AJ85" s="400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381"/>
      <c r="BB85" s="165"/>
      <c r="BC85" s="165"/>
      <c r="BD85" s="165"/>
      <c r="BE85" s="268" t="s">
        <v>341</v>
      </c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165"/>
      <c r="BZ85" s="592" t="s">
        <v>342</v>
      </c>
      <c r="CA85" s="556"/>
      <c r="CB85" s="449"/>
      <c r="CC85" s="449"/>
      <c r="CD85" s="449"/>
      <c r="CE85" s="449"/>
      <c r="CF85" s="449"/>
      <c r="CG85" s="449"/>
      <c r="CH85" s="449"/>
      <c r="CI85" s="449"/>
      <c r="CJ85" s="449"/>
      <c r="CK85" s="449"/>
      <c r="CL85" s="449"/>
      <c r="CM85" s="449"/>
      <c r="CN85" s="449"/>
      <c r="CO85" s="449"/>
      <c r="CP85" s="449"/>
      <c r="CQ85" s="449"/>
      <c r="CR85" s="449"/>
      <c r="CS85" s="449"/>
      <c r="CT85" s="449"/>
    </row>
    <row r="86" spans="2:98">
      <c r="B86" s="334" t="s">
        <v>343</v>
      </c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225"/>
      <c r="P86" s="225"/>
      <c r="Q86" s="225"/>
      <c r="R86" s="225"/>
      <c r="S86" s="225"/>
      <c r="T86" s="225"/>
      <c r="U86" s="164"/>
      <c r="V86" s="164"/>
      <c r="AG86" s="165"/>
      <c r="AH86" s="165"/>
      <c r="AI86" s="165"/>
      <c r="AJ86" s="400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381"/>
      <c r="BB86" s="165"/>
      <c r="BC86" s="165"/>
      <c r="BD86" s="165"/>
      <c r="BE86" s="66" t="s">
        <v>330</v>
      </c>
      <c r="BF86" s="59"/>
      <c r="BG86" s="65">
        <f t="shared" ref="BG86:BV86" si="110">IF(BG$42="","",BG$7)</f>
        <v>0</v>
      </c>
      <c r="BH86" s="65">
        <f t="shared" ref="BH86:BQ86" si="111">BH8</f>
        <v>1</v>
      </c>
      <c r="BI86" s="65">
        <f t="shared" si="111"/>
        <v>2</v>
      </c>
      <c r="BJ86" s="65">
        <f t="shared" si="111"/>
        <v>3</v>
      </c>
      <c r="BK86" s="65">
        <f t="shared" si="111"/>
        <v>4</v>
      </c>
      <c r="BL86" s="65">
        <f t="shared" si="111"/>
        <v>5</v>
      </c>
      <c r="BM86" s="65">
        <f t="shared" si="111"/>
        <v>6</v>
      </c>
      <c r="BN86" s="65">
        <f t="shared" si="111"/>
        <v>7</v>
      </c>
      <c r="BO86" s="65">
        <f t="shared" si="111"/>
        <v>8</v>
      </c>
      <c r="BP86" s="65">
        <f t="shared" si="111"/>
        <v>9</v>
      </c>
      <c r="BQ86" s="65">
        <f t="shared" si="111"/>
        <v>10</v>
      </c>
      <c r="BR86" s="65" t="str">
        <f t="shared" si="110"/>
        <v/>
      </c>
      <c r="BS86" s="65" t="str">
        <f t="shared" si="110"/>
        <v/>
      </c>
      <c r="BT86" s="65" t="str">
        <f t="shared" si="110"/>
        <v/>
      </c>
      <c r="BU86" s="65" t="str">
        <f t="shared" si="110"/>
        <v/>
      </c>
      <c r="BV86" s="65" t="str">
        <f t="shared" si="110"/>
        <v/>
      </c>
      <c r="BW86" s="165"/>
      <c r="BZ86" s="592" t="s">
        <v>311</v>
      </c>
      <c r="CA86" s="556"/>
      <c r="CB86" s="449"/>
      <c r="CC86" s="449"/>
      <c r="CD86" s="449"/>
      <c r="CE86" s="449"/>
      <c r="CF86" s="449"/>
      <c r="CG86" s="449"/>
      <c r="CH86" s="449"/>
      <c r="CI86" s="449"/>
      <c r="CJ86" s="449"/>
      <c r="CK86" s="449"/>
      <c r="CL86" s="449"/>
      <c r="CM86" s="449"/>
      <c r="CN86" s="449"/>
      <c r="CO86" s="449"/>
      <c r="CP86" s="449"/>
      <c r="CQ86" s="449"/>
      <c r="CR86" s="449"/>
      <c r="CS86" s="449"/>
      <c r="CT86" s="449"/>
    </row>
    <row r="87" spans="2:98" ht="33">
      <c r="B87" s="342" t="s">
        <v>344</v>
      </c>
      <c r="C87" s="343" t="s">
        <v>345</v>
      </c>
      <c r="D87" s="342" t="s">
        <v>346</v>
      </c>
      <c r="E87" s="342" t="s">
        <v>88</v>
      </c>
      <c r="F87" s="55" t="s">
        <v>347</v>
      </c>
      <c r="G87" s="342" t="s">
        <v>348</v>
      </c>
      <c r="H87" s="55" t="s">
        <v>349</v>
      </c>
      <c r="I87" s="342" t="s">
        <v>350</v>
      </c>
      <c r="J87" s="342" t="s">
        <v>351</v>
      </c>
      <c r="K87" s="342" t="s">
        <v>352</v>
      </c>
      <c r="L87" s="342" t="s">
        <v>353</v>
      </c>
      <c r="M87" s="342" t="s">
        <v>354</v>
      </c>
      <c r="N87" s="342" t="s">
        <v>355</v>
      </c>
      <c r="O87" s="342" t="s">
        <v>356</v>
      </c>
      <c r="P87" s="342" t="s">
        <v>357</v>
      </c>
      <c r="Q87" s="342" t="s">
        <v>358</v>
      </c>
      <c r="R87" s="343" t="s">
        <v>359</v>
      </c>
      <c r="S87" s="225"/>
      <c r="T87" s="225"/>
      <c r="U87" s="164"/>
      <c r="V87" s="164"/>
      <c r="AG87" s="165"/>
      <c r="AH87" s="165"/>
      <c r="AI87" s="165"/>
      <c r="AJ87" s="400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381"/>
      <c r="BB87" s="165"/>
      <c r="BC87" s="165"/>
      <c r="BD87" s="165"/>
      <c r="BE87" s="103" t="s">
        <v>4</v>
      </c>
      <c r="BF87" s="59"/>
      <c r="BG87" s="59"/>
      <c r="BH87" s="136" t="str">
        <f t="shared" ref="BH87:BV87" si="112">IF(BH86="","",IFERROR(IRR(BH88:BH103),""))</f>
        <v/>
      </c>
      <c r="BI87" s="136" t="str">
        <f t="shared" si="112"/>
        <v/>
      </c>
      <c r="BJ87" s="136" t="str">
        <f t="shared" si="112"/>
        <v/>
      </c>
      <c r="BK87" s="136">
        <f t="shared" si="112"/>
        <v>-0.10415021859262608</v>
      </c>
      <c r="BL87" s="136" t="str">
        <f t="shared" si="112"/>
        <v/>
      </c>
      <c r="BM87" s="136" t="str">
        <f t="shared" si="112"/>
        <v/>
      </c>
      <c r="BN87" s="136" t="str">
        <f t="shared" si="112"/>
        <v/>
      </c>
      <c r="BO87" s="136" t="str">
        <f t="shared" si="112"/>
        <v/>
      </c>
      <c r="BP87" s="136" t="str">
        <f t="shared" si="112"/>
        <v/>
      </c>
      <c r="BQ87" s="136" t="str">
        <f t="shared" si="112"/>
        <v/>
      </c>
      <c r="BR87" s="136" t="str">
        <f t="shared" si="112"/>
        <v/>
      </c>
      <c r="BS87" s="136" t="str">
        <f t="shared" si="112"/>
        <v/>
      </c>
      <c r="BT87" s="136" t="str">
        <f t="shared" si="112"/>
        <v/>
      </c>
      <c r="BU87" s="136" t="str">
        <f t="shared" si="112"/>
        <v/>
      </c>
      <c r="BV87" s="136" t="str">
        <f t="shared" si="112"/>
        <v/>
      </c>
      <c r="BW87" s="165"/>
      <c r="BZ87" s="592" t="s">
        <v>338</v>
      </c>
      <c r="CA87" s="556"/>
      <c r="CB87" s="449"/>
      <c r="CC87" s="449"/>
      <c r="CD87" s="449"/>
      <c r="CE87" s="449"/>
      <c r="CF87" s="449"/>
      <c r="CG87" s="449"/>
      <c r="CH87" s="449"/>
      <c r="CI87" s="449"/>
      <c r="CJ87" s="449"/>
      <c r="CK87" s="449"/>
      <c r="CL87" s="449"/>
      <c r="CM87" s="449"/>
      <c r="CN87" s="449"/>
      <c r="CO87" s="449"/>
      <c r="CP87" s="449"/>
      <c r="CQ87" s="449"/>
      <c r="CR87" s="449"/>
      <c r="CS87" s="449"/>
      <c r="CT87" s="449"/>
    </row>
    <row r="88" spans="2:98">
      <c r="B88" s="225">
        <v>1</v>
      </c>
      <c r="C88" s="225" t="s">
        <v>360</v>
      </c>
      <c r="D88" s="225" t="s">
        <v>361</v>
      </c>
      <c r="E88" s="225" t="s">
        <v>362</v>
      </c>
      <c r="F88" s="335">
        <v>53766.5</v>
      </c>
      <c r="G88" s="441">
        <f>F88*12</f>
        <v>645198</v>
      </c>
      <c r="H88" s="335">
        <v>65183.166666666701</v>
      </c>
      <c r="I88" s="441">
        <f>H88*12</f>
        <v>782198.00000000047</v>
      </c>
      <c r="J88" s="335">
        <v>65183.166666666664</v>
      </c>
      <c r="K88" s="336">
        <f>J88*12</f>
        <v>782198</v>
      </c>
      <c r="L88" s="337">
        <v>45839</v>
      </c>
      <c r="M88" s="338">
        <v>49856</v>
      </c>
      <c r="N88" s="339">
        <v>120</v>
      </c>
      <c r="O88" s="225" t="s">
        <v>363</v>
      </c>
      <c r="P88" s="335">
        <f>J88</f>
        <v>65183.166666666664</v>
      </c>
      <c r="Q88" s="340">
        <v>20000</v>
      </c>
      <c r="R88" s="225"/>
      <c r="S88" s="225"/>
      <c r="T88" s="225"/>
      <c r="U88" s="164"/>
      <c r="V88" s="164"/>
      <c r="AG88" s="165"/>
      <c r="AH88" s="165"/>
      <c r="AI88" s="165"/>
      <c r="AJ88" s="400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381"/>
      <c r="BB88" s="165"/>
      <c r="BC88" s="165"/>
      <c r="BD88" s="165"/>
      <c r="BE88" s="256">
        <f>BG86</f>
        <v>0</v>
      </c>
      <c r="BF88" s="56"/>
      <c r="BG88" s="73">
        <f t="shared" ref="BG88:BG98" si="113">$BG$18-$BG$14</f>
        <v>15771195.297</v>
      </c>
      <c r="BH88" s="71" t="str">
        <f t="shared" ref="BH88:BV103" si="114">IF(OR(BH$65="",$AU88=""),"",(BH$65&lt;=$AU88)*(-BH$13+BH$17+BH$26)+(BH$65=$AU88)*(BH$33-BH$36))</f>
        <v/>
      </c>
      <c r="BI88" s="71" t="str">
        <f t="shared" si="114"/>
        <v/>
      </c>
      <c r="BJ88" s="71" t="str">
        <f t="shared" si="114"/>
        <v/>
      </c>
      <c r="BK88" s="71" t="str">
        <f t="shared" si="114"/>
        <v/>
      </c>
      <c r="BL88" s="71" t="str">
        <f t="shared" si="114"/>
        <v/>
      </c>
      <c r="BM88" s="71" t="str">
        <f t="shared" si="114"/>
        <v/>
      </c>
      <c r="BN88" s="71" t="str">
        <f t="shared" si="114"/>
        <v/>
      </c>
      <c r="BO88" s="71" t="str">
        <f t="shared" si="114"/>
        <v/>
      </c>
      <c r="BP88" s="71" t="str">
        <f t="shared" si="114"/>
        <v/>
      </c>
      <c r="BQ88" s="71" t="str">
        <f t="shared" si="114"/>
        <v/>
      </c>
      <c r="BR88" s="71" t="str">
        <f t="shared" si="114"/>
        <v/>
      </c>
      <c r="BS88" s="71" t="str">
        <f t="shared" si="114"/>
        <v/>
      </c>
      <c r="BT88" s="71" t="str">
        <f t="shared" si="114"/>
        <v/>
      </c>
      <c r="BU88" s="71" t="str">
        <f t="shared" si="114"/>
        <v/>
      </c>
      <c r="BV88" s="71" t="str">
        <f t="shared" si="114"/>
        <v/>
      </c>
      <c r="BW88" s="165"/>
      <c r="BZ88" s="592" t="str">
        <f>"Distributions to LP "&amp;BZ82</f>
        <v>Distributions to LP Tier 3</v>
      </c>
      <c r="CA88" s="556"/>
      <c r="CB88" s="449"/>
      <c r="CC88" s="449"/>
      <c r="CD88" s="449"/>
      <c r="CE88" s="449"/>
      <c r="CF88" s="449"/>
      <c r="CG88" s="449"/>
      <c r="CH88" s="449"/>
      <c r="CI88" s="449"/>
      <c r="CJ88" s="449"/>
      <c r="CK88" s="449"/>
      <c r="CL88" s="449"/>
      <c r="CM88" s="449"/>
      <c r="CN88" s="449"/>
      <c r="CO88" s="449"/>
      <c r="CP88" s="449"/>
      <c r="CQ88" s="449"/>
      <c r="CR88" s="449"/>
      <c r="CS88" s="449"/>
      <c r="CT88" s="449"/>
    </row>
    <row r="89" spans="2:98" ht="15.75" customHeight="1">
      <c r="B89" s="225">
        <v>2</v>
      </c>
      <c r="C89" s="225" t="s">
        <v>360</v>
      </c>
      <c r="D89" s="225" t="s">
        <v>364</v>
      </c>
      <c r="E89" s="225" t="s">
        <v>362</v>
      </c>
      <c r="F89" s="335">
        <v>26883.1</v>
      </c>
      <c r="G89" s="441">
        <f t="shared" ref="G89:G91" si="115">F89*12</f>
        <v>322597.19999999995</v>
      </c>
      <c r="H89" s="335">
        <v>26883.1</v>
      </c>
      <c r="I89" s="441">
        <f t="shared" ref="I89:I91" si="116">H89*12</f>
        <v>322597.19999999995</v>
      </c>
      <c r="J89" s="335">
        <v>26883.1</v>
      </c>
      <c r="K89" s="336">
        <f>J89*12</f>
        <v>322597.19999999995</v>
      </c>
      <c r="L89" s="337">
        <v>45839</v>
      </c>
      <c r="M89" s="338">
        <v>49856</v>
      </c>
      <c r="N89" s="339">
        <v>120</v>
      </c>
      <c r="O89" s="225" t="s">
        <v>363</v>
      </c>
      <c r="P89" s="335">
        <f>J89</f>
        <v>26883.1</v>
      </c>
      <c r="Q89" s="340">
        <v>10000</v>
      </c>
      <c r="R89" s="225"/>
      <c r="S89" s="225"/>
      <c r="T89" s="225"/>
      <c r="AG89" s="165"/>
      <c r="AH89" s="165"/>
      <c r="AI89" s="165"/>
      <c r="AJ89" s="400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381"/>
      <c r="BB89" s="165"/>
      <c r="BC89" s="165"/>
      <c r="BD89" s="165"/>
      <c r="BE89" s="256">
        <f>BH86</f>
        <v>1</v>
      </c>
      <c r="BF89" s="136" t="e">
        <f t="shared" ref="BF89:BF103" si="117">IF(BE89="","",IRR(BG89:BV89))</f>
        <v>#NUM!</v>
      </c>
      <c r="BG89" s="73">
        <f t="shared" si="113"/>
        <v>15771195.297</v>
      </c>
      <c r="BH89" s="73">
        <f t="shared" ref="BH89:BH98" si="118">(BH$86&lt;&gt;"") * ($BE89&lt;&gt;"") * ((BH$86&lt;=$BE89)*(-$BH$14+$BH$13+$BH$28) + (BH$86=$BE89)*($BH$34-$BH$37))</f>
        <v>9103153.529818153</v>
      </c>
      <c r="BI89" s="73">
        <f>($BH$86&lt;&gt;"") * ($BE$89&lt;&gt;"") * ((BI86&lt;=$BE$89)*(-$BH$50+$BH28) + (BI86=$BE$89)*$BH$54)</f>
        <v>0</v>
      </c>
      <c r="BJ89" s="73">
        <f>($BH$86&lt;&gt;"") * ($BE$89&lt;&gt;"") * ((BJ86&lt;=$BE$89)*(-$BH$50+$BH28) + (BJ86=$BE$89)*$BH$54)</f>
        <v>0</v>
      </c>
      <c r="BK89" s="73">
        <f>($BH$86&lt;&gt;"") * ($BE$89&lt;&gt;"") * ((BK86&lt;=$BE$89)*(-$BH$50+$BH28) + (BK86=$BE$89)*$BH$54)</f>
        <v>0</v>
      </c>
      <c r="BL89" s="73">
        <f>($BH$86&lt;&gt;"") * ($BE$89&lt;&gt;"") * ((BL86&lt;=$BE$89)*(-$BH$50+$BH28) + (BL86=$BE$89)*$BH$54)</f>
        <v>0</v>
      </c>
      <c r="BM89" s="73" t="str">
        <f t="shared" si="114"/>
        <v/>
      </c>
      <c r="BN89" s="73" t="str">
        <f t="shared" si="114"/>
        <v/>
      </c>
      <c r="BO89" s="73" t="str">
        <f t="shared" si="114"/>
        <v/>
      </c>
      <c r="BP89" s="73" t="str">
        <f t="shared" si="114"/>
        <v/>
      </c>
      <c r="BQ89" s="73" t="str">
        <f t="shared" si="114"/>
        <v/>
      </c>
      <c r="BR89" s="73" t="str">
        <f t="shared" si="114"/>
        <v/>
      </c>
      <c r="BS89" s="73" t="str">
        <f t="shared" si="114"/>
        <v/>
      </c>
      <c r="BT89" s="73" t="str">
        <f t="shared" si="114"/>
        <v/>
      </c>
      <c r="BU89" s="73" t="str">
        <f t="shared" si="114"/>
        <v/>
      </c>
      <c r="BV89" s="73" t="str">
        <f t="shared" si="114"/>
        <v/>
      </c>
      <c r="BW89" s="165"/>
      <c r="BZ89" s="592" t="s">
        <v>314</v>
      </c>
      <c r="CA89" s="556"/>
      <c r="CB89" s="449"/>
      <c r="CC89" s="449"/>
      <c r="CD89" s="449"/>
      <c r="CE89" s="449"/>
      <c r="CF89" s="449"/>
      <c r="CG89" s="449"/>
      <c r="CH89" s="449"/>
      <c r="CI89" s="449"/>
      <c r="CJ89" s="449"/>
      <c r="CK89" s="449"/>
      <c r="CL89" s="449"/>
      <c r="CM89" s="449"/>
      <c r="CN89" s="449"/>
      <c r="CO89" s="449"/>
      <c r="CP89" s="449"/>
      <c r="CQ89" s="449"/>
      <c r="CR89" s="449"/>
      <c r="CS89" s="449"/>
      <c r="CT89" s="449"/>
    </row>
    <row r="90" spans="2:98">
      <c r="B90" s="225">
        <v>3</v>
      </c>
      <c r="C90" s="225" t="s">
        <v>360</v>
      </c>
      <c r="D90" s="225" t="s">
        <v>365</v>
      </c>
      <c r="E90" s="225" t="s">
        <v>362</v>
      </c>
      <c r="F90" s="335">
        <v>21507.1</v>
      </c>
      <c r="G90" s="441">
        <f t="shared" si="115"/>
        <v>258085.19999999998</v>
      </c>
      <c r="H90" s="335">
        <v>21507.1</v>
      </c>
      <c r="I90" s="441">
        <f t="shared" si="116"/>
        <v>258085.19999999998</v>
      </c>
      <c r="J90" s="335">
        <v>21507.1</v>
      </c>
      <c r="K90" s="336">
        <f>J90*12</f>
        <v>258085.19999999998</v>
      </c>
      <c r="L90" s="337">
        <v>45839</v>
      </c>
      <c r="M90" s="338">
        <v>49856</v>
      </c>
      <c r="N90" s="339">
        <v>120</v>
      </c>
      <c r="O90" s="225" t="s">
        <v>363</v>
      </c>
      <c r="P90" s="335">
        <f>J90</f>
        <v>21507.1</v>
      </c>
      <c r="Q90" s="340">
        <v>8000</v>
      </c>
      <c r="R90" s="225"/>
      <c r="S90" s="225"/>
      <c r="T90" s="225"/>
      <c r="AG90" s="165"/>
      <c r="AH90" s="165"/>
      <c r="AI90" s="165"/>
      <c r="AJ90" s="400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381"/>
      <c r="BB90" s="165"/>
      <c r="BC90" s="165"/>
      <c r="BD90" s="165"/>
      <c r="BE90" s="256">
        <f>BI86</f>
        <v>2</v>
      </c>
      <c r="BF90" s="136" t="e">
        <f t="shared" si="117"/>
        <v>#NUM!</v>
      </c>
      <c r="BG90" s="73">
        <f t="shared" si="113"/>
        <v>15771195.297</v>
      </c>
      <c r="BH90" s="73">
        <f t="shared" si="118"/>
        <v>709629.5651377727</v>
      </c>
      <c r="BI90" s="73">
        <f t="shared" ref="BI90:BI98" si="119">(BI$86&lt;&gt;"") * ($BE90&lt;&gt;"") * ((BI$86&lt;=$BE90)*(-$BI$14+$BI$13+$BI$28) + (BI$86=$BE90)*($BI$34-$BI$37))</f>
        <v>9037979.8920808341</v>
      </c>
      <c r="BJ90" s="73" t="str">
        <f>IF(OR(BJ$65="",$AU90=""),"",(BJ$65&lt;=$AU90)*(-BJ$13+BJ$17+BJ$26)+(BJ$65=$AU90)*(BJ$33-BJ$36))</f>
        <v/>
      </c>
      <c r="BK90" s="73" t="str">
        <f>IF(OR(BK$65="",$AU90=""),"",(BK$65&lt;=$AU90)*(-BK$13+BK$17+BK$26)+(BK$65=$AU90)*(BK$33-BK$36))</f>
        <v/>
      </c>
      <c r="BL90" s="73" t="str">
        <f>IF(OR(BL$65="",$AU90=""),"",(BL$65&lt;=$AU90)*(-BL$13+BL$17+BL$26)+(BL$65=$AU90)*(BL$33-BL$36))</f>
        <v/>
      </c>
      <c r="BM90" s="73" t="str">
        <f t="shared" si="114"/>
        <v/>
      </c>
      <c r="BN90" s="73" t="str">
        <f t="shared" si="114"/>
        <v/>
      </c>
      <c r="BO90" s="73" t="str">
        <f t="shared" si="114"/>
        <v/>
      </c>
      <c r="BP90" s="73" t="str">
        <f t="shared" si="114"/>
        <v/>
      </c>
      <c r="BQ90" s="73" t="str">
        <f t="shared" si="114"/>
        <v/>
      </c>
      <c r="BR90" s="73" t="str">
        <f t="shared" si="114"/>
        <v/>
      </c>
      <c r="BS90" s="73" t="str">
        <f t="shared" si="114"/>
        <v/>
      </c>
      <c r="BT90" s="73" t="str">
        <f t="shared" si="114"/>
        <v/>
      </c>
      <c r="BU90" s="73" t="str">
        <f t="shared" si="114"/>
        <v/>
      </c>
      <c r="BV90" s="73" t="str">
        <f t="shared" si="114"/>
        <v/>
      </c>
      <c r="BW90" s="165"/>
      <c r="BZ90" s="593" t="str">
        <f>CA83</f>
        <v> </v>
      </c>
      <c r="CA90" s="556"/>
      <c r="CB90" s="449"/>
      <c r="CC90" s="449"/>
      <c r="CD90" s="449"/>
      <c r="CE90" s="449"/>
      <c r="CF90" s="449"/>
      <c r="CG90" s="449"/>
      <c r="CH90" s="449"/>
      <c r="CI90" s="449"/>
      <c r="CJ90" s="449"/>
      <c r="CK90" s="449"/>
      <c r="CL90" s="449"/>
      <c r="CM90" s="449"/>
      <c r="CN90" s="449"/>
      <c r="CO90" s="449"/>
      <c r="CP90" s="449"/>
      <c r="CQ90" s="449"/>
      <c r="CR90" s="449"/>
      <c r="CS90" s="449"/>
      <c r="CT90" s="449"/>
    </row>
    <row r="91" spans="2:98">
      <c r="B91" s="225">
        <v>4</v>
      </c>
      <c r="C91" s="225" t="s">
        <v>360</v>
      </c>
      <c r="D91" s="225" t="s">
        <v>366</v>
      </c>
      <c r="E91" s="225" t="s">
        <v>362</v>
      </c>
      <c r="F91" s="335">
        <v>32260</v>
      </c>
      <c r="G91" s="441">
        <f t="shared" si="115"/>
        <v>387120</v>
      </c>
      <c r="H91" s="335">
        <v>32260</v>
      </c>
      <c r="I91" s="441">
        <f t="shared" si="116"/>
        <v>387120</v>
      </c>
      <c r="J91" s="335">
        <v>32260</v>
      </c>
      <c r="K91" s="335">
        <f>J91*12</f>
        <v>387120</v>
      </c>
      <c r="L91" s="337">
        <v>45839</v>
      </c>
      <c r="M91" s="338">
        <v>49856</v>
      </c>
      <c r="N91" s="339">
        <v>120</v>
      </c>
      <c r="O91" s="225" t="s">
        <v>363</v>
      </c>
      <c r="P91" s="335">
        <f>J91</f>
        <v>32260</v>
      </c>
      <c r="Q91" s="340">
        <v>12000</v>
      </c>
      <c r="R91" s="225"/>
      <c r="S91" s="225"/>
      <c r="T91" s="225"/>
      <c r="AG91" s="165"/>
      <c r="AH91" s="165"/>
      <c r="AI91" s="165"/>
      <c r="AJ91" s="400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381"/>
      <c r="BB91" s="165"/>
      <c r="BC91" s="165"/>
      <c r="BD91" s="165"/>
      <c r="BE91" s="256">
        <f>BJ86</f>
        <v>3</v>
      </c>
      <c r="BF91" s="136" t="e">
        <f t="shared" si="117"/>
        <v>#NUM!</v>
      </c>
      <c r="BG91" s="73">
        <f t="shared" si="113"/>
        <v>15771195.297</v>
      </c>
      <c r="BH91" s="73">
        <f t="shared" si="118"/>
        <v>709629.5651377727</v>
      </c>
      <c r="BI91" s="73">
        <f t="shared" si="119"/>
        <v>696729.46513777284</v>
      </c>
      <c r="BJ91" s="73">
        <f>(BJ$86&lt;&gt;"") * ($BE91&lt;&gt;"") * ((BJ$86&lt;=$BE91)*(-$BJ$14+$BJ$13+$BJ$28) + (BJ$86=$BE91)*($BJ$34-$BJ$37))</f>
        <v>8735715.3119826</v>
      </c>
      <c r="BK91" s="73" t="str">
        <f>IF(OR(BK$65="",$AU91=""),"",(BK$65&lt;=$AU91)*(-BK$13+BK$17+BK$26)+(BK$65=$AU91)*(BK$33-BK$36))</f>
        <v/>
      </c>
      <c r="BL91" s="73" t="str">
        <f>IF(OR(BL$65="",$AU91=""),"",(BL$65&lt;=$AU91)*(-BL$13+BL$17+BL$26)+(BL$65=$AU91)*(BL$33-BL$36))</f>
        <v/>
      </c>
      <c r="BM91" s="73" t="str">
        <f t="shared" si="114"/>
        <v/>
      </c>
      <c r="BN91" s="73" t="str">
        <f t="shared" si="114"/>
        <v/>
      </c>
      <c r="BO91" s="73" t="str">
        <f t="shared" si="114"/>
        <v/>
      </c>
      <c r="BP91" s="73" t="str">
        <f t="shared" si="114"/>
        <v/>
      </c>
      <c r="BQ91" s="73" t="str">
        <f t="shared" si="114"/>
        <v/>
      </c>
      <c r="BR91" s="73" t="str">
        <f t="shared" si="114"/>
        <v/>
      </c>
      <c r="BS91" s="73" t="str">
        <f t="shared" si="114"/>
        <v/>
      </c>
      <c r="BT91" s="73" t="str">
        <f t="shared" si="114"/>
        <v/>
      </c>
      <c r="BU91" s="73" t="str">
        <f t="shared" si="114"/>
        <v/>
      </c>
      <c r="BV91" s="73" t="str">
        <f t="shared" si="114"/>
        <v/>
      </c>
      <c r="BW91" s="165"/>
      <c r="BZ91" s="594" t="s">
        <v>158</v>
      </c>
      <c r="CA91" s="595" t="s">
        <v>158</v>
      </c>
      <c r="CB91" s="449"/>
      <c r="CC91" s="449"/>
      <c r="CD91" s="449"/>
      <c r="CE91" s="449"/>
      <c r="CF91" s="449"/>
      <c r="CG91" s="449"/>
      <c r="CH91" s="449"/>
      <c r="CI91" s="449"/>
      <c r="CJ91" s="449"/>
      <c r="CK91" s="449"/>
      <c r="CL91" s="449"/>
      <c r="CM91" s="449"/>
      <c r="CN91" s="449"/>
      <c r="CO91" s="449"/>
      <c r="CP91" s="449"/>
      <c r="CQ91" s="449"/>
      <c r="CR91" s="449"/>
      <c r="CS91" s="449"/>
      <c r="CT91" s="449"/>
    </row>
    <row r="92" spans="2:98">
      <c r="B92" s="225"/>
      <c r="C92" s="225"/>
      <c r="D92" s="225"/>
      <c r="E92" s="225"/>
      <c r="L92" s="337"/>
      <c r="M92" s="338"/>
      <c r="N92" s="339"/>
      <c r="O92" s="225"/>
      <c r="P92" s="335"/>
      <c r="Q92" s="225"/>
      <c r="R92" s="225"/>
      <c r="S92" s="225"/>
      <c r="T92" s="225"/>
      <c r="AG92" s="165"/>
      <c r="AH92" s="165"/>
      <c r="AI92" s="165"/>
      <c r="AJ92" s="400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381"/>
      <c r="BB92" s="165"/>
      <c r="BC92" s="165"/>
      <c r="BD92" s="165"/>
      <c r="BE92" s="256">
        <f>BK86</f>
        <v>4</v>
      </c>
      <c r="BF92" s="136" t="e">
        <f t="shared" si="117"/>
        <v>#NUM!</v>
      </c>
      <c r="BG92" s="73">
        <f t="shared" si="113"/>
        <v>15771195.297</v>
      </c>
      <c r="BH92" s="73">
        <f t="shared" si="118"/>
        <v>709629.5651377727</v>
      </c>
      <c r="BI92" s="73">
        <f t="shared" si="119"/>
        <v>696729.46513777284</v>
      </c>
      <c r="BJ92" s="73">
        <f t="shared" ref="BJ92:BJ98" si="120">(BJ$86&lt;&gt;"") * ($BE92&lt;&gt;"") * ((BJ$86&lt;=$BE92)*(-$BJ$14+$BJ$13+$BJ$28) + (BJ$86=$BE92)*($BJ$34-$BJ$38))</f>
        <v>433571.36313777289</v>
      </c>
      <c r="BK92" s="73">
        <f t="shared" ref="BK92:BK98" si="121">(BK$86&lt;&gt;"") * ($BE92&lt;&gt;"") * ((BK$86&lt;=$BE92)*(-$BK$14+$BK$13+$BK$28) + (BK$86=$BE92)*($BK$34-$BK$37))</f>
        <v>7446639.0315182349</v>
      </c>
      <c r="BL92" s="73" t="str">
        <f>IF(OR(BL$65="",$AU92=""),"",(BL$65&lt;=$AU92)*(-BL$13+BL$17+BL$26)+(BL$65=$AU92)*(BL$33-BL$36))</f>
        <v/>
      </c>
      <c r="BM92" s="73" t="str">
        <f t="shared" si="114"/>
        <v/>
      </c>
      <c r="BN92" s="73" t="str">
        <f t="shared" si="114"/>
        <v/>
      </c>
      <c r="BO92" s="73" t="str">
        <f t="shared" si="114"/>
        <v/>
      </c>
      <c r="BP92" s="73" t="str">
        <f t="shared" si="114"/>
        <v/>
      </c>
      <c r="BQ92" s="73" t="str">
        <f t="shared" si="114"/>
        <v/>
      </c>
      <c r="BR92" s="73" t="str">
        <f t="shared" si="114"/>
        <v/>
      </c>
      <c r="BS92" s="73" t="str">
        <f t="shared" si="114"/>
        <v/>
      </c>
      <c r="BT92" s="73" t="str">
        <f t="shared" si="114"/>
        <v/>
      </c>
      <c r="BU92" s="73" t="str">
        <f t="shared" si="114"/>
        <v/>
      </c>
      <c r="BV92" s="73" t="str">
        <f t="shared" si="114"/>
        <v/>
      </c>
      <c r="BW92" s="165"/>
      <c r="BZ92" s="592" t="s">
        <v>315</v>
      </c>
      <c r="CA92" s="556"/>
      <c r="CB92" s="449"/>
      <c r="CC92" s="449"/>
      <c r="CD92" s="449"/>
      <c r="CE92" s="449"/>
      <c r="CF92" s="449"/>
      <c r="CG92" s="449"/>
      <c r="CH92" s="449"/>
      <c r="CI92" s="449"/>
      <c r="CJ92" s="449"/>
      <c r="CK92" s="449"/>
      <c r="CL92" s="449"/>
      <c r="CM92" s="449"/>
      <c r="CN92" s="449"/>
      <c r="CO92" s="449"/>
      <c r="CP92" s="449"/>
      <c r="CQ92" s="449"/>
      <c r="CR92" s="449"/>
      <c r="CS92" s="449"/>
      <c r="CT92" s="449"/>
    </row>
    <row r="93" spans="2:98">
      <c r="B93" s="442" t="s">
        <v>212</v>
      </c>
      <c r="C93" s="443"/>
      <c r="D93" s="443"/>
      <c r="E93" s="443"/>
      <c r="F93" s="443"/>
      <c r="G93" s="443"/>
      <c r="H93" s="443"/>
      <c r="I93" s="443"/>
      <c r="J93" s="444">
        <f>SUM(J88:J91)</f>
        <v>145833.36666666667</v>
      </c>
      <c r="K93" s="445">
        <f>SUM(K88:K91)</f>
        <v>1750000.4</v>
      </c>
      <c r="L93" s="443"/>
      <c r="M93" s="443"/>
      <c r="N93" s="443"/>
      <c r="O93" s="225"/>
      <c r="P93" s="225"/>
      <c r="Q93" s="225"/>
      <c r="R93" s="225"/>
      <c r="S93" s="225"/>
      <c r="T93" s="225"/>
      <c r="AG93" s="165"/>
      <c r="AH93" s="165"/>
      <c r="AI93" s="165"/>
      <c r="AJ93" s="400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381"/>
      <c r="BB93" s="165"/>
      <c r="BC93" s="165"/>
      <c r="BD93" s="165"/>
      <c r="BE93" s="256">
        <f>BL86</f>
        <v>5</v>
      </c>
      <c r="BF93" s="136" t="e">
        <f t="shared" si="117"/>
        <v>#NUM!</v>
      </c>
      <c r="BG93" s="73">
        <f t="shared" si="113"/>
        <v>15771195.297</v>
      </c>
      <c r="BH93" s="73">
        <f t="shared" si="118"/>
        <v>709629.5651377727</v>
      </c>
      <c r="BI93" s="73">
        <f t="shared" si="119"/>
        <v>696729.46513777284</v>
      </c>
      <c r="BJ93" s="73">
        <f t="shared" si="120"/>
        <v>433571.36313777289</v>
      </c>
      <c r="BK93" s="73">
        <f t="shared" si="121"/>
        <v>-829849.90090222715</v>
      </c>
      <c r="BL93" s="73">
        <f>(BL$86&lt;&gt;"") * ($BE93&lt;&gt;"") * ((BL$86&lt;=$BE93)*(-$BL$14+$BL$13+$BL$28) + (BL$86=$BE93)*($BL$34-$BL$37))</f>
        <v>8921046.4488017112</v>
      </c>
      <c r="BM93" s="73" t="str">
        <f t="shared" si="114"/>
        <v/>
      </c>
      <c r="BN93" s="73" t="str">
        <f t="shared" si="114"/>
        <v/>
      </c>
      <c r="BO93" s="73" t="str">
        <f t="shared" si="114"/>
        <v/>
      </c>
      <c r="BP93" s="73" t="str">
        <f t="shared" si="114"/>
        <v/>
      </c>
      <c r="BQ93" s="73" t="str">
        <f t="shared" si="114"/>
        <v/>
      </c>
      <c r="BR93" s="73" t="str">
        <f t="shared" si="114"/>
        <v/>
      </c>
      <c r="BS93" s="73" t="str">
        <f t="shared" si="114"/>
        <v/>
      </c>
      <c r="BT93" s="73" t="str">
        <f t="shared" si="114"/>
        <v/>
      </c>
      <c r="BU93" s="73" t="str">
        <f t="shared" si="114"/>
        <v/>
      </c>
      <c r="BV93" s="73" t="str">
        <f t="shared" si="114"/>
        <v/>
      </c>
      <c r="BW93" s="165"/>
      <c r="BZ93" s="592" t="s">
        <v>321</v>
      </c>
      <c r="CA93" s="556"/>
      <c r="CB93" s="449"/>
      <c r="CC93" s="449"/>
      <c r="CD93" s="449"/>
      <c r="CE93" s="449"/>
      <c r="CF93" s="449"/>
      <c r="CG93" s="449"/>
      <c r="CH93" s="449"/>
      <c r="CI93" s="449"/>
      <c r="CJ93" s="449"/>
      <c r="CK93" s="449"/>
      <c r="CL93" s="449"/>
      <c r="CM93" s="449"/>
      <c r="CN93" s="449"/>
      <c r="CO93" s="449"/>
      <c r="CP93" s="449"/>
      <c r="CQ93" s="449"/>
      <c r="CR93" s="449"/>
      <c r="CS93" s="449"/>
      <c r="CT93" s="449"/>
    </row>
    <row r="94" spans="2:98"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AG94" s="165"/>
      <c r="AH94" s="165"/>
      <c r="AI94" s="165"/>
      <c r="AJ94" s="400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381"/>
      <c r="BB94" s="165"/>
      <c r="BC94" s="165"/>
      <c r="BD94" s="165"/>
      <c r="BE94" s="256">
        <f>BM86</f>
        <v>6</v>
      </c>
      <c r="BF94" s="136" t="e">
        <f t="shared" si="117"/>
        <v>#NUM!</v>
      </c>
      <c r="BG94" s="73">
        <f t="shared" si="113"/>
        <v>15771195.297</v>
      </c>
      <c r="BH94" s="73">
        <f t="shared" si="118"/>
        <v>709629.5651377727</v>
      </c>
      <c r="BI94" s="73">
        <f t="shared" si="119"/>
        <v>696729.46513777284</v>
      </c>
      <c r="BJ94" s="73">
        <f t="shared" si="120"/>
        <v>433571.36313777289</v>
      </c>
      <c r="BK94" s="73">
        <f t="shared" si="121"/>
        <v>-829849.90090222715</v>
      </c>
      <c r="BL94" s="73">
        <f>(BL$86&lt;&gt;"") * ($BE94&lt;&gt;"") * ((BL$86&lt;=$BE94)*(-$BL$14+$BL$13+$BL$28) + (BL$86=$BE94)*($BL$34-$BL$38))</f>
        <v>656460.40977697272</v>
      </c>
      <c r="BM94" s="73">
        <f>(BM$86&lt;&gt;"") * ($BE94&lt;&gt;"") * ((BM$86&lt;=$BE94)*(-$BM$14+$BM$13+$BM$28) + (BM$86=$BE94)*($BM$34-$BM$37))</f>
        <v>12343583.561124619</v>
      </c>
      <c r="BN94" s="73" t="str">
        <f t="shared" si="114"/>
        <v/>
      </c>
      <c r="BO94" s="73" t="str">
        <f t="shared" si="114"/>
        <v/>
      </c>
      <c r="BP94" s="73" t="str">
        <f t="shared" si="114"/>
        <v/>
      </c>
      <c r="BQ94" s="73" t="str">
        <f t="shared" si="114"/>
        <v/>
      </c>
      <c r="BR94" s="73" t="str">
        <f t="shared" si="114"/>
        <v/>
      </c>
      <c r="BS94" s="73" t="str">
        <f t="shared" si="114"/>
        <v/>
      </c>
      <c r="BT94" s="73" t="str">
        <f t="shared" si="114"/>
        <v/>
      </c>
      <c r="BU94" s="73" t="str">
        <f t="shared" si="114"/>
        <v/>
      </c>
      <c r="BV94" s="73" t="str">
        <f t="shared" si="114"/>
        <v/>
      </c>
      <c r="BW94" s="165"/>
      <c r="BZ94" s="592" t="str">
        <f>"Total Distributions ("&amp;BZ82&amp;")"</f>
        <v>Total Distributions (Tier 3)</v>
      </c>
      <c r="CA94" s="556"/>
      <c r="CB94" s="449"/>
      <c r="CC94" s="449"/>
      <c r="CD94" s="449"/>
      <c r="CE94" s="449"/>
      <c r="CF94" s="449"/>
      <c r="CG94" s="449"/>
      <c r="CH94" s="449"/>
      <c r="CI94" s="449"/>
      <c r="CJ94" s="449"/>
      <c r="CK94" s="449"/>
      <c r="CL94" s="449"/>
      <c r="CM94" s="449"/>
      <c r="CN94" s="449"/>
      <c r="CO94" s="449"/>
      <c r="CP94" s="449"/>
      <c r="CQ94" s="449"/>
      <c r="CR94" s="449"/>
      <c r="CS94" s="449"/>
      <c r="CT94" s="449"/>
    </row>
    <row r="95" spans="2:98">
      <c r="B95" s="341" t="s">
        <v>367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AG95" s="165"/>
      <c r="AH95" s="165"/>
      <c r="AI95" s="165"/>
      <c r="AJ95" s="400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381"/>
      <c r="BB95" s="165"/>
      <c r="BC95" s="165"/>
      <c r="BD95" s="165"/>
      <c r="BE95" s="256">
        <f>BN86</f>
        <v>7</v>
      </c>
      <c r="BF95" s="136" t="e">
        <f t="shared" si="117"/>
        <v>#NUM!</v>
      </c>
      <c r="BG95" s="73">
        <f t="shared" si="113"/>
        <v>15771195.297</v>
      </c>
      <c r="BH95" s="73">
        <f t="shared" si="118"/>
        <v>709629.5651377727</v>
      </c>
      <c r="BI95" s="73">
        <f t="shared" si="119"/>
        <v>696729.46513777284</v>
      </c>
      <c r="BJ95" s="73">
        <f t="shared" si="120"/>
        <v>433571.36313777289</v>
      </c>
      <c r="BK95" s="73">
        <f t="shared" si="121"/>
        <v>-829849.90090222715</v>
      </c>
      <c r="BL95" s="73">
        <f>(BL$86&lt;&gt;"") * ($BE95&lt;&gt;"") * ((BL$86&lt;=$BE95)*(-$BL$14+$BL$13+$BL$28) + (BL$86=$BE95)*($BL$34-$BL$38))</f>
        <v>656460.40977697272</v>
      </c>
      <c r="BM95" s="73">
        <f>(BM$86&lt;&gt;"") * ($BE95&lt;&gt;"") * ((BM$86&lt;=$BE95)*(-$BM$14+$BM$13+$BM$28) + (BM$86=$BE95)*($BM$34-$BM$38))</f>
        <v>863802.46158975654</v>
      </c>
      <c r="BN95" s="73">
        <f>(BN$86&lt;&gt;"") * ($BE95&lt;&gt;"") * ((BN$86&lt;=$BE95)*(-$BN$14+$BN$13+$BN$28) + (BN$86=$BE95)*($BN$34-$BN$37))</f>
        <v>12322286.010840282</v>
      </c>
      <c r="BO95" s="73" t="str">
        <f t="shared" si="114"/>
        <v/>
      </c>
      <c r="BP95" s="73" t="str">
        <f t="shared" si="114"/>
        <v/>
      </c>
      <c r="BQ95" s="73" t="str">
        <f t="shared" si="114"/>
        <v/>
      </c>
      <c r="BR95" s="73" t="str">
        <f t="shared" si="114"/>
        <v/>
      </c>
      <c r="BS95" s="73" t="str">
        <f t="shared" si="114"/>
        <v/>
      </c>
      <c r="BT95" s="73" t="str">
        <f t="shared" si="114"/>
        <v/>
      </c>
      <c r="BU95" s="73" t="str">
        <f t="shared" si="114"/>
        <v/>
      </c>
      <c r="BV95" s="73" t="str">
        <f t="shared" si="114"/>
        <v/>
      </c>
      <c r="BW95" s="165"/>
      <c r="BZ95" s="592" t="s">
        <v>328</v>
      </c>
      <c r="CA95" s="556"/>
      <c r="CB95" s="449"/>
      <c r="CC95" s="449"/>
      <c r="CD95" s="449"/>
      <c r="CE95" s="449"/>
      <c r="CF95" s="449"/>
      <c r="CG95" s="449"/>
      <c r="CH95" s="449"/>
      <c r="CI95" s="449"/>
      <c r="CJ95" s="449"/>
      <c r="CK95" s="449"/>
      <c r="CL95" s="449"/>
      <c r="CM95" s="449"/>
      <c r="CN95" s="449"/>
      <c r="CO95" s="449"/>
      <c r="CP95" s="449"/>
      <c r="CQ95" s="449"/>
      <c r="CR95" s="449"/>
      <c r="CS95" s="449"/>
      <c r="CT95" s="449"/>
    </row>
    <row r="96" spans="2:98">
      <c r="B96" s="341" t="s">
        <v>368</v>
      </c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AG96" s="165"/>
      <c r="AH96" s="165"/>
      <c r="AI96" s="165"/>
      <c r="AJ96" s="400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381"/>
      <c r="BB96" s="165"/>
      <c r="BC96" s="165"/>
      <c r="BD96" s="165"/>
      <c r="BE96" s="256">
        <f>BO86</f>
        <v>8</v>
      </c>
      <c r="BF96" s="136" t="e">
        <f t="shared" si="117"/>
        <v>#NUM!</v>
      </c>
      <c r="BG96" s="73">
        <f t="shared" si="113"/>
        <v>15771195.297</v>
      </c>
      <c r="BH96" s="73">
        <f t="shared" si="118"/>
        <v>709629.5651377727</v>
      </c>
      <c r="BI96" s="73">
        <f t="shared" si="119"/>
        <v>696729.46513777284</v>
      </c>
      <c r="BJ96" s="73">
        <f t="shared" si="120"/>
        <v>433571.36313777289</v>
      </c>
      <c r="BK96" s="73">
        <f t="shared" si="121"/>
        <v>-829849.90090222715</v>
      </c>
      <c r="BL96" s="73">
        <f>(BL$86&lt;&gt;"") * ($BE96&lt;&gt;"") * ((BL$86&lt;=$BE96)*(-$BL$14+$BL$13+$BL$28) + (BL$86=$BE96)*($BL$34-$BL$38))</f>
        <v>656460.40977697272</v>
      </c>
      <c r="BM96" s="73">
        <f>(BM$86&lt;&gt;"") * ($BE96&lt;&gt;"") * ((BM$86&lt;=$BE96)*(-$BM$14+$BM$13+$BM$28) + (BM$86=$BE96)*($BM$34-$BM$38))</f>
        <v>863802.46158975654</v>
      </c>
      <c r="BN96" s="73">
        <f>(BN$86&lt;&gt;"") * ($BE96&lt;&gt;"") * ((BN$86&lt;=$BE96)*(-$BN$14+$BN$13+$BN$28) + (BN$86=$BE96)*($BN$34-$BN$38))</f>
        <v>849559.70882039622</v>
      </c>
      <c r="BO96" s="73">
        <f>(BO$86&lt;&gt;"") * ($BE96&lt;&gt;"") * ((BO$86&lt;=$BE96)*(-$BO$14+$BO$13+$BO$28) + (BO$86=$BE96)*($BO$34-$BO$37))</f>
        <v>12315804.304720318</v>
      </c>
      <c r="BP96" s="73" t="str">
        <f t="shared" si="114"/>
        <v/>
      </c>
      <c r="BQ96" s="73" t="str">
        <f t="shared" si="114"/>
        <v/>
      </c>
      <c r="BR96" s="73" t="str">
        <f t="shared" si="114"/>
        <v/>
      </c>
      <c r="BS96" s="73" t="str">
        <f t="shared" si="114"/>
        <v/>
      </c>
      <c r="BT96" s="73" t="str">
        <f t="shared" si="114"/>
        <v/>
      </c>
      <c r="BU96" s="73" t="str">
        <f t="shared" si="114"/>
        <v/>
      </c>
      <c r="BV96" s="73" t="str">
        <f t="shared" si="114"/>
        <v/>
      </c>
      <c r="BW96" s="165"/>
      <c r="BZ96" s="592"/>
      <c r="CA96" s="556"/>
      <c r="CB96" s="449"/>
      <c r="CC96" s="449"/>
      <c r="CD96" s="449"/>
      <c r="CE96" s="449"/>
      <c r="CF96" s="449"/>
      <c r="CG96" s="449"/>
      <c r="CH96" s="449"/>
      <c r="CI96" s="449"/>
      <c r="CJ96" s="449"/>
      <c r="CK96" s="449"/>
      <c r="CL96" s="449"/>
      <c r="CM96" s="449"/>
      <c r="CN96" s="449"/>
      <c r="CO96" s="449"/>
      <c r="CP96" s="449"/>
      <c r="CQ96" s="449"/>
      <c r="CR96" s="449"/>
      <c r="CS96" s="449"/>
      <c r="CT96" s="449"/>
    </row>
    <row r="97" spans="1:98" ht="15.75">
      <c r="B97" s="341" t="s">
        <v>369</v>
      </c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AG97" s="165"/>
      <c r="AH97" s="165"/>
      <c r="AI97" s="165"/>
      <c r="AJ97" s="400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381"/>
      <c r="BB97" s="165"/>
      <c r="BC97" s="165"/>
      <c r="BD97" s="165"/>
      <c r="BE97" s="256">
        <f>BP86</f>
        <v>9</v>
      </c>
      <c r="BF97" s="136" t="e">
        <f t="shared" si="117"/>
        <v>#NUM!</v>
      </c>
      <c r="BG97" s="73">
        <f t="shared" si="113"/>
        <v>15771195.297</v>
      </c>
      <c r="BH97" s="73">
        <f t="shared" si="118"/>
        <v>709629.5651377727</v>
      </c>
      <c r="BI97" s="73">
        <f t="shared" si="119"/>
        <v>696729.46513777284</v>
      </c>
      <c r="BJ97" s="73">
        <f t="shared" si="120"/>
        <v>433571.36313777289</v>
      </c>
      <c r="BK97" s="73">
        <f t="shared" si="121"/>
        <v>-829849.90090222715</v>
      </c>
      <c r="BL97" s="73">
        <f>(BL$86&lt;&gt;"") * ($BE97&lt;&gt;"") * ((BL$86&lt;=$BE97)*(-$BL$14+$BL$13+$BL$28) + (BL$86=$BE97)*($BL$34-$BL$38))</f>
        <v>656460.40977697272</v>
      </c>
      <c r="BM97" s="73">
        <f>(BM$86&lt;&gt;"") * ($BE97&lt;&gt;"") * ((BM$86&lt;=$BE97)*(-$BM$14+$BM$13+$BM$28) + (BM$86=$BE97)*($BM$34-$BM$38))</f>
        <v>863802.46158975654</v>
      </c>
      <c r="BN97" s="73">
        <f>(BN$86&lt;&gt;"") * ($BE97&lt;&gt;"") * ((BN$86&lt;=$BE97)*(-$BN$14+$BN$13+$BN$28) + (BN$86=$BE97)*($BN$34-$BN$38))</f>
        <v>849559.70882039622</v>
      </c>
      <c r="BO97" s="73">
        <f>(BO$86&lt;&gt;"") * ($BE97&lt;&gt;"") * ((BO$86&lt;=$BE97)*(-$BO$14+$BO$13+$BO$28) + (BO$86=$BE97)*($BO$34-$BO$38))</f>
        <v>835032.10099564854</v>
      </c>
      <c r="BP97" s="73">
        <f>(BP$86&lt;&gt;"") * ($BE97&lt;&gt;"") * ((BP$86&lt;=$BE97)*(-$BP$14+$BP$13+$BP$28) + (BP$86=$BE97)*($BP$34-$BP$37))</f>
        <v>12324495.201038016</v>
      </c>
      <c r="BQ97" s="73" t="str">
        <f t="shared" si="114"/>
        <v/>
      </c>
      <c r="BR97" s="73" t="str">
        <f t="shared" si="114"/>
        <v/>
      </c>
      <c r="BS97" s="73" t="str">
        <f t="shared" si="114"/>
        <v/>
      </c>
      <c r="BT97" s="73" t="str">
        <f t="shared" si="114"/>
        <v/>
      </c>
      <c r="BU97" s="73" t="str">
        <f t="shared" si="114"/>
        <v/>
      </c>
      <c r="BV97" s="73" t="str">
        <f t="shared" si="114"/>
        <v/>
      </c>
      <c r="BW97" s="165"/>
      <c r="BZ97" s="589" t="s">
        <v>370</v>
      </c>
      <c r="CA97" s="569"/>
      <c r="CB97" s="569"/>
      <c r="CC97" s="569"/>
      <c r="CD97" s="569" t="s">
        <v>46</v>
      </c>
      <c r="CE97" s="520" t="s">
        <v>47</v>
      </c>
      <c r="CF97" s="520" t="s">
        <v>48</v>
      </c>
      <c r="CG97" s="520" t="s">
        <v>49</v>
      </c>
      <c r="CH97" s="520" t="s">
        <v>50</v>
      </c>
      <c r="CI97" s="520" t="s">
        <v>51</v>
      </c>
      <c r="CJ97" s="520" t="s">
        <v>52</v>
      </c>
      <c r="CK97" s="520" t="s">
        <v>53</v>
      </c>
      <c r="CL97" s="520" t="s">
        <v>54</v>
      </c>
      <c r="CM97" s="520" t="s">
        <v>55</v>
      </c>
      <c r="CN97" s="520" t="s">
        <v>56</v>
      </c>
      <c r="CO97" s="520" t="s">
        <v>1</v>
      </c>
      <c r="CP97" s="585" t="str">
        <f>CP$20</f>
        <v> </v>
      </c>
      <c r="CQ97" s="585" t="str">
        <f>CQ$20</f>
        <v> </v>
      </c>
      <c r="CR97" s="585" t="str">
        <f>CR$20</f>
        <v> </v>
      </c>
      <c r="CS97" s="585" t="str">
        <f>CS$20</f>
        <v> </v>
      </c>
      <c r="CT97" s="449"/>
    </row>
    <row r="98" spans="1:98">
      <c r="B98" s="341" t="s">
        <v>371</v>
      </c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AG98" s="165"/>
      <c r="AH98" s="165"/>
      <c r="AI98" s="165"/>
      <c r="AJ98" s="400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381"/>
      <c r="BB98" s="165"/>
      <c r="BC98" s="165"/>
      <c r="BD98" s="165"/>
      <c r="BE98" s="256">
        <f>BQ86</f>
        <v>10</v>
      </c>
      <c r="BF98" s="136" t="e">
        <f>IF(BE98="","",IRR(BG98:BV98))</f>
        <v>#NUM!</v>
      </c>
      <c r="BG98" s="73">
        <f t="shared" si="113"/>
        <v>15771195.297</v>
      </c>
      <c r="BH98" s="73">
        <f t="shared" si="118"/>
        <v>709629.5651377727</v>
      </c>
      <c r="BI98" s="73">
        <f t="shared" si="119"/>
        <v>696729.46513777284</v>
      </c>
      <c r="BJ98" s="73">
        <f t="shared" si="120"/>
        <v>433571.36313777289</v>
      </c>
      <c r="BK98" s="73">
        <f t="shared" si="121"/>
        <v>-829849.90090222715</v>
      </c>
      <c r="BL98" s="73">
        <f>(BL$86&lt;&gt;"") * ($BE98&lt;&gt;"") * ((BL$86&lt;=$BE98)*(-$BL$14+$BL$13+$BL$28) + (BL$86=$BE98)*($BL$34-$BL$38))</f>
        <v>656460.40977697272</v>
      </c>
      <c r="BM98" s="73">
        <f>(BM$86&lt;&gt;"") * ($BE98&lt;&gt;"") * ((BM$86&lt;=$BE98)*(-$BM$14+$BM$13+$BM$28) + (BM$86=$BE98)*($BM$34-$BM$38))</f>
        <v>863802.46158975654</v>
      </c>
      <c r="BN98" s="73">
        <f>(BN$86&lt;&gt;"") * ($BE98&lt;&gt;"") * ((BN$86&lt;=$BE98)*(-$BN$14+$BN$13+$BN$28) + (BN$86=$BE98)*($BN$34-$BN$38))</f>
        <v>849559.70882039622</v>
      </c>
      <c r="BO98" s="73">
        <f>(BO$86&lt;&gt;"") * ($BE98&lt;&gt;"") * ((BO$86&lt;=$BE98)*(-$BO$14+$BO$13+$BO$28) + (BO$86=$BE98)*($BO$34-$BO$38))</f>
        <v>835032.10099564854</v>
      </c>
      <c r="BP98" s="73">
        <f>(BP$86&lt;&gt;"") * ($BE98&lt;&gt;"") * ((BP$86&lt;=$BE98)*(-$BP$14+$BP$13+$BP$28) + (BP$86=$BE98)*($BP$34-$BP$38))</f>
        <v>820213.94101440615</v>
      </c>
      <c r="BQ98" s="73">
        <f>(BQ$86&lt;&gt;"") * ($BE98&lt;&gt;"") * ((BQ$86&lt;=$BE98)*(-$BQ$14+$BQ$13+$BQ$28) + (BQ$86=$BE98)*($BQ$34-$BQ$37))</f>
        <v>12348734.05982084</v>
      </c>
      <c r="BR98" s="73" t="str">
        <f t="shared" si="114"/>
        <v/>
      </c>
      <c r="BS98" s="73" t="str">
        <f t="shared" si="114"/>
        <v/>
      </c>
      <c r="BT98" s="73" t="str">
        <f t="shared" si="114"/>
        <v/>
      </c>
      <c r="BU98" s="73" t="str">
        <f t="shared" si="114"/>
        <v/>
      </c>
      <c r="BV98" s="73" t="str">
        <f t="shared" si="114"/>
        <v/>
      </c>
      <c r="BW98" s="165"/>
      <c r="BZ98" s="452" t="s">
        <v>372</v>
      </c>
      <c r="CA98" s="449" t="str">
        <f>CA83</f>
        <v> </v>
      </c>
      <c r="CB98" s="449"/>
      <c r="CC98" s="449"/>
      <c r="CD98" s="449"/>
      <c r="CE98" s="449"/>
      <c r="CF98" s="449"/>
      <c r="CG98" s="449"/>
      <c r="CH98" s="449"/>
      <c r="CI98" s="449"/>
      <c r="CJ98" s="449"/>
      <c r="CK98" s="449"/>
      <c r="CL98" s="449"/>
      <c r="CM98" s="449"/>
      <c r="CN98" s="449"/>
      <c r="CO98" s="449"/>
      <c r="CP98" s="449"/>
      <c r="CQ98" s="449"/>
      <c r="CR98" s="449"/>
      <c r="CS98" s="449"/>
      <c r="CT98" s="449"/>
    </row>
    <row r="99" spans="1:98"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AG99" s="165"/>
      <c r="AH99" s="165"/>
      <c r="AI99" s="165"/>
      <c r="AJ99" s="400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381"/>
      <c r="BB99" s="165"/>
      <c r="BC99" s="165"/>
      <c r="BD99" s="165"/>
      <c r="BE99" s="256" t="str">
        <f>BR86</f>
        <v/>
      </c>
      <c r="BF99" s="136" t="str">
        <f t="shared" si="117"/>
        <v/>
      </c>
      <c r="BG99" s="73" t="str">
        <f t="shared" ref="BG99:BQ103" si="122">IF(OR(BG$65="",$AU99=""),"",(BG$65&lt;=$AU99)*(-BG$13+BG$17+BG$26)+(BG$65=$AU99)*(BG$33-BG$36))</f>
        <v/>
      </c>
      <c r="BH99" s="73" t="str">
        <f t="shared" si="122"/>
        <v/>
      </c>
      <c r="BI99" s="73" t="str">
        <f t="shared" si="122"/>
        <v/>
      </c>
      <c r="BJ99" s="73" t="str">
        <f t="shared" si="122"/>
        <v/>
      </c>
      <c r="BK99" s="73" t="str">
        <f t="shared" si="122"/>
        <v/>
      </c>
      <c r="BL99" s="73" t="str">
        <f t="shared" si="122"/>
        <v/>
      </c>
      <c r="BM99" s="73" t="str">
        <f t="shared" si="122"/>
        <v/>
      </c>
      <c r="BN99" s="73" t="str">
        <f t="shared" si="122"/>
        <v/>
      </c>
      <c r="BO99" s="73" t="str">
        <f t="shared" si="122"/>
        <v/>
      </c>
      <c r="BP99" s="73" t="str">
        <f t="shared" si="122"/>
        <v/>
      </c>
      <c r="BQ99" s="73" t="str">
        <f t="shared" si="122"/>
        <v/>
      </c>
      <c r="BR99" s="73" t="str">
        <f t="shared" si="114"/>
        <v/>
      </c>
      <c r="BS99" s="73" t="str">
        <f t="shared" si="114"/>
        <v/>
      </c>
      <c r="BT99" s="73" t="str">
        <f t="shared" si="114"/>
        <v/>
      </c>
      <c r="BU99" s="73" t="str">
        <f t="shared" si="114"/>
        <v/>
      </c>
      <c r="BV99" s="73" t="str">
        <f t="shared" si="114"/>
        <v/>
      </c>
      <c r="BW99" s="165"/>
      <c r="BZ99" s="452" t="s">
        <v>315</v>
      </c>
      <c r="CA99" s="449"/>
      <c r="CB99" s="449"/>
      <c r="CC99" s="449"/>
      <c r="CD99" s="449" t="str">
        <f t="shared" ref="CD99:CS99" si="123">IF(CD84="","",CD95*$I$18)</f>
        <v/>
      </c>
      <c r="CE99" s="449" t="str">
        <f t="shared" si="123"/>
        <v/>
      </c>
      <c r="CF99" s="449" t="str">
        <f t="shared" si="123"/>
        <v/>
      </c>
      <c r="CG99" s="449" t="str">
        <f t="shared" si="123"/>
        <v/>
      </c>
      <c r="CH99" s="449" t="str">
        <f t="shared" si="123"/>
        <v/>
      </c>
      <c r="CI99" s="449" t="str">
        <f t="shared" si="123"/>
        <v/>
      </c>
      <c r="CJ99" s="449" t="str">
        <f t="shared" si="123"/>
        <v/>
      </c>
      <c r="CK99" s="449" t="str">
        <f t="shared" si="123"/>
        <v/>
      </c>
      <c r="CL99" s="449" t="str">
        <f t="shared" si="123"/>
        <v/>
      </c>
      <c r="CM99" s="449" t="str">
        <f t="shared" si="123"/>
        <v/>
      </c>
      <c r="CN99" s="449" t="str">
        <f t="shared" si="123"/>
        <v/>
      </c>
      <c r="CO99" s="449" t="str">
        <f t="shared" si="123"/>
        <v/>
      </c>
      <c r="CP99" s="449" t="str">
        <f t="shared" si="123"/>
        <v/>
      </c>
      <c r="CQ99" s="449" t="str">
        <f t="shared" si="123"/>
        <v/>
      </c>
      <c r="CR99" s="449" t="str">
        <f t="shared" si="123"/>
        <v/>
      </c>
      <c r="CS99" s="449" t="str">
        <f t="shared" si="123"/>
        <v/>
      </c>
      <c r="CT99" s="449"/>
    </row>
    <row r="100" spans="1:98">
      <c r="A100" s="329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AG100" s="165"/>
      <c r="AH100" s="165"/>
      <c r="AI100" s="165"/>
      <c r="AJ100" s="400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381"/>
      <c r="BB100" s="165"/>
      <c r="BC100" s="165"/>
      <c r="BD100" s="165"/>
      <c r="BE100" s="256" t="str">
        <f>BS86</f>
        <v/>
      </c>
      <c r="BF100" s="136" t="str">
        <f t="shared" si="117"/>
        <v/>
      </c>
      <c r="BG100" s="73" t="str">
        <f t="shared" si="122"/>
        <v/>
      </c>
      <c r="BH100" s="73" t="str">
        <f t="shared" si="122"/>
        <v/>
      </c>
      <c r="BI100" s="73" t="str">
        <f t="shared" si="122"/>
        <v/>
      </c>
      <c r="BJ100" s="73" t="str">
        <f t="shared" si="122"/>
        <v/>
      </c>
      <c r="BK100" s="73" t="str">
        <f t="shared" si="122"/>
        <v/>
      </c>
      <c r="BL100" s="73" t="str">
        <f t="shared" si="122"/>
        <v/>
      </c>
      <c r="BM100" s="73" t="str">
        <f t="shared" si="122"/>
        <v/>
      </c>
      <c r="BN100" s="73" t="str">
        <f t="shared" si="122"/>
        <v/>
      </c>
      <c r="BO100" s="73" t="str">
        <f t="shared" si="122"/>
        <v/>
      </c>
      <c r="BP100" s="73" t="str">
        <f t="shared" si="122"/>
        <v/>
      </c>
      <c r="BQ100" s="73" t="str">
        <f t="shared" si="122"/>
        <v/>
      </c>
      <c r="BR100" s="73" t="str">
        <f t="shared" si="114"/>
        <v/>
      </c>
      <c r="BS100" s="73" t="str">
        <f t="shared" si="114"/>
        <v/>
      </c>
      <c r="BT100" s="73" t="str">
        <f t="shared" si="114"/>
        <v/>
      </c>
      <c r="BU100" s="73" t="str">
        <f t="shared" si="114"/>
        <v/>
      </c>
      <c r="BV100" s="73" t="str">
        <f t="shared" si="114"/>
        <v/>
      </c>
      <c r="BW100" s="165"/>
      <c r="BZ100" s="452" t="s">
        <v>321</v>
      </c>
      <c r="CA100" s="449"/>
      <c r="CB100" s="449"/>
      <c r="CC100" s="449"/>
      <c r="CD100" s="449" t="str">
        <f t="shared" ref="CD100:CS100" si="124">IF(CD99="","",CD95-CD99)</f>
        <v/>
      </c>
      <c r="CE100" s="449" t="str">
        <f t="shared" si="124"/>
        <v/>
      </c>
      <c r="CF100" s="449" t="str">
        <f t="shared" si="124"/>
        <v/>
      </c>
      <c r="CG100" s="449" t="str">
        <f t="shared" si="124"/>
        <v/>
      </c>
      <c r="CH100" s="449" t="str">
        <f t="shared" si="124"/>
        <v/>
      </c>
      <c r="CI100" s="449" t="str">
        <f t="shared" si="124"/>
        <v/>
      </c>
      <c r="CJ100" s="449" t="str">
        <f t="shared" si="124"/>
        <v/>
      </c>
      <c r="CK100" s="449" t="str">
        <f t="shared" si="124"/>
        <v/>
      </c>
      <c r="CL100" s="449" t="str">
        <f t="shared" si="124"/>
        <v/>
      </c>
      <c r="CM100" s="449" t="str">
        <f t="shared" si="124"/>
        <v/>
      </c>
      <c r="CN100" s="449" t="str">
        <f t="shared" si="124"/>
        <v/>
      </c>
      <c r="CO100" s="449" t="str">
        <f t="shared" si="124"/>
        <v/>
      </c>
      <c r="CP100" s="449" t="str">
        <f t="shared" si="124"/>
        <v/>
      </c>
      <c r="CQ100" s="449" t="str">
        <f t="shared" si="124"/>
        <v/>
      </c>
      <c r="CR100" s="449" t="str">
        <f t="shared" si="124"/>
        <v/>
      </c>
      <c r="CS100" s="449" t="str">
        <f t="shared" si="124"/>
        <v/>
      </c>
      <c r="CT100" s="449"/>
    </row>
    <row r="101" spans="1:98">
      <c r="A101" s="329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AG101" s="165"/>
      <c r="AH101" s="165"/>
      <c r="AI101" s="165"/>
      <c r="AJ101" s="400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381"/>
      <c r="BB101" s="165"/>
      <c r="BC101" s="165"/>
      <c r="BD101" s="165"/>
      <c r="BE101" s="256" t="str">
        <f>BT86</f>
        <v/>
      </c>
      <c r="BF101" s="136" t="str">
        <f t="shared" si="117"/>
        <v/>
      </c>
      <c r="BG101" s="73" t="str">
        <f t="shared" si="122"/>
        <v/>
      </c>
      <c r="BH101" s="73" t="str">
        <f t="shared" si="122"/>
        <v/>
      </c>
      <c r="BI101" s="73" t="str">
        <f t="shared" si="122"/>
        <v/>
      </c>
      <c r="BJ101" s="73" t="str">
        <f t="shared" si="122"/>
        <v/>
      </c>
      <c r="BK101" s="73" t="str">
        <f t="shared" si="122"/>
        <v/>
      </c>
      <c r="BL101" s="73" t="str">
        <f t="shared" si="122"/>
        <v/>
      </c>
      <c r="BM101" s="73" t="str">
        <f t="shared" si="122"/>
        <v/>
      </c>
      <c r="BN101" s="73" t="str">
        <f t="shared" si="122"/>
        <v/>
      </c>
      <c r="BO101" s="73" t="str">
        <f t="shared" si="122"/>
        <v/>
      </c>
      <c r="BP101" s="73" t="str">
        <f t="shared" si="122"/>
        <v/>
      </c>
      <c r="BQ101" s="73" t="str">
        <f t="shared" si="122"/>
        <v/>
      </c>
      <c r="BR101" s="73" t="str">
        <f t="shared" si="114"/>
        <v/>
      </c>
      <c r="BS101" s="73" t="str">
        <f t="shared" si="114"/>
        <v/>
      </c>
      <c r="BT101" s="73" t="str">
        <f t="shared" si="114"/>
        <v/>
      </c>
      <c r="BU101" s="73" t="str">
        <f t="shared" si="114"/>
        <v/>
      </c>
      <c r="BV101" s="73" t="str">
        <f t="shared" si="114"/>
        <v/>
      </c>
      <c r="BW101" s="165"/>
      <c r="BZ101" s="452" t="str">
        <f>"Total Distributions ("&amp;BZ97&amp;")"</f>
        <v>Total Distributions (Tier 4)</v>
      </c>
      <c r="CA101" s="449"/>
      <c r="CB101" s="449"/>
      <c r="CC101" s="449"/>
      <c r="CD101" s="449" t="str">
        <f t="shared" ref="CD101:CS101" si="125">IF(CD99="","",CD99+CD100)</f>
        <v/>
      </c>
      <c r="CE101" s="449" t="str">
        <f t="shared" si="125"/>
        <v/>
      </c>
      <c r="CF101" s="449" t="str">
        <f t="shared" si="125"/>
        <v/>
      </c>
      <c r="CG101" s="449" t="str">
        <f t="shared" si="125"/>
        <v/>
      </c>
      <c r="CH101" s="449" t="str">
        <f t="shared" si="125"/>
        <v/>
      </c>
      <c r="CI101" s="449" t="str">
        <f t="shared" si="125"/>
        <v/>
      </c>
      <c r="CJ101" s="449" t="str">
        <f t="shared" si="125"/>
        <v/>
      </c>
      <c r="CK101" s="449" t="str">
        <f t="shared" si="125"/>
        <v/>
      </c>
      <c r="CL101" s="449" t="str">
        <f t="shared" si="125"/>
        <v/>
      </c>
      <c r="CM101" s="449" t="str">
        <f t="shared" si="125"/>
        <v/>
      </c>
      <c r="CN101" s="449" t="str">
        <f t="shared" si="125"/>
        <v/>
      </c>
      <c r="CO101" s="449" t="str">
        <f t="shared" si="125"/>
        <v/>
      </c>
      <c r="CP101" s="449" t="str">
        <f t="shared" si="125"/>
        <v/>
      </c>
      <c r="CQ101" s="449" t="str">
        <f t="shared" si="125"/>
        <v/>
      </c>
      <c r="CR101" s="449" t="str">
        <f t="shared" si="125"/>
        <v/>
      </c>
      <c r="CS101" s="449" t="str">
        <f t="shared" si="125"/>
        <v/>
      </c>
      <c r="CT101" s="449"/>
    </row>
    <row r="102" spans="1:98">
      <c r="A102" s="329"/>
      <c r="AG102" s="165"/>
      <c r="AH102" s="165"/>
      <c r="AI102" s="165"/>
      <c r="AJ102" s="400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381"/>
      <c r="BB102" s="165"/>
      <c r="BC102" s="165"/>
      <c r="BD102" s="165"/>
      <c r="BE102" s="256" t="str">
        <f>BU86</f>
        <v/>
      </c>
      <c r="BF102" s="136" t="str">
        <f t="shared" si="117"/>
        <v/>
      </c>
      <c r="BG102" s="73" t="str">
        <f t="shared" si="122"/>
        <v/>
      </c>
      <c r="BH102" s="73" t="str">
        <f t="shared" si="122"/>
        <v/>
      </c>
      <c r="BI102" s="73" t="str">
        <f t="shared" si="122"/>
        <v/>
      </c>
      <c r="BJ102" s="73" t="str">
        <f t="shared" si="122"/>
        <v/>
      </c>
      <c r="BK102" s="73" t="str">
        <f t="shared" si="122"/>
        <v/>
      </c>
      <c r="BL102" s="73" t="str">
        <f t="shared" si="122"/>
        <v/>
      </c>
      <c r="BM102" s="73" t="str">
        <f t="shared" si="122"/>
        <v/>
      </c>
      <c r="BN102" s="73" t="str">
        <f t="shared" si="122"/>
        <v/>
      </c>
      <c r="BO102" s="73" t="str">
        <f t="shared" si="122"/>
        <v/>
      </c>
      <c r="BP102" s="73" t="str">
        <f t="shared" si="122"/>
        <v/>
      </c>
      <c r="BQ102" s="73" t="str">
        <f t="shared" si="122"/>
        <v/>
      </c>
      <c r="BR102" s="73" t="str">
        <f t="shared" si="114"/>
        <v/>
      </c>
      <c r="BS102" s="73" t="str">
        <f t="shared" si="114"/>
        <v/>
      </c>
      <c r="BT102" s="73" t="str">
        <f t="shared" si="114"/>
        <v/>
      </c>
      <c r="BU102" s="73" t="str">
        <f t="shared" si="114"/>
        <v/>
      </c>
      <c r="BV102" s="73" t="str">
        <f t="shared" si="114"/>
        <v/>
      </c>
      <c r="BW102" s="165"/>
      <c r="BZ102" s="452" t="s">
        <v>328</v>
      </c>
      <c r="CA102" s="449"/>
      <c r="CB102" s="449"/>
      <c r="CC102" s="449"/>
      <c r="CD102" s="449" t="str">
        <f t="shared" ref="CD102:CS102" si="126">IF(CD99="","",CD95-CD101)</f>
        <v/>
      </c>
      <c r="CE102" s="449" t="str">
        <f t="shared" si="126"/>
        <v/>
      </c>
      <c r="CF102" s="449" t="str">
        <f t="shared" si="126"/>
        <v/>
      </c>
      <c r="CG102" s="449" t="str">
        <f t="shared" si="126"/>
        <v/>
      </c>
      <c r="CH102" s="449" t="str">
        <f t="shared" si="126"/>
        <v/>
      </c>
      <c r="CI102" s="449" t="str">
        <f t="shared" si="126"/>
        <v/>
      </c>
      <c r="CJ102" s="449" t="str">
        <f t="shared" si="126"/>
        <v/>
      </c>
      <c r="CK102" s="449" t="str">
        <f t="shared" si="126"/>
        <v/>
      </c>
      <c r="CL102" s="449" t="str">
        <f t="shared" si="126"/>
        <v/>
      </c>
      <c r="CM102" s="449" t="str">
        <f t="shared" si="126"/>
        <v/>
      </c>
      <c r="CN102" s="449" t="str">
        <f t="shared" si="126"/>
        <v/>
      </c>
      <c r="CO102" s="449" t="str">
        <f t="shared" si="126"/>
        <v/>
      </c>
      <c r="CP102" s="449" t="str">
        <f t="shared" si="126"/>
        <v/>
      </c>
      <c r="CQ102" s="449" t="str">
        <f t="shared" si="126"/>
        <v/>
      </c>
      <c r="CR102" s="449" t="str">
        <f t="shared" si="126"/>
        <v/>
      </c>
      <c r="CS102" s="449" t="str">
        <f t="shared" si="126"/>
        <v/>
      </c>
      <c r="CT102" s="449"/>
    </row>
    <row r="103" spans="1:98">
      <c r="A103" s="329"/>
      <c r="AG103" s="165"/>
      <c r="AH103" s="165"/>
      <c r="AI103" s="165"/>
      <c r="AJ103" s="400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381"/>
      <c r="BB103" s="165"/>
      <c r="BC103" s="165"/>
      <c r="BD103" s="165"/>
      <c r="BE103" s="256" t="str">
        <f>BV86</f>
        <v/>
      </c>
      <c r="BF103" s="136" t="str">
        <f t="shared" si="117"/>
        <v/>
      </c>
      <c r="BG103" s="73" t="str">
        <f t="shared" si="122"/>
        <v/>
      </c>
      <c r="BH103" s="73" t="str">
        <f t="shared" si="122"/>
        <v/>
      </c>
      <c r="BI103" s="73" t="str">
        <f t="shared" si="122"/>
        <v/>
      </c>
      <c r="BJ103" s="73" t="str">
        <f t="shared" si="122"/>
        <v/>
      </c>
      <c r="BK103" s="73" t="str">
        <f t="shared" si="122"/>
        <v/>
      </c>
      <c r="BL103" s="73" t="str">
        <f t="shared" si="122"/>
        <v/>
      </c>
      <c r="BM103" s="73" t="str">
        <f t="shared" si="122"/>
        <v/>
      </c>
      <c r="BN103" s="73" t="str">
        <f t="shared" si="122"/>
        <v/>
      </c>
      <c r="BO103" s="73" t="str">
        <f t="shared" si="122"/>
        <v/>
      </c>
      <c r="BP103" s="73" t="str">
        <f t="shared" si="122"/>
        <v/>
      </c>
      <c r="BQ103" s="73" t="str">
        <f t="shared" si="122"/>
        <v/>
      </c>
      <c r="BR103" s="73" t="str">
        <f>IF(OR(BR$65="",$AU103=""),"",(BR$65&lt;=$AU103)*(-BR$13+BR$17+BR$26)+(BR$65=$AU103)*(BR$33-BR$36))</f>
        <v/>
      </c>
      <c r="BS103" s="73" t="str">
        <f>IF(OR(BS$65="",$AU103=""),"",(BS$65&lt;=$AU103)*(-BS$13+BS$17+BS$26)+(BS$65=$AU103)*(BS$33-BS$36))</f>
        <v/>
      </c>
      <c r="BT103" s="73" t="str">
        <f>IF(OR(BT$65="",$AU103=""),"",(BT$65&lt;=$AU103)*(-BT$13+BT$17+BT$26)+(BT$65=$AU103)*(BT$33-BT$36))</f>
        <v/>
      </c>
      <c r="BU103" s="73" t="str">
        <f>IF(OR(BU$65="",$AU103=""),"",(BU$65&lt;=$AU103)*(-BU$13+BU$17+BU$26)+(BU$65=$AU103)*(BU$33-BU$36))</f>
        <v/>
      </c>
      <c r="BV103" s="73" t="str">
        <f t="shared" si="114"/>
        <v/>
      </c>
      <c r="BW103" s="165"/>
      <c r="BZ103" s="452"/>
      <c r="CA103" s="449"/>
      <c r="CB103" s="449"/>
      <c r="CC103" s="449"/>
      <c r="CD103" s="449"/>
      <c r="CE103" s="449"/>
      <c r="CF103" s="449"/>
      <c r="CG103" s="449"/>
      <c r="CH103" s="449"/>
      <c r="CI103" s="449"/>
      <c r="CJ103" s="449"/>
      <c r="CK103" s="449"/>
      <c r="CL103" s="449"/>
      <c r="CM103" s="449"/>
      <c r="CN103" s="449"/>
      <c r="CO103" s="449"/>
      <c r="CP103" s="449"/>
      <c r="CQ103" s="449"/>
      <c r="CR103" s="449"/>
      <c r="CS103" s="449"/>
      <c r="CT103" s="449"/>
    </row>
    <row r="104" spans="1:98">
      <c r="A104" s="329"/>
      <c r="AG104" s="165"/>
      <c r="AH104" s="165"/>
      <c r="AI104" s="165"/>
      <c r="AJ104" s="400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381"/>
      <c r="BB104" s="165"/>
      <c r="BC104" s="165"/>
      <c r="BD104" s="165"/>
      <c r="BE104" s="165" t="s">
        <v>373</v>
      </c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Z104" s="452"/>
      <c r="CA104" s="449"/>
      <c r="CB104" s="449"/>
      <c r="CC104" s="449"/>
      <c r="CD104" s="449"/>
      <c r="CE104" s="449"/>
      <c r="CF104" s="449"/>
      <c r="CG104" s="449"/>
      <c r="CH104" s="449"/>
      <c r="CI104" s="449"/>
      <c r="CJ104" s="449"/>
      <c r="CK104" s="449"/>
      <c r="CL104" s="449"/>
      <c r="CM104" s="449"/>
      <c r="CN104" s="449"/>
      <c r="CO104" s="449"/>
      <c r="CP104" s="449"/>
      <c r="CQ104" s="449"/>
      <c r="CR104" s="449"/>
      <c r="CS104" s="449"/>
      <c r="CT104" s="449"/>
    </row>
    <row r="105" spans="1:98" ht="15" customHeight="1"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  <c r="BZ105" s="449"/>
      <c r="CA105" s="449"/>
      <c r="CB105" s="449"/>
      <c r="CC105" s="449"/>
      <c r="CD105" s="449"/>
      <c r="CE105" s="449"/>
      <c r="CF105" s="449"/>
      <c r="CG105" s="449"/>
      <c r="CH105" s="449"/>
      <c r="CI105" s="449"/>
      <c r="CJ105" s="449"/>
      <c r="CK105" s="449"/>
      <c r="CL105" s="449"/>
      <c r="CM105" s="449"/>
      <c r="CN105" s="449"/>
      <c r="CO105" s="449"/>
      <c r="CP105" s="449"/>
      <c r="CQ105" s="449"/>
      <c r="CR105" s="449"/>
      <c r="CS105" s="449"/>
      <c r="CT105" s="449"/>
    </row>
    <row r="106" spans="1:98" ht="15" customHeight="1">
      <c r="B106" s="449" t="s">
        <v>243</v>
      </c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BZ106" s="449"/>
      <c r="CA106" s="449"/>
      <c r="CB106" s="449"/>
      <c r="CC106" s="449"/>
      <c r="CD106" s="449"/>
      <c r="CE106" s="449"/>
      <c r="CF106" s="449"/>
      <c r="CG106" s="449"/>
      <c r="CH106" s="449"/>
      <c r="CI106" s="449"/>
      <c r="CJ106" s="449"/>
      <c r="CK106" s="449"/>
      <c r="CL106" s="449"/>
      <c r="CM106" s="449"/>
      <c r="CN106" s="449"/>
      <c r="CO106" s="449"/>
      <c r="CP106" s="449"/>
      <c r="CQ106" s="449"/>
      <c r="CR106" s="449"/>
      <c r="CS106" s="449"/>
      <c r="CT106" s="449"/>
    </row>
    <row r="107" spans="1:98" ht="15" customHeight="1">
      <c r="B107" s="449" t="s">
        <v>374</v>
      </c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  <c r="BZ107" s="449"/>
      <c r="CA107" s="449"/>
      <c r="CB107" s="449"/>
      <c r="CC107" s="449"/>
      <c r="CD107" s="449"/>
      <c r="CE107" s="449"/>
      <c r="CF107" s="449"/>
      <c r="CG107" s="449"/>
      <c r="CH107" s="449"/>
      <c r="CI107" s="449"/>
      <c r="CJ107" s="449"/>
      <c r="CK107" s="449"/>
      <c r="CL107" s="449"/>
      <c r="CM107" s="449"/>
      <c r="CN107" s="449"/>
      <c r="CO107" s="449"/>
      <c r="CP107" s="449"/>
      <c r="CQ107" s="449"/>
      <c r="CR107" s="449"/>
      <c r="CS107" s="449"/>
      <c r="CT107" s="449"/>
    </row>
    <row r="108" spans="1:98" ht="15" customHeight="1"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</row>
    <row r="109" spans="1:98" ht="15" customHeight="1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</row>
    <row r="110" spans="1:98" ht="15" customHeight="1">
      <c r="A110" s="449"/>
      <c r="B110" s="466" t="s">
        <v>22</v>
      </c>
      <c r="C110" s="452" t="s">
        <v>1</v>
      </c>
      <c r="D110" s="449"/>
      <c r="E110" s="449"/>
      <c r="F110" s="449"/>
      <c r="G110" s="449"/>
      <c r="H110" s="449"/>
      <c r="I110" s="449"/>
      <c r="J110" s="449" t="s">
        <v>1</v>
      </c>
      <c r="K110" s="449" t="s">
        <v>1</v>
      </c>
      <c r="L110" s="449" t="s">
        <v>1</v>
      </c>
      <c r="M110" s="467" t="s">
        <v>1</v>
      </c>
      <c r="N110" s="449" t="s">
        <v>1</v>
      </c>
      <c r="O110" s="449" t="s">
        <v>1</v>
      </c>
      <c r="P110" s="449" t="s">
        <v>1</v>
      </c>
      <c r="Q110" s="449"/>
      <c r="R110" s="449"/>
      <c r="S110" s="449"/>
      <c r="T110" s="449"/>
      <c r="U110" s="449"/>
    </row>
    <row r="111" spans="1:98" ht="15" customHeight="1">
      <c r="A111" s="449"/>
      <c r="B111" s="468" t="s">
        <v>3</v>
      </c>
      <c r="C111" s="469" t="s">
        <v>1</v>
      </c>
      <c r="D111" s="470" t="s">
        <v>4</v>
      </c>
      <c r="E111" s="469" t="s">
        <v>1</v>
      </c>
      <c r="F111" s="471"/>
      <c r="G111" s="469"/>
      <c r="H111" s="469"/>
      <c r="I111" s="469"/>
      <c r="J111" s="469" t="s">
        <v>1</v>
      </c>
      <c r="K111" s="469" t="s">
        <v>1</v>
      </c>
      <c r="L111" s="469" t="s">
        <v>1</v>
      </c>
      <c r="M111" s="469" t="s">
        <v>1</v>
      </c>
      <c r="N111" s="469" t="s">
        <v>1</v>
      </c>
      <c r="O111" s="471" t="s">
        <v>1</v>
      </c>
      <c r="P111" s="471" t="s">
        <v>1</v>
      </c>
      <c r="Q111" s="471"/>
      <c r="R111" s="471"/>
      <c r="S111" s="471"/>
      <c r="T111" s="471"/>
      <c r="U111" s="449"/>
    </row>
    <row r="112" spans="1:98" ht="15" customHeight="1">
      <c r="A112" s="449"/>
      <c r="B112" s="472" t="s">
        <v>5</v>
      </c>
      <c r="C112" s="467" t="s">
        <v>1</v>
      </c>
      <c r="D112" s="473"/>
      <c r="E112" s="467" t="s">
        <v>7</v>
      </c>
      <c r="F112" s="467"/>
      <c r="G112" s="467"/>
      <c r="H112" s="467"/>
      <c r="I112" s="467"/>
      <c r="J112" s="467" t="s">
        <v>1</v>
      </c>
      <c r="K112" s="467" t="s">
        <v>1</v>
      </c>
      <c r="L112" s="467" t="s">
        <v>1</v>
      </c>
      <c r="M112" s="467" t="s">
        <v>1</v>
      </c>
      <c r="N112" s="467" t="s">
        <v>1</v>
      </c>
      <c r="O112" s="449" t="s">
        <v>1</v>
      </c>
      <c r="P112" s="449" t="s">
        <v>1</v>
      </c>
      <c r="Q112" s="474"/>
      <c r="R112" s="474"/>
      <c r="S112" s="474"/>
      <c r="T112" s="474"/>
      <c r="U112" s="449"/>
    </row>
    <row r="113" spans="1:21" ht="15" customHeight="1">
      <c r="A113" s="449"/>
      <c r="B113" s="449" t="s">
        <v>1</v>
      </c>
      <c r="C113" s="449" t="s">
        <v>1</v>
      </c>
      <c r="D113" s="449"/>
      <c r="E113" s="449"/>
      <c r="F113" s="449"/>
      <c r="G113" s="449"/>
      <c r="H113" s="449"/>
      <c r="I113" s="449"/>
      <c r="J113" s="449" t="s">
        <v>1</v>
      </c>
      <c r="K113" s="449" t="s">
        <v>1</v>
      </c>
      <c r="L113" s="449" t="s">
        <v>1</v>
      </c>
      <c r="M113" s="467" t="s">
        <v>1</v>
      </c>
      <c r="N113" s="449" t="s">
        <v>1</v>
      </c>
      <c r="O113" s="449" t="s">
        <v>1</v>
      </c>
      <c r="P113" s="449" t="s">
        <v>1</v>
      </c>
      <c r="Q113" s="474"/>
      <c r="R113" s="474"/>
      <c r="S113" s="474"/>
      <c r="T113" s="474"/>
      <c r="U113" s="449"/>
    </row>
    <row r="114" spans="1:21" ht="15" customHeight="1">
      <c r="A114" s="449"/>
      <c r="B114" s="475" t="s">
        <v>8</v>
      </c>
      <c r="C114" s="476" t="s">
        <v>9</v>
      </c>
      <c r="D114" s="476" t="s">
        <v>10</v>
      </c>
      <c r="E114" s="449"/>
      <c r="F114" s="475"/>
      <c r="G114" s="449"/>
      <c r="H114" s="449"/>
      <c r="I114" s="449"/>
      <c r="J114" s="449" t="s">
        <v>1</v>
      </c>
      <c r="K114" s="449" t="s">
        <v>1</v>
      </c>
      <c r="L114" s="449" t="s">
        <v>1</v>
      </c>
      <c r="M114" s="467" t="s">
        <v>1</v>
      </c>
      <c r="N114" s="449" t="s">
        <v>1</v>
      </c>
      <c r="O114" s="449" t="s">
        <v>1</v>
      </c>
      <c r="P114" s="449" t="s">
        <v>1</v>
      </c>
      <c r="Q114" s="474"/>
      <c r="R114" s="474"/>
      <c r="S114" s="474"/>
      <c r="T114" s="474"/>
      <c r="U114" s="449"/>
    </row>
    <row r="115" spans="1:21" ht="15" customHeight="1">
      <c r="A115" s="449"/>
      <c r="B115" s="449" t="s">
        <v>11</v>
      </c>
      <c r="C115" s="477">
        <v>0.05</v>
      </c>
      <c r="D115" s="478">
        <f>(D20*(1-D29))*C115</f>
        <v>428898.08499999996</v>
      </c>
      <c r="E115" s="449" t="s">
        <v>1</v>
      </c>
      <c r="F115" s="449" t="s">
        <v>1</v>
      </c>
      <c r="G115" s="479" t="s">
        <v>1</v>
      </c>
      <c r="H115" s="449" t="s">
        <v>1</v>
      </c>
      <c r="I115" s="449" t="s">
        <v>1</v>
      </c>
      <c r="J115" s="449" t="s">
        <v>1</v>
      </c>
      <c r="K115" s="480"/>
      <c r="L115" s="481"/>
      <c r="M115" s="449" t="s">
        <v>1</v>
      </c>
      <c r="N115" s="449" t="s">
        <v>1</v>
      </c>
      <c r="O115" s="449" t="s">
        <v>1</v>
      </c>
      <c r="P115" s="449" t="s">
        <v>1</v>
      </c>
      <c r="Q115" s="474"/>
      <c r="R115" s="474"/>
      <c r="S115" s="474"/>
      <c r="T115" s="474"/>
      <c r="U115" s="449"/>
    </row>
    <row r="116" spans="1:21" ht="15" customHeight="1">
      <c r="A116" s="449"/>
      <c r="B116" s="449" t="s">
        <v>14</v>
      </c>
      <c r="C116" s="482">
        <v>0.95</v>
      </c>
      <c r="D116" s="483">
        <f>(D20*(1-D29))*C116</f>
        <v>8149063.6149999993</v>
      </c>
      <c r="E116" s="484"/>
      <c r="F116" s="449" t="s">
        <v>1</v>
      </c>
      <c r="G116" s="479" t="s">
        <v>1</v>
      </c>
      <c r="H116" s="449" t="s">
        <v>1</v>
      </c>
      <c r="I116" s="449" t="s">
        <v>1</v>
      </c>
      <c r="J116" s="449" t="s">
        <v>1</v>
      </c>
      <c r="K116" s="480"/>
      <c r="L116" s="485"/>
      <c r="M116" s="449" t="s">
        <v>1</v>
      </c>
      <c r="N116" s="449" t="s">
        <v>1</v>
      </c>
      <c r="O116" s="449" t="s">
        <v>1</v>
      </c>
      <c r="P116" s="449" t="s">
        <v>1</v>
      </c>
      <c r="Q116" s="449"/>
      <c r="R116" s="449"/>
      <c r="S116" s="449"/>
      <c r="T116" s="449"/>
      <c r="U116" s="449"/>
    </row>
    <row r="117" spans="1:21" ht="15" customHeight="1" thickBot="1">
      <c r="A117" s="449"/>
      <c r="B117" s="449" t="s">
        <v>17</v>
      </c>
      <c r="C117" s="449" t="s">
        <v>1</v>
      </c>
      <c r="D117" s="486">
        <f>SUM(D115:D116)</f>
        <v>8577961.6999999993</v>
      </c>
      <c r="E117" s="484"/>
      <c r="F117" s="449"/>
      <c r="G117" s="487"/>
      <c r="H117" s="449" t="s">
        <v>1</v>
      </c>
      <c r="I117" s="449" t="s">
        <v>1</v>
      </c>
      <c r="J117" s="449" t="s">
        <v>1</v>
      </c>
      <c r="K117" s="480"/>
      <c r="L117" s="485"/>
      <c r="M117" s="449" t="s">
        <v>1</v>
      </c>
      <c r="N117" s="449" t="s">
        <v>1</v>
      </c>
      <c r="O117" s="449" t="s">
        <v>1</v>
      </c>
      <c r="P117" s="449" t="s">
        <v>1</v>
      </c>
      <c r="Q117" s="449"/>
      <c r="R117" s="449"/>
      <c r="S117" s="449"/>
      <c r="T117" s="449"/>
      <c r="U117" s="449"/>
    </row>
    <row r="118" spans="1:21" ht="15" customHeight="1" thickTop="1">
      <c r="A118" s="449"/>
      <c r="B118" s="449" t="s">
        <v>1</v>
      </c>
      <c r="C118" s="449" t="s">
        <v>1</v>
      </c>
      <c r="D118" s="473" t="s">
        <v>1</v>
      </c>
      <c r="E118" s="449" t="s">
        <v>1</v>
      </c>
      <c r="F118" s="449" t="s">
        <v>1</v>
      </c>
      <c r="G118" s="479" t="s">
        <v>1</v>
      </c>
      <c r="H118" s="449" t="s">
        <v>1</v>
      </c>
      <c r="I118" s="449" t="s">
        <v>1</v>
      </c>
      <c r="J118" s="449" t="s">
        <v>1</v>
      </c>
      <c r="K118" s="449" t="s">
        <v>1</v>
      </c>
      <c r="L118" s="449" t="s">
        <v>1</v>
      </c>
      <c r="M118" s="449" t="s">
        <v>1</v>
      </c>
      <c r="N118" s="449" t="s">
        <v>1</v>
      </c>
      <c r="O118" s="449" t="s">
        <v>1</v>
      </c>
      <c r="P118" s="449" t="s">
        <v>1</v>
      </c>
      <c r="Q118" s="449"/>
      <c r="R118" s="449"/>
      <c r="S118" s="449"/>
      <c r="T118" s="449"/>
      <c r="U118" s="449"/>
    </row>
    <row r="119" spans="1:21" ht="27" customHeight="1">
      <c r="A119" s="449"/>
      <c r="B119" s="488" t="s">
        <v>19</v>
      </c>
      <c r="C119" s="488" t="s">
        <v>4</v>
      </c>
      <c r="D119" s="449" t="s">
        <v>1</v>
      </c>
      <c r="E119" s="449" t="s">
        <v>1</v>
      </c>
      <c r="F119" s="489" t="s">
        <v>20</v>
      </c>
      <c r="G119" s="489"/>
      <c r="H119" s="490" t="s">
        <v>21</v>
      </c>
      <c r="I119" s="490"/>
      <c r="J119" s="449" t="s">
        <v>1</v>
      </c>
      <c r="K119" s="449" t="s">
        <v>1</v>
      </c>
      <c r="L119" s="449" t="s">
        <v>1</v>
      </c>
      <c r="M119" s="449" t="s">
        <v>1</v>
      </c>
      <c r="N119" s="449" t="s">
        <v>1</v>
      </c>
      <c r="O119" s="449" t="s">
        <v>1</v>
      </c>
      <c r="P119" s="449" t="s">
        <v>1</v>
      </c>
      <c r="Q119" s="449"/>
      <c r="R119" s="449"/>
      <c r="S119" s="449"/>
      <c r="T119" s="449"/>
      <c r="U119" s="449"/>
    </row>
    <row r="120" spans="1:21" ht="15" customHeight="1">
      <c r="A120" s="449"/>
      <c r="B120" s="466" t="s">
        <v>22</v>
      </c>
      <c r="C120" s="449" t="s">
        <v>1</v>
      </c>
      <c r="D120" s="449" t="s">
        <v>1</v>
      </c>
      <c r="E120" s="449" t="s">
        <v>1</v>
      </c>
      <c r="F120" s="489"/>
      <c r="G120" s="489"/>
      <c r="H120" s="476" t="s">
        <v>23</v>
      </c>
      <c r="I120" s="476" t="s">
        <v>24</v>
      </c>
      <c r="J120" s="476" t="s">
        <v>25</v>
      </c>
      <c r="K120" s="449" t="s">
        <v>1</v>
      </c>
      <c r="L120" s="449" t="s">
        <v>1</v>
      </c>
      <c r="M120" s="449" t="s">
        <v>1</v>
      </c>
      <c r="N120" s="449" t="s">
        <v>1</v>
      </c>
      <c r="O120" s="449" t="s">
        <v>1</v>
      </c>
      <c r="P120" s="449" t="s">
        <v>1</v>
      </c>
      <c r="Q120" s="449"/>
      <c r="R120" s="449"/>
      <c r="S120" s="449"/>
      <c r="T120" s="449"/>
      <c r="U120" s="449"/>
    </row>
    <row r="121" spans="1:21" ht="15" customHeight="1">
      <c r="A121" s="449"/>
      <c r="B121" s="449" t="s">
        <v>26</v>
      </c>
      <c r="C121" s="491" t="s">
        <v>27</v>
      </c>
      <c r="D121" s="490" t="s">
        <v>4</v>
      </c>
      <c r="E121" s="473" t="s">
        <v>28</v>
      </c>
      <c r="F121" s="492" t="s">
        <v>29</v>
      </c>
      <c r="G121" s="492" t="s">
        <v>1</v>
      </c>
      <c r="H121" s="477">
        <f>C115</f>
        <v>0.05</v>
      </c>
      <c r="I121" s="493">
        <f>1-H121</f>
        <v>0.95</v>
      </c>
      <c r="J121" s="488" t="s">
        <v>30</v>
      </c>
      <c r="K121" s="488"/>
      <c r="L121" s="488"/>
      <c r="M121" s="488"/>
      <c r="N121" s="488"/>
      <c r="O121" s="449" t="s">
        <v>1</v>
      </c>
      <c r="P121" s="449" t="s">
        <v>1</v>
      </c>
      <c r="Q121" s="449"/>
      <c r="R121" s="449"/>
      <c r="S121" s="449"/>
      <c r="T121" s="449"/>
      <c r="U121" s="449"/>
    </row>
    <row r="122" spans="1:21" ht="15" customHeight="1">
      <c r="A122" s="449"/>
      <c r="B122" s="449" t="s">
        <v>31</v>
      </c>
      <c r="C122" s="494" t="s">
        <v>32</v>
      </c>
      <c r="D122" s="495">
        <v>0.08</v>
      </c>
      <c r="E122" s="473" t="s">
        <v>34</v>
      </c>
      <c r="F122" s="477">
        <v>0.2</v>
      </c>
      <c r="G122" s="449" t="s">
        <v>1</v>
      </c>
      <c r="H122" s="496">
        <f>1-($CA$9*(1-F122))</f>
        <v>0.24</v>
      </c>
      <c r="I122" s="493">
        <f>1-H122</f>
        <v>0.76</v>
      </c>
      <c r="J122" s="488" t="s">
        <v>35</v>
      </c>
      <c r="K122" s="488"/>
      <c r="L122" s="488"/>
      <c r="M122" s="488"/>
      <c r="N122" s="488"/>
      <c r="O122" s="449"/>
      <c r="P122" s="449"/>
      <c r="Q122" s="449"/>
      <c r="R122" s="449"/>
      <c r="S122" s="449"/>
      <c r="T122" s="449"/>
      <c r="U122" s="449"/>
    </row>
    <row r="123" spans="1:21" ht="15" customHeight="1">
      <c r="A123" s="449"/>
      <c r="B123" s="449" t="s">
        <v>36</v>
      </c>
      <c r="C123" s="494" t="s">
        <v>37</v>
      </c>
      <c r="D123" s="495">
        <v>0.12</v>
      </c>
      <c r="E123" s="473" t="s">
        <v>39</v>
      </c>
      <c r="F123" s="477">
        <v>0.3</v>
      </c>
      <c r="G123" s="449" t="s">
        <v>1</v>
      </c>
      <c r="H123" s="496">
        <f>1-($CA$9*(1-F123))</f>
        <v>0.33500000000000008</v>
      </c>
      <c r="I123" s="493">
        <f>1-H123</f>
        <v>0.66499999999999992</v>
      </c>
      <c r="J123" s="488" t="s">
        <v>40</v>
      </c>
      <c r="K123" s="488"/>
      <c r="L123" s="488"/>
      <c r="M123" s="488"/>
      <c r="N123" s="488"/>
      <c r="O123" s="449"/>
      <c r="P123" s="449"/>
      <c r="Q123" s="449"/>
      <c r="R123" s="449"/>
      <c r="S123" s="449"/>
      <c r="T123" s="449"/>
      <c r="U123" s="449"/>
    </row>
    <row r="124" spans="1:21" ht="15" customHeight="1">
      <c r="A124" s="449"/>
      <c r="B124" s="449" t="s">
        <v>41</v>
      </c>
      <c r="C124" s="494" t="s">
        <v>42</v>
      </c>
      <c r="D124" s="495">
        <v>0.15</v>
      </c>
      <c r="E124" s="473" t="s">
        <v>1</v>
      </c>
      <c r="F124" s="477">
        <v>0.4</v>
      </c>
      <c r="G124" s="449" t="s">
        <v>1</v>
      </c>
      <c r="H124" s="496">
        <f>1-($CA$9*(1-F124))</f>
        <v>0.43000000000000005</v>
      </c>
      <c r="I124" s="493">
        <f>1-H124</f>
        <v>0.56999999999999995</v>
      </c>
      <c r="J124" s="488" t="s">
        <v>44</v>
      </c>
      <c r="K124" s="488"/>
      <c r="L124" s="488"/>
      <c r="M124" s="488"/>
      <c r="N124" s="488"/>
      <c r="O124" s="449"/>
      <c r="P124" s="449"/>
      <c r="Q124" s="449"/>
      <c r="R124" s="449"/>
      <c r="S124" s="449"/>
      <c r="T124" s="449"/>
      <c r="U124" s="449"/>
    </row>
    <row r="125" spans="1:21" ht="15" customHeight="1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</row>
    <row r="126" spans="1:21" ht="15" customHeight="1">
      <c r="A126" s="449"/>
      <c r="B126" s="466" t="s">
        <v>379</v>
      </c>
      <c r="C126" s="479">
        <v>114000</v>
      </c>
      <c r="D126" s="497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</row>
    <row r="127" spans="1:21" ht="15" customHeight="1">
      <c r="A127" s="449"/>
      <c r="B127" s="498" t="s">
        <v>77</v>
      </c>
      <c r="C127" s="479">
        <v>367627</v>
      </c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</row>
    <row r="128" spans="1:21" ht="15" customHeight="1">
      <c r="A128" s="449"/>
      <c r="B128" s="499"/>
      <c r="C128" s="499"/>
      <c r="D128" s="500"/>
      <c r="E128" s="500"/>
      <c r="F128" s="501"/>
      <c r="G128" s="501"/>
      <c r="H128" s="502"/>
      <c r="I128" s="500"/>
      <c r="J128" s="502"/>
      <c r="K128" s="500"/>
      <c r="L128" s="500"/>
      <c r="M128" s="500"/>
      <c r="N128" s="500"/>
      <c r="O128" s="500"/>
      <c r="P128" s="500"/>
      <c r="Q128" s="449"/>
      <c r="R128" s="449"/>
      <c r="S128" s="449"/>
      <c r="T128" s="449"/>
      <c r="U128" s="449"/>
    </row>
    <row r="129" spans="1:21" ht="15" customHeight="1">
      <c r="A129" s="449"/>
      <c r="B129" s="503"/>
      <c r="C129" s="500"/>
      <c r="D129" s="500"/>
      <c r="E129" s="500"/>
      <c r="F129" s="501"/>
      <c r="G129" s="501"/>
      <c r="H129" s="504"/>
      <c r="I129" s="500"/>
      <c r="J129" s="504"/>
      <c r="K129" s="504"/>
      <c r="L129" s="500"/>
      <c r="M129" s="500"/>
      <c r="N129" s="500"/>
      <c r="O129" s="500"/>
      <c r="P129" s="500"/>
      <c r="Q129" s="449"/>
      <c r="R129" s="449"/>
      <c r="S129" s="449"/>
      <c r="T129" s="449"/>
      <c r="U129" s="449"/>
    </row>
    <row r="130" spans="1:21" ht="15" customHeight="1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</row>
    <row r="131" spans="1:21" ht="15" customHeight="1">
      <c r="A131" s="449"/>
      <c r="B131" s="505" t="s">
        <v>281</v>
      </c>
      <c r="C131" s="505"/>
      <c r="D131" s="505" t="s">
        <v>11</v>
      </c>
      <c r="E131" s="505"/>
      <c r="F131" s="505" t="s">
        <v>297</v>
      </c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</row>
    <row r="132" spans="1:21" ht="15" customHeight="1">
      <c r="B132" s="475" t="s">
        <v>4</v>
      </c>
      <c r="C132" s="476"/>
      <c r="D132" s="482">
        <v>1.2206999999999999</v>
      </c>
      <c r="E132" s="493"/>
      <c r="F132" s="493">
        <v>6.0100000000000001E-2</v>
      </c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</row>
    <row r="133" spans="1:21" ht="15" customHeight="1">
      <c r="B133" s="449" t="s">
        <v>286</v>
      </c>
      <c r="C133" s="477"/>
      <c r="D133" s="506">
        <v>2351464</v>
      </c>
      <c r="E133" s="506"/>
      <c r="F133" s="506">
        <v>16032900</v>
      </c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</row>
    <row r="134" spans="1:21" ht="15" customHeight="1">
      <c r="B134" s="449" t="s">
        <v>287</v>
      </c>
      <c r="C134" s="482"/>
      <c r="D134" s="506">
        <v>539446</v>
      </c>
      <c r="E134" s="506"/>
      <c r="F134" s="506">
        <v>10249467</v>
      </c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</row>
    <row r="135" spans="1:21" ht="15" customHeight="1">
      <c r="B135" s="449" t="s">
        <v>289</v>
      </c>
      <c r="C135" s="449"/>
      <c r="D135" s="506">
        <v>1812018</v>
      </c>
      <c r="E135" s="506"/>
      <c r="F135" s="506">
        <v>5783433</v>
      </c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</row>
    <row r="136" spans="1:21" ht="15" customHeight="1">
      <c r="B136" s="449" t="s">
        <v>27</v>
      </c>
      <c r="C136" s="449"/>
      <c r="D136" s="506" t="s">
        <v>380</v>
      </c>
      <c r="E136" s="449"/>
      <c r="F136" s="507" t="s">
        <v>380</v>
      </c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</row>
    <row r="137" spans="1:21" ht="15" customHeight="1"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</row>
    <row r="138" spans="1:21" ht="15" customHeight="1"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</row>
  </sheetData>
  <mergeCells count="9">
    <mergeCell ref="CH17:CL17"/>
    <mergeCell ref="Z28:AB28"/>
    <mergeCell ref="Z37:AB37"/>
    <mergeCell ref="B3:D3"/>
    <mergeCell ref="CD12:CE13"/>
    <mergeCell ref="CF12:CG12"/>
    <mergeCell ref="CH14:CL14"/>
    <mergeCell ref="CH15:CL15"/>
    <mergeCell ref="CH16:CL16"/>
  </mergeCells>
  <conditionalFormatting sqref="D16">
    <cfRule type="expression" dxfId="25" priority="3" stopIfTrue="1">
      <formula>$C4&lt;&gt;""</formula>
    </cfRule>
  </conditionalFormatting>
  <conditionalFormatting sqref="D17">
    <cfRule type="expression" dxfId="24" priority="6" stopIfTrue="1">
      <formula>$C8&lt;&gt;""</formula>
    </cfRule>
  </conditionalFormatting>
  <conditionalFormatting sqref="D18:D19">
    <cfRule type="expression" dxfId="23" priority="4" stopIfTrue="1">
      <formula>$C10&lt;&gt;""</formula>
    </cfRule>
  </conditionalFormatting>
  <conditionalFormatting sqref="D24:D26 D29">
    <cfRule type="expression" dxfId="22" priority="1" stopIfTrue="1">
      <formula>$C25&lt;&gt;""</formula>
    </cfRule>
  </conditionalFormatting>
  <conditionalFormatting sqref="D27:D28">
    <cfRule type="expression" dxfId="21" priority="5" stopIfTrue="1">
      <formula>$C29&lt;&gt;""</formula>
    </cfRule>
  </conditionalFormatting>
  <conditionalFormatting sqref="D30">
    <cfRule type="expression" dxfId="20" priority="2" stopIfTrue="1">
      <formula>#REF!&lt;&gt;""</formula>
    </cfRule>
  </conditionalFormatting>
  <dataValidations count="6">
    <dataValidation type="list" allowBlank="1" showInputMessage="1" showErrorMessage="1" sqref="AG9" xr:uid="{01C61F7B-7558-4945-8517-F313DD1B7040}">
      <formula1>"Simple, Detailed"</formula1>
    </dataValidation>
    <dataValidation type="whole" allowBlank="1" showInputMessage="1" showErrorMessage="1" errorTitle="Invalid Year" error="Mininum of 1 year._x000a_Maximum of 15 years." sqref="D10" xr:uid="{E84D49F9-C701-4E56-81E5-3042CA3871FB}">
      <formula1>1</formula1>
      <formula2>15</formula2>
    </dataValidation>
    <dataValidation type="list" allowBlank="1" showInputMessage="1" showErrorMessage="1" sqref="D7" xr:uid="{317CEBE1-2EAE-451D-9E8D-5673AB2EE3BD}">
      <formula1>"Manual Input,DCF Value,Cap Year 1 NOI,Replacement Cost"</formula1>
    </dataValidation>
    <dataValidation type="decimal" operator="greaterThan" allowBlank="1" showInputMessage="1" showErrorMessage="1" sqref="D15" xr:uid="{44E106F7-B9FF-46C9-9787-A56969238D82}">
      <formula1>0</formula1>
    </dataValidation>
    <dataValidation type="list" allowBlank="1" showInputMessage="1" showErrorMessage="1" sqref="I3 D9" xr:uid="{0591F556-7574-4218-9EB8-981EEB496CD9}">
      <formula1>"SF,M2"</formula1>
    </dataValidation>
    <dataValidation type="list" allowBlank="1" showInputMessage="1" showErrorMessage="1" errorTitle="Invalid Entry" error="Enter a value lesser than or equal to 15 years (max length available in this model)" sqref="D11" xr:uid="{928B0490-A92E-410D-8509-CC588AA778E6}">
      <formula1>"T12,Forward 12"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F88F-4597-4C4A-9031-D7C2367581A8}">
  <dimension ref="A1:DO138"/>
  <sheetViews>
    <sheetView topLeftCell="AG10" workbookViewId="0">
      <selection activeCell="AM21" sqref="AM21"/>
    </sheetView>
  </sheetViews>
  <sheetFormatPr defaultColWidth="10.7109375" defaultRowHeight="15.4"/>
  <cols>
    <col min="1" max="1" width="3.5703125" style="55" customWidth="1"/>
    <col min="2" max="2" width="31.7109375" style="55" bestFit="1" customWidth="1"/>
    <col min="3" max="3" width="17" style="55" customWidth="1"/>
    <col min="4" max="4" width="20.140625" style="55" customWidth="1"/>
    <col min="5" max="5" width="22.42578125" style="55" customWidth="1"/>
    <col min="6" max="6" width="24.28515625" style="55" customWidth="1"/>
    <col min="7" max="7" width="19.140625" style="55" customWidth="1"/>
    <col min="8" max="8" width="16.85546875" style="55" customWidth="1"/>
    <col min="9" max="9" width="19.28515625" style="55" customWidth="1"/>
    <col min="10" max="10" width="21.28515625" style="55" customWidth="1"/>
    <col min="11" max="11" width="18.42578125" style="55" customWidth="1"/>
    <col min="12" max="12" width="10.7109375" style="55"/>
    <col min="13" max="13" width="11.85546875" style="55" bestFit="1" customWidth="1"/>
    <col min="14" max="23" width="10.7109375" style="55"/>
    <col min="24" max="24" width="10.7109375" style="161"/>
    <col min="25" max="25" width="10.7109375" style="55"/>
    <col min="26" max="26" width="24.85546875" style="55" customWidth="1"/>
    <col min="27" max="27" width="1.7109375" style="55" customWidth="1"/>
    <col min="28" max="28" width="18.140625" style="55" customWidth="1"/>
    <col min="29" max="29" width="19.85546875" style="163" customWidth="1"/>
    <col min="30" max="30" width="11" style="55" customWidth="1"/>
    <col min="31" max="32" width="10.7109375" style="55"/>
    <col min="33" max="33" width="30" style="55" customWidth="1"/>
    <col min="34" max="34" width="25.28515625" style="55" customWidth="1"/>
    <col min="35" max="35" width="11.28515625" style="55" customWidth="1"/>
    <col min="36" max="36" width="14.7109375" style="399" customWidth="1"/>
    <col min="37" max="37" width="14.42578125" style="55" customWidth="1"/>
    <col min="38" max="38" width="15" style="55" customWidth="1"/>
    <col min="39" max="39" width="21.140625" style="55" customWidth="1"/>
    <col min="40" max="40" width="11.85546875" style="55" customWidth="1"/>
    <col min="41" max="41" width="12.140625" style="55" customWidth="1"/>
    <col min="42" max="42" width="13.28515625" style="55" customWidth="1"/>
    <col min="43" max="43" width="11.7109375" style="55" bestFit="1" customWidth="1"/>
    <col min="44" max="44" width="13.5703125" style="55" bestFit="1" customWidth="1"/>
    <col min="45" max="45" width="12.85546875" style="55" customWidth="1"/>
    <col min="46" max="46" width="13" style="55" customWidth="1"/>
    <col min="47" max="47" width="12" style="55" customWidth="1"/>
    <col min="48" max="48" width="12.85546875" style="55" customWidth="1"/>
    <col min="49" max="49" width="12.42578125" style="55" customWidth="1"/>
    <col min="50" max="50" width="13.5703125" style="55" customWidth="1"/>
    <col min="51" max="51" width="12.5703125" style="55" customWidth="1"/>
    <col min="52" max="52" width="13.28515625" style="55" customWidth="1"/>
    <col min="53" max="53" width="36" style="380" customWidth="1"/>
    <col min="54" max="55" width="10.7109375" style="55"/>
    <col min="56" max="56" width="5.7109375" style="55" bestFit="1" customWidth="1"/>
    <col min="57" max="57" width="70.85546875" style="55" bestFit="1" customWidth="1"/>
    <col min="58" max="58" width="11.140625" style="55" bestFit="1" customWidth="1"/>
    <col min="59" max="60" width="11.7109375" style="55" customWidth="1"/>
    <col min="61" max="61" width="12.28515625" style="55" bestFit="1" customWidth="1"/>
    <col min="62" max="69" width="11.7109375" style="55" customWidth="1"/>
    <col min="70" max="70" width="14.42578125" style="55" customWidth="1"/>
    <col min="71" max="74" width="2.5703125" style="55" bestFit="1" customWidth="1"/>
    <col min="75" max="76" width="10.7109375" style="55"/>
    <col min="77" max="77" width="5.7109375" style="55" bestFit="1" customWidth="1"/>
    <col min="78" max="78" width="51" style="55" customWidth="1"/>
    <col min="79" max="79" width="16" style="55" bestFit="1" customWidth="1"/>
    <col min="80" max="80" width="16.28515625" style="55" customWidth="1"/>
    <col min="81" max="81" width="20.42578125" style="55" bestFit="1" customWidth="1"/>
    <col min="82" max="82" width="13.5703125" style="55" bestFit="1" customWidth="1"/>
    <col min="83" max="83" width="11.7109375" style="55" customWidth="1"/>
    <col min="84" max="84" width="10.5703125" style="55" customWidth="1"/>
    <col min="85" max="85" width="13.42578125" style="55" customWidth="1"/>
    <col min="86" max="86" width="12" style="55" bestFit="1" customWidth="1"/>
    <col min="87" max="87" width="12.28515625" style="55" customWidth="1"/>
    <col min="88" max="88" width="10.7109375" style="55"/>
    <col min="89" max="89" width="11.140625" style="55" customWidth="1"/>
    <col min="90" max="90" width="11.5703125" style="55" customWidth="1"/>
    <col min="91" max="92" width="11.85546875" style="55" customWidth="1"/>
    <col min="93" max="98" width="2.7109375" style="55" bestFit="1" customWidth="1"/>
    <col min="99" max="100" width="10.7109375" style="55"/>
    <col min="101" max="101" width="15.5703125" style="55" customWidth="1"/>
    <col min="102" max="103" width="13" style="55" bestFit="1" customWidth="1"/>
    <col min="104" max="104" width="22.7109375" style="55" customWidth="1"/>
    <col min="105" max="16384" width="10.7109375" style="55"/>
  </cols>
  <sheetData>
    <row r="1" spans="2:119" ht="51.95" customHeight="1">
      <c r="B1" s="160" t="s">
        <v>343</v>
      </c>
      <c r="Z1" s="162" t="s">
        <v>573</v>
      </c>
      <c r="AG1" s="160" t="s">
        <v>574</v>
      </c>
      <c r="AO1" s="164"/>
      <c r="BE1" s="160" t="s">
        <v>575</v>
      </c>
      <c r="BZ1" s="160" t="s">
        <v>122</v>
      </c>
      <c r="CW1" s="160" t="s">
        <v>576</v>
      </c>
    </row>
    <row r="2" spans="2:119" ht="16.899999999999999">
      <c r="Z2" s="286" t="s">
        <v>125</v>
      </c>
      <c r="AA2" s="286"/>
      <c r="AB2" s="286"/>
      <c r="AG2" s="165"/>
      <c r="AH2" s="165"/>
      <c r="AI2" s="165"/>
      <c r="AJ2" s="400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381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Z2" s="166" t="str">
        <f>D4</f>
        <v>Hiland Office</v>
      </c>
      <c r="CA2" s="167" t="s">
        <v>1</v>
      </c>
      <c r="CB2" s="167" t="s">
        <v>1</v>
      </c>
      <c r="CC2" s="167" t="s">
        <v>1</v>
      </c>
      <c r="CD2" s="167" t="s">
        <v>1</v>
      </c>
      <c r="CE2" s="167" t="s">
        <v>1</v>
      </c>
      <c r="CF2" s="167" t="s">
        <v>1</v>
      </c>
      <c r="CG2" s="167" t="s">
        <v>1</v>
      </c>
      <c r="CH2" s="167" t="s">
        <v>1</v>
      </c>
      <c r="CI2" s="167" t="s">
        <v>1</v>
      </c>
      <c r="CJ2" s="167" t="s">
        <v>1</v>
      </c>
      <c r="CK2" s="167" t="s">
        <v>1</v>
      </c>
      <c r="CL2" s="167" t="s">
        <v>1</v>
      </c>
      <c r="CM2" s="167" t="s">
        <v>1</v>
      </c>
      <c r="CN2" s="167" t="s">
        <v>1</v>
      </c>
      <c r="CO2" s="167" t="s">
        <v>1</v>
      </c>
      <c r="CP2" s="167" t="s">
        <v>1</v>
      </c>
      <c r="CQ2" s="167" t="s">
        <v>1</v>
      </c>
      <c r="CR2" s="167" t="s">
        <v>1</v>
      </c>
      <c r="CS2" s="167" t="s">
        <v>1</v>
      </c>
    </row>
    <row r="3" spans="2:119" ht="34.9">
      <c r="B3" s="837" t="s">
        <v>125</v>
      </c>
      <c r="C3" s="837"/>
      <c r="D3" s="837"/>
      <c r="F3" s="168"/>
      <c r="G3" s="169"/>
      <c r="Z3" s="263" t="s">
        <v>126</v>
      </c>
      <c r="AA3" s="263"/>
      <c r="AB3" s="287">
        <f>(1+D18)*AB12+AB29*D30+D17</f>
        <v>26491604.081</v>
      </c>
      <c r="AC3" s="163" t="s">
        <v>127</v>
      </c>
      <c r="AG3" s="170" t="s">
        <v>128</v>
      </c>
      <c r="AH3" s="170"/>
      <c r="AI3" s="170"/>
      <c r="AJ3" s="401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382"/>
      <c r="BB3" s="170"/>
      <c r="BC3" s="170"/>
      <c r="BD3" s="293"/>
      <c r="BE3" s="170" t="s">
        <v>128</v>
      </c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1"/>
      <c r="BZ3" s="330" t="s">
        <v>1</v>
      </c>
      <c r="CA3" s="331" t="s">
        <v>1</v>
      </c>
      <c r="CB3" s="331" t="s">
        <v>1</v>
      </c>
      <c r="CC3" s="173" t="s">
        <v>1</v>
      </c>
      <c r="CD3" s="173" t="s">
        <v>1</v>
      </c>
      <c r="CE3" s="173" t="s">
        <v>1</v>
      </c>
      <c r="CF3" s="173" t="s">
        <v>1</v>
      </c>
      <c r="CG3" s="173" t="s">
        <v>1</v>
      </c>
      <c r="CH3" s="173" t="s">
        <v>1</v>
      </c>
      <c r="CI3" s="173" t="s">
        <v>1</v>
      </c>
      <c r="CJ3" s="173" t="s">
        <v>1</v>
      </c>
      <c r="CK3" s="173" t="s">
        <v>1</v>
      </c>
      <c r="CL3" s="173" t="s">
        <v>1</v>
      </c>
      <c r="CM3" s="173" t="s">
        <v>1</v>
      </c>
      <c r="CN3" s="173" t="s">
        <v>1</v>
      </c>
      <c r="CO3" s="173" t="s">
        <v>1</v>
      </c>
      <c r="CP3" s="173" t="s">
        <v>1</v>
      </c>
      <c r="CQ3" s="173" t="s">
        <v>1</v>
      </c>
      <c r="CR3" s="173" t="s">
        <v>1</v>
      </c>
      <c r="CS3" s="173" t="s">
        <v>1</v>
      </c>
      <c r="CW3" s="231"/>
      <c r="CX3" s="231" t="s">
        <v>46</v>
      </c>
      <c r="CY3" s="231" t="s">
        <v>129</v>
      </c>
      <c r="CZ3" s="248" t="s">
        <v>130</v>
      </c>
      <c r="DA3" s="598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</row>
    <row r="4" spans="2:119" ht="15.75">
      <c r="B4" s="35" t="s">
        <v>131</v>
      </c>
      <c r="C4" s="174"/>
      <c r="D4" s="36" t="s">
        <v>132</v>
      </c>
      <c r="G4" s="175"/>
      <c r="Z4" s="263" t="s">
        <v>133</v>
      </c>
      <c r="AA4" s="263"/>
      <c r="AB4" s="288">
        <f>AB6/AB12</f>
        <v>6.5000013662881231E-2</v>
      </c>
      <c r="AC4" s="163" t="s">
        <v>134</v>
      </c>
      <c r="AG4" s="165"/>
      <c r="AH4" s="165"/>
      <c r="AI4" s="165"/>
      <c r="AJ4" s="400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381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Z4" s="359" t="s">
        <v>3</v>
      </c>
      <c r="CA4" s="360" t="s">
        <v>1</v>
      </c>
      <c r="CB4" s="361"/>
      <c r="CC4" s="360" t="s">
        <v>1</v>
      </c>
      <c r="CD4" s="362"/>
      <c r="CE4" s="363"/>
      <c r="CF4" s="363"/>
      <c r="CG4" s="363"/>
      <c r="CH4" s="360" t="s">
        <v>1</v>
      </c>
      <c r="CI4" s="360" t="s">
        <v>1</v>
      </c>
      <c r="CJ4" s="360" t="s">
        <v>1</v>
      </c>
      <c r="CK4" s="360" t="s">
        <v>1</v>
      </c>
      <c r="CL4" s="360" t="s">
        <v>1</v>
      </c>
      <c r="CM4" s="360" t="s">
        <v>1</v>
      </c>
      <c r="CN4" s="360" t="s">
        <v>1</v>
      </c>
      <c r="CO4" s="360" t="s">
        <v>1</v>
      </c>
      <c r="CP4" s="360" t="s">
        <v>1</v>
      </c>
      <c r="CQ4" s="360" t="s">
        <v>1</v>
      </c>
      <c r="CR4" s="364" t="s">
        <v>1</v>
      </c>
      <c r="CS4" s="173" t="s">
        <v>1</v>
      </c>
      <c r="CW4" s="55" t="s">
        <v>135</v>
      </c>
      <c r="CX4" s="441">
        <f>G88</f>
        <v>645198</v>
      </c>
      <c r="CY4" s="441">
        <f>I88</f>
        <v>782198.00000000047</v>
      </c>
      <c r="CZ4" s="446">
        <f>K88</f>
        <v>782198</v>
      </c>
    </row>
    <row r="5" spans="2:119" ht="23.25">
      <c r="B5" s="35" t="s">
        <v>136</v>
      </c>
      <c r="C5" s="174"/>
      <c r="D5" s="37" t="s">
        <v>137</v>
      </c>
      <c r="G5" s="177"/>
      <c r="Z5" s="263" t="s">
        <v>138</v>
      </c>
      <c r="AA5" s="263"/>
      <c r="AB5" s="289">
        <f>AB12/D16</f>
        <v>511.28307999999998</v>
      </c>
      <c r="AC5" s="163" t="s">
        <v>139</v>
      </c>
      <c r="AG5" s="165"/>
      <c r="AH5" s="165"/>
      <c r="AI5" s="165"/>
      <c r="AJ5" s="400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381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Z5" s="365" t="s">
        <v>5</v>
      </c>
      <c r="CA5" s="173" t="s">
        <v>1</v>
      </c>
      <c r="CB5" s="178"/>
      <c r="CC5" s="332" t="s">
        <v>7</v>
      </c>
      <c r="CD5" s="332"/>
      <c r="CE5" s="332"/>
      <c r="CF5" s="332"/>
      <c r="CG5" s="332"/>
      <c r="CH5" s="173" t="s">
        <v>1</v>
      </c>
      <c r="CI5" s="173" t="s">
        <v>1</v>
      </c>
      <c r="CJ5" s="173" t="s">
        <v>1</v>
      </c>
      <c r="CK5" s="173" t="s">
        <v>1</v>
      </c>
      <c r="CL5" s="173" t="s">
        <v>1</v>
      </c>
      <c r="CM5" s="173" t="s">
        <v>1</v>
      </c>
      <c r="CN5" s="173" t="s">
        <v>1</v>
      </c>
      <c r="CO5" s="173" t="s">
        <v>1</v>
      </c>
      <c r="CP5" s="173" t="s">
        <v>1</v>
      </c>
      <c r="CQ5" s="173" t="s">
        <v>1</v>
      </c>
      <c r="CR5" s="366" t="s">
        <v>1</v>
      </c>
      <c r="CS5" s="173" t="s">
        <v>1</v>
      </c>
      <c r="CW5" s="55" t="s">
        <v>140</v>
      </c>
      <c r="CX5" s="441">
        <f>G89</f>
        <v>322597.19999999995</v>
      </c>
      <c r="CY5" s="441">
        <f>I89</f>
        <v>322597.19999999995</v>
      </c>
      <c r="CZ5" s="446">
        <f>K89</f>
        <v>322597.19999999995</v>
      </c>
    </row>
    <row r="6" spans="2:119" ht="18.399999999999999">
      <c r="B6" s="35"/>
      <c r="C6" s="174"/>
      <c r="D6" s="38"/>
      <c r="Z6" s="263" t="s">
        <v>141</v>
      </c>
      <c r="AA6" s="263"/>
      <c r="AB6" s="290">
        <f>BH23</f>
        <v>1661670.35928</v>
      </c>
      <c r="AC6" s="163" t="s">
        <v>142</v>
      </c>
      <c r="AG6" s="179" t="s">
        <v>143</v>
      </c>
      <c r="AH6" s="180"/>
      <c r="AI6" s="180"/>
      <c r="AJ6" s="402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383"/>
      <c r="BB6" s="180"/>
      <c r="BC6" s="180"/>
      <c r="BD6" s="181"/>
      <c r="BE6" s="179" t="str">
        <f>UPPER("Property-Level Cash Flow and Returns")</f>
        <v>PROPERTY-LEVEL CASH FLOW AND RETURNS</v>
      </c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1"/>
      <c r="BZ6" s="367" t="s">
        <v>1</v>
      </c>
      <c r="CA6" s="182" t="s">
        <v>1</v>
      </c>
      <c r="CH6" s="182" t="s">
        <v>1</v>
      </c>
      <c r="CI6" s="182" t="s">
        <v>1</v>
      </c>
      <c r="CJ6" s="182" t="s">
        <v>1</v>
      </c>
      <c r="CK6" s="173" t="s">
        <v>1</v>
      </c>
      <c r="CL6" s="182" t="s">
        <v>1</v>
      </c>
      <c r="CM6" s="182" t="s">
        <v>1</v>
      </c>
      <c r="CN6" s="182" t="s">
        <v>1</v>
      </c>
      <c r="CO6" s="182" t="s">
        <v>1</v>
      </c>
      <c r="CP6" s="182" t="s">
        <v>1</v>
      </c>
      <c r="CQ6" s="182" t="s">
        <v>1</v>
      </c>
      <c r="CR6" s="229" t="s">
        <v>1</v>
      </c>
      <c r="CS6" s="182" t="s">
        <v>1</v>
      </c>
      <c r="CW6" s="55" t="s">
        <v>144</v>
      </c>
      <c r="CX6" s="441">
        <f>G90</f>
        <v>258085.19999999998</v>
      </c>
      <c r="CY6" s="441">
        <f>I90</f>
        <v>258085.19999999998</v>
      </c>
      <c r="CZ6" s="446">
        <f>K90</f>
        <v>258085.19999999998</v>
      </c>
    </row>
    <row r="7" spans="2:119" ht="15.75">
      <c r="B7" s="255" t="s">
        <v>145</v>
      </c>
      <c r="C7" s="183"/>
      <c r="D7" s="37" t="s">
        <v>146</v>
      </c>
      <c r="Z7" s="263" t="s">
        <v>147</v>
      </c>
      <c r="AA7" s="263"/>
      <c r="AB7" s="290">
        <f>BJ23</f>
        <v>1661670.35928</v>
      </c>
      <c r="AC7" s="163" t="s">
        <v>142</v>
      </c>
      <c r="AG7" s="184" t="str">
        <f>UPPER(_xlfn.SINGLE(Name))</f>
        <v>HILAND OFFICE</v>
      </c>
      <c r="AH7" s="185"/>
      <c r="AI7" s="185"/>
      <c r="AJ7" s="400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384"/>
      <c r="BB7" s="185"/>
      <c r="BC7" s="185"/>
      <c r="BD7" s="165"/>
      <c r="BE7" s="184" t="str" cm="1">
        <f t="array" ref="BE7">UPPER(Name)</f>
        <v>HILAND OFFICE</v>
      </c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65"/>
      <c r="BZ7" s="368" t="s">
        <v>8</v>
      </c>
      <c r="CA7" s="345" t="s">
        <v>9</v>
      </c>
      <c r="CB7" s="345" t="s">
        <v>10</v>
      </c>
      <c r="CD7" s="168"/>
      <c r="CH7" s="182" t="s">
        <v>1</v>
      </c>
      <c r="CI7" s="182" t="s">
        <v>1</v>
      </c>
      <c r="CJ7" s="182" t="s">
        <v>1</v>
      </c>
      <c r="CK7" s="173" t="s">
        <v>1</v>
      </c>
      <c r="CL7" s="182" t="s">
        <v>1</v>
      </c>
      <c r="CM7" s="182" t="s">
        <v>1</v>
      </c>
      <c r="CN7" s="182" t="s">
        <v>1</v>
      </c>
      <c r="CO7" s="182" t="s">
        <v>1</v>
      </c>
      <c r="CP7" s="182" t="s">
        <v>1</v>
      </c>
      <c r="CQ7" s="182" t="s">
        <v>1</v>
      </c>
      <c r="CR7" s="229" t="s">
        <v>1</v>
      </c>
      <c r="CS7" s="182" t="s">
        <v>1</v>
      </c>
      <c r="CW7" s="55" t="s">
        <v>148</v>
      </c>
      <c r="CX7" s="441">
        <f>G91</f>
        <v>387120</v>
      </c>
      <c r="CY7" s="441">
        <f>I91</f>
        <v>387120</v>
      </c>
      <c r="CZ7" s="446">
        <f>K91</f>
        <v>387120</v>
      </c>
    </row>
    <row r="8" spans="2:119" ht="24.75" customHeight="1">
      <c r="B8" s="35" t="s">
        <v>149</v>
      </c>
      <c r="C8" s="174"/>
      <c r="D8" s="39">
        <v>45839</v>
      </c>
      <c r="E8" s="187"/>
      <c r="Z8" s="263" t="s">
        <v>150</v>
      </c>
      <c r="AA8" s="263"/>
      <c r="AB8" s="288">
        <f>D13+(D10*(D12/10000))</f>
        <v>7.0000000000000007E-2</v>
      </c>
      <c r="AC8" s="163" t="s">
        <v>151</v>
      </c>
      <c r="AG8" s="188" t="s">
        <v>152</v>
      </c>
      <c r="AH8" s="103"/>
      <c r="AI8" s="61"/>
      <c r="AJ8" s="400"/>
      <c r="AK8" s="189"/>
      <c r="AL8" s="190">
        <f>D16</f>
        <v>50000</v>
      </c>
      <c r="AM8" s="58"/>
      <c r="AN8" s="191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385"/>
      <c r="BB8" s="58"/>
      <c r="BC8" s="58"/>
      <c r="BD8" s="165"/>
      <c r="BE8" s="150"/>
      <c r="BF8" s="275"/>
      <c r="BG8" s="308">
        <v>0</v>
      </c>
      <c r="BH8" s="309">
        <f>IF(OR(BG8="",BG8=Analysis_Period+1),"",BG8+1)</f>
        <v>1</v>
      </c>
      <c r="BI8" s="309">
        <f t="shared" ref="BI8:BV8" si="0">IF(OR(BH8="",BH8=_xlfn.SINGLE(Analysis_Period)+1),"",BH8+1)</f>
        <v>2</v>
      </c>
      <c r="BJ8" s="309">
        <f t="shared" si="0"/>
        <v>3</v>
      </c>
      <c r="BK8" s="309">
        <f t="shared" si="0"/>
        <v>4</v>
      </c>
      <c r="BL8" s="309">
        <f t="shared" si="0"/>
        <v>5</v>
      </c>
      <c r="BM8" s="309">
        <f t="shared" si="0"/>
        <v>6</v>
      </c>
      <c r="BN8" s="309">
        <f t="shared" si="0"/>
        <v>7</v>
      </c>
      <c r="BO8" s="309">
        <f t="shared" si="0"/>
        <v>8</v>
      </c>
      <c r="BP8" s="309">
        <f t="shared" si="0"/>
        <v>9</v>
      </c>
      <c r="BQ8" s="309">
        <f t="shared" si="0"/>
        <v>10</v>
      </c>
      <c r="BR8" s="309">
        <f t="shared" si="0"/>
        <v>11</v>
      </c>
      <c r="BS8" s="309" t="str">
        <f t="shared" si="0"/>
        <v/>
      </c>
      <c r="BT8" s="309" t="str">
        <f t="shared" si="0"/>
        <v/>
      </c>
      <c r="BU8" s="309" t="str">
        <f t="shared" si="0"/>
        <v/>
      </c>
      <c r="BV8" s="309" t="str">
        <f t="shared" si="0"/>
        <v/>
      </c>
      <c r="BW8" s="165"/>
      <c r="BZ8" s="367" t="s">
        <v>11</v>
      </c>
      <c r="CA8" s="346">
        <v>0.05</v>
      </c>
      <c r="CB8" s="192">
        <f>CB10*CA8</f>
        <v>500953.46468920953</v>
      </c>
      <c r="CC8" s="182" t="s">
        <v>1</v>
      </c>
      <c r="CD8" s="182" t="s">
        <v>1</v>
      </c>
      <c r="CE8" s="193" t="s">
        <v>1</v>
      </c>
      <c r="CF8" s="182" t="s">
        <v>1</v>
      </c>
      <c r="CG8" s="182" t="s">
        <v>1</v>
      </c>
      <c r="CH8" s="182" t="s">
        <v>1</v>
      </c>
      <c r="CI8" s="347" t="s">
        <v>12</v>
      </c>
      <c r="CJ8" s="348" t="s">
        <v>13</v>
      </c>
      <c r="CK8" s="182" t="s">
        <v>1</v>
      </c>
      <c r="CL8" s="182" t="s">
        <v>1</v>
      </c>
      <c r="CM8" s="182" t="s">
        <v>1</v>
      </c>
      <c r="CN8" s="182" t="s">
        <v>1</v>
      </c>
      <c r="CO8" s="182" t="s">
        <v>1</v>
      </c>
      <c r="CP8" s="182" t="s">
        <v>1</v>
      </c>
      <c r="CQ8" s="182" t="s">
        <v>1</v>
      </c>
      <c r="CR8" s="229" t="s">
        <v>1</v>
      </c>
      <c r="CS8" s="182" t="s">
        <v>1</v>
      </c>
      <c r="CW8" s="55" t="s">
        <v>153</v>
      </c>
      <c r="CX8" s="441"/>
      <c r="CY8" s="441"/>
    </row>
    <row r="9" spans="2:119" ht="10.9" customHeight="1">
      <c r="B9" s="35" t="s">
        <v>154</v>
      </c>
      <c r="C9" s="174"/>
      <c r="D9" s="40" t="s">
        <v>155</v>
      </c>
      <c r="Z9" s="263" t="s">
        <v>156</v>
      </c>
      <c r="AA9" s="263"/>
      <c r="AB9" s="599">
        <f>INDEX(BH32:BV32,1,D10)</f>
        <v>26299818.63608633</v>
      </c>
      <c r="AC9" s="163" t="s">
        <v>157</v>
      </c>
      <c r="AG9" s="194"/>
      <c r="AH9" s="60" t="str">
        <f>IF(AG9="Simple","","See row 45")</f>
        <v>See row 45</v>
      </c>
      <c r="AI9" s="61"/>
      <c r="AJ9" s="403"/>
      <c r="AK9" s="62" t="str">
        <f>C37</f>
        <v>Year 0</v>
      </c>
      <c r="AL9" s="62" t="str">
        <f>D37</f>
        <v>T12</v>
      </c>
      <c r="AM9" s="62" t="s">
        <v>130</v>
      </c>
      <c r="AN9" s="63" t="str">
        <f>"/"&amp;D9</f>
        <v>/SF</v>
      </c>
      <c r="AO9" s="64"/>
      <c r="AP9" s="65">
        <f t="shared" ref="AP9:AZ9" si="1">BH8</f>
        <v>1</v>
      </c>
      <c r="AQ9" s="65">
        <f t="shared" si="1"/>
        <v>2</v>
      </c>
      <c r="AR9" s="65">
        <f t="shared" si="1"/>
        <v>3</v>
      </c>
      <c r="AS9" s="65">
        <f t="shared" si="1"/>
        <v>4</v>
      </c>
      <c r="AT9" s="65">
        <f t="shared" si="1"/>
        <v>5</v>
      </c>
      <c r="AU9" s="65">
        <f t="shared" si="1"/>
        <v>6</v>
      </c>
      <c r="AV9" s="65">
        <f t="shared" si="1"/>
        <v>7</v>
      </c>
      <c r="AW9" s="65">
        <f t="shared" si="1"/>
        <v>8</v>
      </c>
      <c r="AX9" s="65">
        <f t="shared" si="1"/>
        <v>9</v>
      </c>
      <c r="AY9" s="65">
        <f t="shared" si="1"/>
        <v>10</v>
      </c>
      <c r="AZ9" s="65">
        <f t="shared" si="1"/>
        <v>11</v>
      </c>
      <c r="BA9" s="386"/>
      <c r="BB9" s="65"/>
      <c r="BC9" s="65"/>
      <c r="BD9" s="294"/>
      <c r="BE9" s="310" t="s">
        <v>158</v>
      </c>
      <c r="BF9" s="311" t="s">
        <v>75</v>
      </c>
      <c r="BG9" s="312">
        <f>EOMONTH(Analysis_Start,-1)</f>
        <v>45838</v>
      </c>
      <c r="BH9" s="312">
        <f>EOMONTH(Analysis_Start,11)</f>
        <v>46203</v>
      </c>
      <c r="BI9" s="312">
        <f t="shared" ref="BI9:BV9" si="2">_xlfn.SINGLE(IF(BI8="","",EOMONTH(Analysis_Start,(11*BI8)+BH8)))</f>
        <v>46568</v>
      </c>
      <c r="BJ9" s="312">
        <f t="shared" si="2"/>
        <v>46934</v>
      </c>
      <c r="BK9" s="312">
        <f t="shared" si="2"/>
        <v>47299</v>
      </c>
      <c r="BL9" s="312">
        <f t="shared" si="2"/>
        <v>47664</v>
      </c>
      <c r="BM9" s="312">
        <f t="shared" si="2"/>
        <v>48029</v>
      </c>
      <c r="BN9" s="312">
        <f t="shared" si="2"/>
        <v>48395</v>
      </c>
      <c r="BO9" s="312">
        <f t="shared" si="2"/>
        <v>48760</v>
      </c>
      <c r="BP9" s="312">
        <f t="shared" si="2"/>
        <v>49125</v>
      </c>
      <c r="BQ9" s="312">
        <f t="shared" si="2"/>
        <v>49490</v>
      </c>
      <c r="BR9" s="312">
        <f>_xlfn.SINGLE(IF(BR8="","",EOMONTH(Analysis_Start,(11*BR8)+BQ8)))</f>
        <v>49856</v>
      </c>
      <c r="BS9" s="312" t="str">
        <f t="shared" si="2"/>
        <v/>
      </c>
      <c r="BT9" s="312" t="str">
        <f t="shared" si="2"/>
        <v/>
      </c>
      <c r="BU9" s="312" t="str">
        <f t="shared" si="2"/>
        <v/>
      </c>
      <c r="BV9" s="312" t="str">
        <f t="shared" si="2"/>
        <v/>
      </c>
      <c r="BW9" s="165"/>
      <c r="BZ9" s="367" t="s">
        <v>14</v>
      </c>
      <c r="CA9" s="349">
        <f>100%-CA8</f>
        <v>0.95</v>
      </c>
      <c r="CB9" s="350">
        <f>CB10*CA9</f>
        <v>9518115.8290949799</v>
      </c>
      <c r="CC9" s="182" t="s">
        <v>1</v>
      </c>
      <c r="CD9" s="182" t="s">
        <v>1</v>
      </c>
      <c r="CE9" s="193" t="s">
        <v>1</v>
      </c>
      <c r="CF9" s="182" t="s">
        <v>1</v>
      </c>
      <c r="CG9" s="182" t="s">
        <v>1</v>
      </c>
      <c r="CH9" s="182" t="s">
        <v>1</v>
      </c>
      <c r="CI9" s="347" t="s">
        <v>15</v>
      </c>
      <c r="CJ9" s="351" t="e">
        <f>(CB23+CB32)/1000000</f>
        <v>#VALUE!</v>
      </c>
      <c r="CK9" s="182" t="s">
        <v>1</v>
      </c>
      <c r="CL9" s="182" t="s">
        <v>1</v>
      </c>
      <c r="CM9" s="182" t="s">
        <v>1</v>
      </c>
      <c r="CN9" s="182" t="s">
        <v>1</v>
      </c>
      <c r="CO9" s="182" t="s">
        <v>1</v>
      </c>
      <c r="CP9" s="182" t="s">
        <v>1</v>
      </c>
      <c r="CQ9" s="182" t="s">
        <v>1</v>
      </c>
      <c r="CR9" s="229" t="s">
        <v>1</v>
      </c>
      <c r="CS9" s="182" t="s">
        <v>1</v>
      </c>
      <c r="CW9" s="55" t="s">
        <v>159</v>
      </c>
      <c r="CX9" s="441"/>
      <c r="CY9" s="441"/>
    </row>
    <row r="10" spans="2:119">
      <c r="B10" s="35" t="s">
        <v>160</v>
      </c>
      <c r="C10" s="174"/>
      <c r="D10" s="36">
        <v>10</v>
      </c>
      <c r="Z10" s="253"/>
      <c r="AA10" s="253"/>
      <c r="AB10" s="257"/>
      <c r="AG10" s="195">
        <f>_xlfn.RRI(Analysis_Period-1,AP10,INDEX(AP10:BC10,1,Analysis_Period))</f>
        <v>1.0646292707510829E-2</v>
      </c>
      <c r="AH10" s="67" t="s">
        <v>161</v>
      </c>
      <c r="AI10" s="61"/>
      <c r="AJ10" s="399" t="s">
        <v>162</v>
      </c>
      <c r="AK10" s="307">
        <f t="shared" ref="AK10:AL10" si="3">CX19</f>
        <v>1613000.4</v>
      </c>
      <c r="AL10" s="307">
        <f t="shared" si="3"/>
        <v>1750000.4000000004</v>
      </c>
      <c r="AM10" s="307">
        <f>CZ19</f>
        <v>1750000.4</v>
      </c>
      <c r="AN10" s="69">
        <f>+AP10/D16</f>
        <v>35.000008000000001</v>
      </c>
      <c r="AO10" s="70"/>
      <c r="AP10" s="71">
        <f>+AM10</f>
        <v>1750000.4</v>
      </c>
      <c r="AQ10" s="72">
        <f t="shared" ref="AQ10:AZ10" si="4">AP10*(1+G67)</f>
        <v>1750000.4</v>
      </c>
      <c r="AR10" s="72">
        <f t="shared" si="4"/>
        <v>1750000.4</v>
      </c>
      <c r="AS10" s="72">
        <f t="shared" si="4"/>
        <v>1750000.4</v>
      </c>
      <c r="AT10" s="72">
        <f t="shared" si="4"/>
        <v>1750000.4</v>
      </c>
      <c r="AU10" s="72">
        <f t="shared" si="4"/>
        <v>1925000.44</v>
      </c>
      <c r="AV10" s="72">
        <f t="shared" si="4"/>
        <v>1925000.44</v>
      </c>
      <c r="AW10" s="72">
        <f t="shared" si="4"/>
        <v>1925000.44</v>
      </c>
      <c r="AX10" s="72">
        <f t="shared" si="4"/>
        <v>1925000.44</v>
      </c>
      <c r="AY10" s="72">
        <f t="shared" si="4"/>
        <v>1925000.44</v>
      </c>
      <c r="AZ10" s="72">
        <f t="shared" si="4"/>
        <v>2117500.4840000002</v>
      </c>
      <c r="BA10" s="380" t="s">
        <v>162</v>
      </c>
      <c r="BB10" s="73"/>
      <c r="BC10" s="73"/>
      <c r="BD10" s="295"/>
      <c r="BE10" s="313" t="s">
        <v>163</v>
      </c>
      <c r="BF10" s="314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315"/>
      <c r="BW10" s="165"/>
      <c r="BZ10" s="367" t="s">
        <v>17</v>
      </c>
      <c r="CA10" s="182" t="s">
        <v>1</v>
      </c>
      <c r="CB10" s="352">
        <f>SUM(CD42:CN42)</f>
        <v>10019069.29378419</v>
      </c>
      <c r="CC10" s="182" t="s">
        <v>1</v>
      </c>
      <c r="CD10" s="182" t="s">
        <v>1</v>
      </c>
      <c r="CE10" s="193" t="s">
        <v>1</v>
      </c>
      <c r="CF10" s="182" t="s">
        <v>1</v>
      </c>
      <c r="CG10" s="182" t="s">
        <v>1</v>
      </c>
      <c r="CH10" s="182" t="s">
        <v>1</v>
      </c>
      <c r="CI10" s="347" t="s">
        <v>18</v>
      </c>
      <c r="CJ10" s="351">
        <f>SUM(CD38:CN38)/1000000</f>
        <v>11.526696293784189</v>
      </c>
      <c r="CK10" s="182" t="s">
        <v>1</v>
      </c>
      <c r="CL10" s="182" t="s">
        <v>1</v>
      </c>
      <c r="CM10" s="182" t="s">
        <v>1</v>
      </c>
      <c r="CN10" s="182" t="s">
        <v>1</v>
      </c>
      <c r="CO10" s="182" t="s">
        <v>1</v>
      </c>
      <c r="CP10" s="182" t="s">
        <v>1</v>
      </c>
      <c r="CQ10" s="182" t="s">
        <v>1</v>
      </c>
      <c r="CR10" s="229" t="s">
        <v>1</v>
      </c>
      <c r="CS10" s="182" t="s">
        <v>1</v>
      </c>
      <c r="CW10" s="55" t="s">
        <v>164</v>
      </c>
      <c r="CX10" s="441"/>
      <c r="CY10" s="441"/>
    </row>
    <row r="11" spans="2:119" ht="15.75">
      <c r="B11" s="35" t="s">
        <v>165</v>
      </c>
      <c r="C11" s="174"/>
      <c r="D11" s="41" t="s">
        <v>129</v>
      </c>
      <c r="Z11" s="258" t="s">
        <v>166</v>
      </c>
      <c r="AA11" s="258"/>
      <c r="AB11" s="258"/>
      <c r="AG11" s="195">
        <f>_xlfn.RRI(Analysis_Period-1,AP11,INDEX(AP11:BD11,1,Analysis_Period))</f>
        <v>0</v>
      </c>
      <c r="AH11" s="67" t="s">
        <v>167</v>
      </c>
      <c r="AI11" s="196"/>
      <c r="AJ11" s="399" t="s">
        <v>168</v>
      </c>
      <c r="AK11" s="68">
        <f>C39</f>
        <v>0</v>
      </c>
      <c r="AL11" s="68">
        <f t="shared" ref="AK11:AM12" si="5">D39</f>
        <v>0</v>
      </c>
      <c r="AM11" s="307">
        <f t="shared" si="5"/>
        <v>0</v>
      </c>
      <c r="AN11" s="69">
        <f>+AP11/D16</f>
        <v>0</v>
      </c>
      <c r="AO11" s="70"/>
      <c r="AP11" s="71">
        <f>+AM11</f>
        <v>0</v>
      </c>
      <c r="AQ11" s="72">
        <f t="shared" ref="AQ11:AZ11" si="6">AP11*(1+G67)</f>
        <v>0</v>
      </c>
      <c r="AR11" s="72">
        <f t="shared" si="6"/>
        <v>0</v>
      </c>
      <c r="AS11" s="72">
        <f t="shared" si="6"/>
        <v>0</v>
      </c>
      <c r="AT11" s="72">
        <f t="shared" si="6"/>
        <v>0</v>
      </c>
      <c r="AU11" s="72">
        <f t="shared" si="6"/>
        <v>0</v>
      </c>
      <c r="AV11" s="72">
        <f t="shared" si="6"/>
        <v>0</v>
      </c>
      <c r="AW11" s="72">
        <f t="shared" si="6"/>
        <v>0</v>
      </c>
      <c r="AX11" s="72">
        <f t="shared" si="6"/>
        <v>0</v>
      </c>
      <c r="AY11" s="72">
        <f t="shared" si="6"/>
        <v>0</v>
      </c>
      <c r="AZ11" s="72">
        <f t="shared" si="6"/>
        <v>0</v>
      </c>
      <c r="BA11" s="380" t="s">
        <v>168</v>
      </c>
      <c r="BB11" s="73"/>
      <c r="BC11" s="73"/>
      <c r="BD11" s="295"/>
      <c r="BE11" s="316" t="s">
        <v>169</v>
      </c>
      <c r="BF11" s="314"/>
      <c r="BG11" s="317">
        <f>D20</f>
        <v>25564154</v>
      </c>
      <c r="BH11" s="317">
        <f t="shared" ref="BH11:BQ11" si="7">(BH8&lt;=$D$10)*(BH8=0)*$D$20</f>
        <v>0</v>
      </c>
      <c r="BI11" s="317">
        <f t="shared" si="7"/>
        <v>0</v>
      </c>
      <c r="BJ11" s="317">
        <f t="shared" si="7"/>
        <v>0</v>
      </c>
      <c r="BK11" s="317">
        <f t="shared" si="7"/>
        <v>0</v>
      </c>
      <c r="BL11" s="317">
        <f t="shared" si="7"/>
        <v>0</v>
      </c>
      <c r="BM11" s="317">
        <f t="shared" si="7"/>
        <v>0</v>
      </c>
      <c r="BN11" s="317">
        <f t="shared" si="7"/>
        <v>0</v>
      </c>
      <c r="BO11" s="317">
        <f t="shared" si="7"/>
        <v>0</v>
      </c>
      <c r="BP11" s="317">
        <f t="shared" si="7"/>
        <v>0</v>
      </c>
      <c r="BQ11" s="317">
        <f t="shared" si="7"/>
        <v>0</v>
      </c>
      <c r="BR11" s="317" t="str">
        <f>IF(BR8&gt;_xlfn.SINGLE(Analysis_Period),"",(BR8=0)*'[1]Property Cash Flow'!$D$22)</f>
        <v/>
      </c>
      <c r="BS11" s="317" t="str">
        <f>IF(BS8&gt;_xlfn.SINGLE(Analysis_Period),"",(BS8=0)*'[1]Property Cash Flow'!$D$22)</f>
        <v/>
      </c>
      <c r="BT11" s="317" t="str">
        <f>IF(BT8&gt;_xlfn.SINGLE(Analysis_Period),"",(BT8=0)*'[1]Property Cash Flow'!$D$22)</f>
        <v/>
      </c>
      <c r="BU11" s="317" t="str">
        <f>IF(BU8&gt;_xlfn.SINGLE(Analysis_Period),"",(BU8=0)*'[1]Property Cash Flow'!$D$22)</f>
        <v/>
      </c>
      <c r="BV11" s="317" t="str">
        <f>IF(BV8&gt;_xlfn.SINGLE(Analysis_Period),"",(BV8=0)*'[1]Property Cash Flow'!$D$22)</f>
        <v/>
      </c>
      <c r="BW11" s="165"/>
      <c r="BZ11" s="367" t="s">
        <v>1</v>
      </c>
      <c r="CA11" s="182" t="s">
        <v>1</v>
      </c>
      <c r="CB11" s="197" t="s">
        <v>1</v>
      </c>
      <c r="CC11" s="182" t="s">
        <v>1</v>
      </c>
      <c r="CD11" s="182" t="s">
        <v>1</v>
      </c>
      <c r="CE11" s="193" t="s">
        <v>1</v>
      </c>
      <c r="CF11" s="182" t="s">
        <v>1</v>
      </c>
      <c r="CG11" s="182" t="s">
        <v>1</v>
      </c>
      <c r="CH11" s="182" t="s">
        <v>1</v>
      </c>
      <c r="CI11" s="182" t="s">
        <v>1</v>
      </c>
      <c r="CJ11" s="182" t="s">
        <v>1</v>
      </c>
      <c r="CK11" s="182" t="s">
        <v>1</v>
      </c>
      <c r="CL11" s="182" t="s">
        <v>1</v>
      </c>
      <c r="CM11" s="182" t="s">
        <v>1</v>
      </c>
      <c r="CN11" s="182" t="s">
        <v>1</v>
      </c>
      <c r="CO11" s="182" t="s">
        <v>1</v>
      </c>
      <c r="CP11" s="182" t="s">
        <v>1</v>
      </c>
      <c r="CQ11" s="182" t="s">
        <v>1</v>
      </c>
      <c r="CR11" s="229" t="s">
        <v>1</v>
      </c>
      <c r="CS11" s="182" t="s">
        <v>1</v>
      </c>
      <c r="CW11" s="55" t="s">
        <v>170</v>
      </c>
      <c r="CX11" s="441"/>
      <c r="CY11" s="441"/>
    </row>
    <row r="12" spans="2:119" ht="28.15" customHeight="1">
      <c r="B12" s="35" t="s">
        <v>171</v>
      </c>
      <c r="C12" s="174"/>
      <c r="D12" s="42">
        <v>5</v>
      </c>
      <c r="Z12" s="259" t="s">
        <v>169</v>
      </c>
      <c r="AA12" s="259"/>
      <c r="AB12" s="279">
        <f>IF(D7="Manual Input",D20,IF(D7="DCF",AB13,IF(D7="Cap Year 1 NOI",AB6/D13,AB15)))</f>
        <v>25564154</v>
      </c>
      <c r="AC12" s="198" t="s">
        <v>172</v>
      </c>
      <c r="AD12" s="199"/>
      <c r="AG12" s="195">
        <f>_xlfn.RRI(_xlfn.SINGLE(Analysis_Period)-1,AP12,_xlfn.SINGLE(INDEX(AP12:BD12,1,_xlfn.SINGLE(Analysis_Period))))</f>
        <v>1.0646292707510829E-2</v>
      </c>
      <c r="AH12" s="67" t="s">
        <v>173</v>
      </c>
      <c r="AI12" s="61"/>
      <c r="AJ12" s="404" t="s">
        <v>174</v>
      </c>
      <c r="AK12" s="68">
        <f t="shared" si="5"/>
        <v>98751</v>
      </c>
      <c r="AL12" s="68">
        <f t="shared" si="5"/>
        <v>99152</v>
      </c>
      <c r="AM12" s="307">
        <f t="shared" si="5"/>
        <v>100000</v>
      </c>
      <c r="AN12" s="75">
        <f>+AP12/D16</f>
        <v>2</v>
      </c>
      <c r="AO12" s="76"/>
      <c r="AP12" s="77">
        <f>+AM12</f>
        <v>100000</v>
      </c>
      <c r="AQ12" s="72">
        <f t="shared" ref="AQ12:AZ12" si="8">AP12*(1+G67)</f>
        <v>100000</v>
      </c>
      <c r="AR12" s="72">
        <f t="shared" si="8"/>
        <v>100000</v>
      </c>
      <c r="AS12" s="72">
        <f t="shared" si="8"/>
        <v>100000</v>
      </c>
      <c r="AT12" s="72">
        <f t="shared" si="8"/>
        <v>100000</v>
      </c>
      <c r="AU12" s="72">
        <f t="shared" si="8"/>
        <v>110000.00000000001</v>
      </c>
      <c r="AV12" s="72">
        <f t="shared" si="8"/>
        <v>110000.00000000001</v>
      </c>
      <c r="AW12" s="72">
        <f t="shared" si="8"/>
        <v>110000.00000000001</v>
      </c>
      <c r="AX12" s="72">
        <f t="shared" si="8"/>
        <v>110000.00000000001</v>
      </c>
      <c r="AY12" s="72">
        <f t="shared" si="8"/>
        <v>110000.00000000001</v>
      </c>
      <c r="AZ12" s="72">
        <f t="shared" si="8"/>
        <v>121000.00000000003</v>
      </c>
      <c r="BA12" s="387" t="s">
        <v>174</v>
      </c>
      <c r="BB12" s="78"/>
      <c r="BC12" s="78"/>
      <c r="BD12" s="296"/>
      <c r="BE12" s="316" t="s">
        <v>175</v>
      </c>
      <c r="BF12" s="314"/>
      <c r="BG12" s="317">
        <f>D17</f>
        <v>250000</v>
      </c>
      <c r="BH12" s="317">
        <f t="shared" ref="BH12:BQ12" si="9">(BH8&lt;=$D$10)*(BH8=0)*$D$20</f>
        <v>0</v>
      </c>
      <c r="BI12" s="317">
        <f t="shared" si="9"/>
        <v>0</v>
      </c>
      <c r="BJ12" s="317">
        <f t="shared" si="9"/>
        <v>0</v>
      </c>
      <c r="BK12" s="317">
        <f t="shared" si="9"/>
        <v>0</v>
      </c>
      <c r="BL12" s="317">
        <f t="shared" si="9"/>
        <v>0</v>
      </c>
      <c r="BM12" s="317">
        <f t="shared" si="9"/>
        <v>0</v>
      </c>
      <c r="BN12" s="317">
        <f t="shared" si="9"/>
        <v>0</v>
      </c>
      <c r="BO12" s="317">
        <f t="shared" si="9"/>
        <v>0</v>
      </c>
      <c r="BP12" s="317">
        <f t="shared" si="9"/>
        <v>0</v>
      </c>
      <c r="BQ12" s="317">
        <f t="shared" si="9"/>
        <v>0</v>
      </c>
      <c r="BR12" s="317" t="str">
        <f>IF(BR8&gt;_xlfn.SINGLE(Analysis_Period),"",(BR8=0)*'[1]Property Cash Flow'!AC10)</f>
        <v/>
      </c>
      <c r="BS12" s="317" t="str">
        <f>IF(BS8&gt;_xlfn.SINGLE(Analysis_Period),"",(BS8=0)*'[1]Property Cash Flow'!AD10)</f>
        <v/>
      </c>
      <c r="BT12" s="317" t="str">
        <f>IF(BT8&gt;_xlfn.SINGLE(Analysis_Period),"",(BT8=0)*'[1]Property Cash Flow'!AE10)</f>
        <v/>
      </c>
      <c r="BU12" s="317" t="str">
        <f>IF(BU8&gt;_xlfn.SINGLE(Analysis_Period),"",(BU8=0)*'[1]Property Cash Flow'!AF10)</f>
        <v/>
      </c>
      <c r="BV12" s="317" t="str">
        <f>IF(BV8&gt;_xlfn.SINGLE(Analysis_Period),"",(BV8=0)*'[1]Property Cash Flow'!AG10)</f>
        <v/>
      </c>
      <c r="BW12" s="165"/>
      <c r="BZ12" s="369" t="s">
        <v>19</v>
      </c>
      <c r="CA12" s="353" t="s">
        <v>4</v>
      </c>
      <c r="CB12" s="200" t="s">
        <v>1</v>
      </c>
      <c r="CC12" s="200" t="s">
        <v>1</v>
      </c>
      <c r="CD12" s="844" t="s">
        <v>20</v>
      </c>
      <c r="CE12" s="844"/>
      <c r="CF12" s="845" t="s">
        <v>21</v>
      </c>
      <c r="CG12" s="845"/>
      <c r="CH12" s="200" t="s">
        <v>1</v>
      </c>
      <c r="CI12" s="200" t="s">
        <v>1</v>
      </c>
      <c r="CJ12" s="200" t="s">
        <v>1</v>
      </c>
      <c r="CK12" s="200" t="s">
        <v>1</v>
      </c>
      <c r="CL12" s="200" t="s">
        <v>1</v>
      </c>
      <c r="CM12" s="182" t="s">
        <v>1</v>
      </c>
      <c r="CN12" s="182" t="s">
        <v>1</v>
      </c>
      <c r="CO12" s="182" t="s">
        <v>1</v>
      </c>
      <c r="CP12" s="182" t="s">
        <v>1</v>
      </c>
      <c r="CQ12" s="182" t="s">
        <v>1</v>
      </c>
      <c r="CR12" s="229" t="s">
        <v>1</v>
      </c>
      <c r="CS12" s="182" t="s">
        <v>1</v>
      </c>
      <c r="CW12" s="55" t="s">
        <v>176</v>
      </c>
      <c r="CX12" s="441"/>
      <c r="CY12" s="441"/>
    </row>
    <row r="13" spans="2:119" ht="34.9">
      <c r="B13" s="35" t="s">
        <v>177</v>
      </c>
      <c r="C13" s="174"/>
      <c r="D13" s="43">
        <v>6.5000000000000002E-2</v>
      </c>
      <c r="Z13" s="260" t="s">
        <v>178</v>
      </c>
      <c r="AA13" s="260"/>
      <c r="AB13" s="280">
        <f>NPV(D14,BH43:BR43)</f>
        <v>24379433.224510878</v>
      </c>
      <c r="AC13" s="198" t="s">
        <v>179</v>
      </c>
      <c r="AD13" s="199"/>
      <c r="AG13" s="201">
        <f>_xlfn.RRI(_xlfn.SINGLE(Analysis_Period)-1,AP13,_xlfn.SINGLE(INDEX(AP13:BD13,1,_xlfn.SINGLE(Analysis_Period))))</f>
        <v>1.0646292707510829E-2</v>
      </c>
      <c r="AH13" s="106" t="s">
        <v>180</v>
      </c>
      <c r="AI13" s="202"/>
      <c r="AJ13" s="404" t="s">
        <v>181</v>
      </c>
      <c r="AK13" s="79">
        <f>SUM(AK10:AK12)</f>
        <v>1711751.4</v>
      </c>
      <c r="AL13" s="79">
        <f>SUM(AL10:AL12)</f>
        <v>1849152.4000000004</v>
      </c>
      <c r="AM13" s="79">
        <f>SUM(AM10:AM12)</f>
        <v>1850000.4</v>
      </c>
      <c r="AN13" s="80">
        <f>SUM(AN10:AN12)</f>
        <v>37.000008000000001</v>
      </c>
      <c r="AO13" s="81"/>
      <c r="AP13" s="82">
        <f>SUM(AP10:AP12)</f>
        <v>1850000.4</v>
      </c>
      <c r="AQ13" s="82">
        <f>SUM(AQ10:AQ12)</f>
        <v>1850000.4</v>
      </c>
      <c r="AR13" s="82">
        <f>SUM(AR10:AR12)</f>
        <v>1850000.4</v>
      </c>
      <c r="AS13" s="82">
        <f>SUM(AS10:AS12)</f>
        <v>1850000.4</v>
      </c>
      <c r="AT13" s="82">
        <f t="shared" ref="AT13:AZ13" si="10">SUM(AT10:AT12)</f>
        <v>1850000.4</v>
      </c>
      <c r="AU13" s="82">
        <f t="shared" si="10"/>
        <v>2035000.44</v>
      </c>
      <c r="AV13" s="82">
        <f t="shared" si="10"/>
        <v>2035000.44</v>
      </c>
      <c r="AW13" s="82">
        <f t="shared" si="10"/>
        <v>2035000.44</v>
      </c>
      <c r="AX13" s="82">
        <f t="shared" si="10"/>
        <v>2035000.44</v>
      </c>
      <c r="AY13" s="82">
        <f t="shared" si="10"/>
        <v>2035000.44</v>
      </c>
      <c r="AZ13" s="82">
        <f t="shared" si="10"/>
        <v>2238500.4840000002</v>
      </c>
      <c r="BA13" s="387" t="s">
        <v>181</v>
      </c>
      <c r="BB13" s="83"/>
      <c r="BC13" s="83"/>
      <c r="BD13" s="297"/>
      <c r="BE13" s="316" t="s">
        <v>182</v>
      </c>
      <c r="BF13" s="314"/>
      <c r="BG13" s="318">
        <f>D18*D20</f>
        <v>511283.08</v>
      </c>
      <c r="BH13" s="317">
        <f t="shared" ref="BH13:BQ13" si="11">(BH8&lt;=$D$10)*(BH8=0)*$D$20</f>
        <v>0</v>
      </c>
      <c r="BI13" s="317">
        <f t="shared" si="11"/>
        <v>0</v>
      </c>
      <c r="BJ13" s="317">
        <f t="shared" si="11"/>
        <v>0</v>
      </c>
      <c r="BK13" s="317">
        <f t="shared" si="11"/>
        <v>0</v>
      </c>
      <c r="BL13" s="317">
        <f t="shared" si="11"/>
        <v>0</v>
      </c>
      <c r="BM13" s="317">
        <f t="shared" si="11"/>
        <v>0</v>
      </c>
      <c r="BN13" s="317">
        <f t="shared" si="11"/>
        <v>0</v>
      </c>
      <c r="BO13" s="317">
        <f t="shared" si="11"/>
        <v>0</v>
      </c>
      <c r="BP13" s="317">
        <f t="shared" si="11"/>
        <v>0</v>
      </c>
      <c r="BQ13" s="317">
        <f t="shared" si="11"/>
        <v>0</v>
      </c>
      <c r="BR13" s="317" t="str">
        <f>IF(BR8&gt;_xlfn.SINGLE(Analysis_Period),"",(BR9=0)*'[1]Property Cash Flow'!$D$22)</f>
        <v/>
      </c>
      <c r="BS13" s="318" t="str">
        <f>IF(BS8&gt;_xlfn.SINGLE(Analysis_Period),"",(BS8=0)*BS11*'[1]Property Cash Flow'!AD11)</f>
        <v/>
      </c>
      <c r="BT13" s="318" t="str">
        <f>IF(BT8&gt;_xlfn.SINGLE(Analysis_Period),"",(BT8=0)*BT11*'[1]Property Cash Flow'!AE11)</f>
        <v/>
      </c>
      <c r="BU13" s="318" t="str">
        <f>IF(BU8&gt;_xlfn.SINGLE(Analysis_Period),"",(BU8=0)*BU11*'[1]Property Cash Flow'!AF11)</f>
        <v/>
      </c>
      <c r="BV13" s="318" t="str">
        <f>IF(BV8&gt;_xlfn.SINGLE(Analysis_Period),"",(BV8=0)*BV11*'[1]Property Cash Flow'!AG11)</f>
        <v/>
      </c>
      <c r="BW13" s="165"/>
      <c r="BZ13" s="368" t="s">
        <v>22</v>
      </c>
      <c r="CA13" s="200" t="s">
        <v>1</v>
      </c>
      <c r="CB13" s="200" t="s">
        <v>1</v>
      </c>
      <c r="CC13" s="200" t="s">
        <v>1</v>
      </c>
      <c r="CD13" s="844"/>
      <c r="CE13" s="844"/>
      <c r="CF13" s="345" t="s">
        <v>23</v>
      </c>
      <c r="CG13" s="345" t="s">
        <v>24</v>
      </c>
      <c r="CH13" s="345" t="s">
        <v>25</v>
      </c>
      <c r="CI13" s="200" t="s">
        <v>1</v>
      </c>
      <c r="CJ13" s="200" t="s">
        <v>1</v>
      </c>
      <c r="CK13" s="200" t="s">
        <v>1</v>
      </c>
      <c r="CL13" s="200" t="s">
        <v>1</v>
      </c>
      <c r="CM13" s="182" t="s">
        <v>1</v>
      </c>
      <c r="CN13" s="182" t="s">
        <v>1</v>
      </c>
      <c r="CO13" s="182" t="s">
        <v>1</v>
      </c>
      <c r="CP13" s="182" t="s">
        <v>1</v>
      </c>
      <c r="CQ13" s="182" t="s">
        <v>1</v>
      </c>
      <c r="CR13" s="229" t="s">
        <v>1</v>
      </c>
      <c r="CS13" s="182" t="s">
        <v>1</v>
      </c>
      <c r="CW13" s="55" t="s">
        <v>183</v>
      </c>
      <c r="CX13" s="441"/>
      <c r="CY13" s="441"/>
    </row>
    <row r="14" spans="2:119" ht="23.25">
      <c r="B14" s="35" t="s">
        <v>184</v>
      </c>
      <c r="C14" s="174"/>
      <c r="D14" s="43">
        <v>7.4999999999999997E-2</v>
      </c>
      <c r="Z14" s="260" t="s">
        <v>185</v>
      </c>
      <c r="AA14" s="260"/>
      <c r="AB14" s="281">
        <f>D15*D16</f>
        <v>20000000</v>
      </c>
      <c r="AC14" s="198" t="s">
        <v>186</v>
      </c>
      <c r="AD14" s="199"/>
      <c r="AG14" s="58"/>
      <c r="AH14" s="103"/>
      <c r="AI14" s="203"/>
      <c r="AJ14" s="405"/>
      <c r="AK14" s="68"/>
      <c r="AL14" s="68"/>
      <c r="AM14" s="85"/>
      <c r="AN14" s="69"/>
      <c r="AO14" s="70"/>
      <c r="AP14" s="71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388"/>
      <c r="BB14" s="73"/>
      <c r="BC14" s="73"/>
      <c r="BD14" s="295"/>
      <c r="BE14" s="319" t="s">
        <v>187</v>
      </c>
      <c r="BF14" s="314"/>
      <c r="BG14" s="320">
        <f>SUM(BG11:BG13)</f>
        <v>26325437.079999998</v>
      </c>
      <c r="BH14" s="320"/>
      <c r="BI14" s="320">
        <f t="shared" ref="BI14:BR14" si="12">IF(BI8&gt;_xlfn.SINGLE(Analysis_Period),"",SUM(BI11:BI13))</f>
        <v>0</v>
      </c>
      <c r="BJ14" s="320">
        <f t="shared" si="12"/>
        <v>0</v>
      </c>
      <c r="BK14" s="320">
        <f t="shared" si="12"/>
        <v>0</v>
      </c>
      <c r="BL14" s="320">
        <f t="shared" si="12"/>
        <v>0</v>
      </c>
      <c r="BM14" s="320">
        <f t="shared" si="12"/>
        <v>0</v>
      </c>
      <c r="BN14" s="320">
        <f t="shared" si="12"/>
        <v>0</v>
      </c>
      <c r="BO14" s="320">
        <f t="shared" si="12"/>
        <v>0</v>
      </c>
      <c r="BP14" s="320">
        <f t="shared" si="12"/>
        <v>0</v>
      </c>
      <c r="BQ14" s="320">
        <f t="shared" si="12"/>
        <v>0</v>
      </c>
      <c r="BR14" s="320" t="str">
        <f t="shared" si="12"/>
        <v/>
      </c>
      <c r="BS14" s="317" t="str">
        <f t="shared" ref="BS14:BV14" si="13">IF(BS8&gt;_xlfn.SINGLE(Analysis_Period),"",SUM(BS11:BS13))</f>
        <v/>
      </c>
      <c r="BT14" s="317" t="str">
        <f t="shared" si="13"/>
        <v/>
      </c>
      <c r="BU14" s="317" t="str">
        <f t="shared" si="13"/>
        <v/>
      </c>
      <c r="BV14" s="317" t="str">
        <f t="shared" si="13"/>
        <v/>
      </c>
      <c r="BW14" s="165"/>
      <c r="BZ14" s="367" t="s">
        <v>26</v>
      </c>
      <c r="CA14" s="354" t="s">
        <v>27</v>
      </c>
      <c r="CB14" s="355" t="s">
        <v>4</v>
      </c>
      <c r="CC14" s="197" t="str">
        <f t="shared" ref="CC14:CC15" si="14">CB15</f>
        <v>&gt; 8.0% IRR to LP</v>
      </c>
      <c r="CD14" s="356" t="s">
        <v>29</v>
      </c>
      <c r="CE14" s="356"/>
      <c r="CF14" s="175">
        <f>CA8</f>
        <v>0.05</v>
      </c>
      <c r="CG14" s="357">
        <f>1-CF14</f>
        <v>0.95</v>
      </c>
      <c r="CH14" s="846" t="s">
        <v>30</v>
      </c>
      <c r="CI14" s="846"/>
      <c r="CJ14" s="846"/>
      <c r="CK14" s="846"/>
      <c r="CL14" s="846"/>
      <c r="CM14" s="182" t="s">
        <v>1</v>
      </c>
      <c r="CN14" s="182" t="s">
        <v>1</v>
      </c>
      <c r="CO14" s="182" t="s">
        <v>1</v>
      </c>
      <c r="CP14" s="182" t="s">
        <v>1</v>
      </c>
      <c r="CQ14" s="182" t="s">
        <v>1</v>
      </c>
      <c r="CR14" s="229" t="s">
        <v>1</v>
      </c>
      <c r="CS14" s="182" t="s">
        <v>1</v>
      </c>
      <c r="CW14" s="55" t="s">
        <v>188</v>
      </c>
    </row>
    <row r="15" spans="2:119" ht="15.75">
      <c r="B15" s="35" t="s">
        <v>189</v>
      </c>
      <c r="C15" s="174"/>
      <c r="D15" s="44">
        <v>400</v>
      </c>
      <c r="Z15" s="261"/>
      <c r="AA15" s="261"/>
      <c r="AB15" s="282"/>
      <c r="AC15" s="198"/>
      <c r="AD15" s="199"/>
      <c r="AG15" s="205"/>
      <c r="AH15" s="67" t="s">
        <v>190</v>
      </c>
      <c r="AI15" s="206"/>
      <c r="AJ15" s="404" t="s">
        <v>191</v>
      </c>
      <c r="AK15" s="307">
        <f>C43</f>
        <v>-24131.084275599998</v>
      </c>
      <c r="AL15" s="307">
        <f>D43</f>
        <v>-24561.7</v>
      </c>
      <c r="AM15" s="307">
        <v>0</v>
      </c>
      <c r="AN15" s="600">
        <f>+AP15/$D$16</f>
        <v>0</v>
      </c>
      <c r="AO15" s="70"/>
      <c r="AP15" s="71">
        <f>+AM15</f>
        <v>0</v>
      </c>
      <c r="AQ15" s="73">
        <f>G63</f>
        <v>0</v>
      </c>
      <c r="AR15" s="73">
        <f t="shared" ref="AR15:AZ15" si="15">H63</f>
        <v>0</v>
      </c>
      <c r="AS15" s="73">
        <f t="shared" si="15"/>
        <v>0</v>
      </c>
      <c r="AT15" s="73">
        <f t="shared" si="15"/>
        <v>0</v>
      </c>
      <c r="AU15" s="73">
        <f t="shared" si="15"/>
        <v>0</v>
      </c>
      <c r="AV15" s="73">
        <f t="shared" si="15"/>
        <v>0</v>
      </c>
      <c r="AW15" s="73">
        <f t="shared" si="15"/>
        <v>0</v>
      </c>
      <c r="AX15" s="73">
        <f t="shared" si="15"/>
        <v>0</v>
      </c>
      <c r="AY15" s="73">
        <f t="shared" si="15"/>
        <v>0</v>
      </c>
      <c r="AZ15" s="73">
        <f t="shared" si="15"/>
        <v>0</v>
      </c>
      <c r="BA15" s="387" t="s">
        <v>191</v>
      </c>
      <c r="BB15" s="73"/>
      <c r="BC15" s="73"/>
      <c r="BD15" s="295"/>
      <c r="BE15" s="319"/>
      <c r="BF15" s="314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317"/>
      <c r="BW15" s="165"/>
      <c r="BZ15" s="367" t="s">
        <v>31</v>
      </c>
      <c r="CA15" s="332" t="s">
        <v>32</v>
      </c>
      <c r="CB15" s="176" t="s">
        <v>33</v>
      </c>
      <c r="CC15" s="197" t="str">
        <f t="shared" si="14"/>
        <v>&gt; 12.0% IRR to LP</v>
      </c>
      <c r="CD15" s="175">
        <v>0.2</v>
      </c>
      <c r="CE15" s="182" t="s">
        <v>1</v>
      </c>
      <c r="CF15" s="358">
        <f>1-($CA$9*(1-CD15))</f>
        <v>0.24</v>
      </c>
      <c r="CG15" s="357">
        <f>1-CF15</f>
        <v>0.76</v>
      </c>
      <c r="CH15" s="846" t="s">
        <v>35</v>
      </c>
      <c r="CI15" s="846"/>
      <c r="CJ15" s="846"/>
      <c r="CK15" s="846"/>
      <c r="CL15" s="846"/>
      <c r="CM15" s="182" t="s">
        <v>1</v>
      </c>
      <c r="CN15" s="182" t="s">
        <v>1</v>
      </c>
      <c r="CO15" s="182" t="s">
        <v>1</v>
      </c>
      <c r="CP15" s="182" t="s">
        <v>1</v>
      </c>
      <c r="CQ15" s="182" t="s">
        <v>1</v>
      </c>
      <c r="CR15" s="229" t="s">
        <v>1</v>
      </c>
      <c r="CS15" s="182" t="s">
        <v>1</v>
      </c>
      <c r="CW15" s="55" t="s">
        <v>192</v>
      </c>
    </row>
    <row r="16" spans="2:119">
      <c r="B16" s="255" t="str">
        <f>"Net Rentable Area ("&amp;D9 &amp;")"</f>
        <v>Net Rentable Area (SF)</v>
      </c>
      <c r="C16" s="183"/>
      <c r="D16" s="45">
        <v>50000</v>
      </c>
      <c r="Z16" s="260" t="s">
        <v>193</v>
      </c>
      <c r="AA16" s="260"/>
      <c r="AB16" s="283">
        <f>BG47</f>
        <v>6.4230703684228674E-2</v>
      </c>
      <c r="AC16" s="198" t="s">
        <v>142</v>
      </c>
      <c r="AD16" s="199"/>
      <c r="AG16" s="207"/>
      <c r="AH16" s="67" t="s">
        <v>194</v>
      </c>
      <c r="AI16" s="601"/>
      <c r="AJ16" s="405" t="s">
        <v>195</v>
      </c>
      <c r="AK16" s="113">
        <f>-AK13*C33</f>
        <v>-171175.14</v>
      </c>
      <c r="AL16" s="113">
        <f>-AL13*$C$33</f>
        <v>-184915.24000000005</v>
      </c>
      <c r="AM16" s="113">
        <f>-AM13*$C$33</f>
        <v>-185000.04</v>
      </c>
      <c r="AN16" s="600">
        <f>+AP16/$D$16</f>
        <v>-3.7000008000000002</v>
      </c>
      <c r="AO16" s="70"/>
      <c r="AP16" s="71">
        <f>+AM16</f>
        <v>-185000.04</v>
      </c>
      <c r="AQ16" s="72">
        <f t="shared" ref="AQ16:AZ16" si="16">-AQ13*G66</f>
        <v>-185000.04</v>
      </c>
      <c r="AR16" s="72">
        <f t="shared" si="16"/>
        <v>-185000.04</v>
      </c>
      <c r="AS16" s="72">
        <f t="shared" si="16"/>
        <v>-185000.04</v>
      </c>
      <c r="AT16" s="72">
        <f t="shared" si="16"/>
        <v>-185000.04</v>
      </c>
      <c r="AU16" s="72">
        <f t="shared" si="16"/>
        <v>-203500.04399999999</v>
      </c>
      <c r="AV16" s="72">
        <f t="shared" si="16"/>
        <v>-203500.04399999999</v>
      </c>
      <c r="AW16" s="72">
        <f t="shared" si="16"/>
        <v>-203500.04399999999</v>
      </c>
      <c r="AX16" s="72">
        <f t="shared" si="16"/>
        <v>-203500.04399999999</v>
      </c>
      <c r="AY16" s="72">
        <f t="shared" si="16"/>
        <v>-203500.04399999999</v>
      </c>
      <c r="AZ16" s="72">
        <f t="shared" si="16"/>
        <v>-223850.04840000003</v>
      </c>
      <c r="BA16" s="388" t="s">
        <v>195</v>
      </c>
      <c r="BB16" s="73"/>
      <c r="BC16" s="73"/>
      <c r="BD16" s="295"/>
      <c r="BE16" s="319" t="s">
        <v>196</v>
      </c>
      <c r="BF16" s="314"/>
      <c r="BG16" s="317">
        <f>D20*D29</f>
        <v>16616700.100000001</v>
      </c>
      <c r="BH16" s="317">
        <f t="shared" ref="BH16:BV16" si="17">IF(BH8&gt;_xlfn.SINGLE(Analysis_Period),"",(BH8=0)*_xlfn.SINGLE(Debt))</f>
        <v>0</v>
      </c>
      <c r="BI16" s="317">
        <f t="shared" si="17"/>
        <v>0</v>
      </c>
      <c r="BJ16" s="317">
        <f>IF(BJ8&gt;_xlfn.SINGLE(Analysis_Period),"",(BJ8=0)*_xlfn.SINGLE(Debt))</f>
        <v>0</v>
      </c>
      <c r="BK16" s="317">
        <f t="shared" si="17"/>
        <v>0</v>
      </c>
      <c r="BL16" s="317">
        <f t="shared" si="17"/>
        <v>0</v>
      </c>
      <c r="BM16" s="317">
        <f t="shared" si="17"/>
        <v>0</v>
      </c>
      <c r="BN16" s="317">
        <f t="shared" si="17"/>
        <v>0</v>
      </c>
      <c r="BO16" s="317">
        <f t="shared" si="17"/>
        <v>0</v>
      </c>
      <c r="BP16" s="317">
        <f t="shared" si="17"/>
        <v>0</v>
      </c>
      <c r="BQ16" s="317">
        <f t="shared" si="17"/>
        <v>0</v>
      </c>
      <c r="BR16" s="317" t="str">
        <f t="shared" si="17"/>
        <v/>
      </c>
      <c r="BS16" s="317" t="str">
        <f t="shared" si="17"/>
        <v/>
      </c>
      <c r="BT16" s="317" t="str">
        <f t="shared" si="17"/>
        <v/>
      </c>
      <c r="BU16" s="317" t="str">
        <f t="shared" si="17"/>
        <v/>
      </c>
      <c r="BV16" s="317" t="str">
        <f t="shared" si="17"/>
        <v/>
      </c>
      <c r="BW16" s="165"/>
      <c r="BZ16" s="367" t="s">
        <v>36</v>
      </c>
      <c r="CA16" s="332" t="s">
        <v>37</v>
      </c>
      <c r="CB16" s="176" t="s">
        <v>38</v>
      </c>
      <c r="CC16" s="197" t="str">
        <f>CB17</f>
        <v>&gt; 15.0% IRR to LP</v>
      </c>
      <c r="CD16" s="175">
        <v>0.3</v>
      </c>
      <c r="CE16" s="182" t="s">
        <v>1</v>
      </c>
      <c r="CF16" s="358">
        <f>1-($CA$9*(1-CD16))</f>
        <v>0.33500000000000008</v>
      </c>
      <c r="CG16" s="357">
        <f>1-CF16</f>
        <v>0.66499999999999992</v>
      </c>
      <c r="CH16" s="846" t="s">
        <v>40</v>
      </c>
      <c r="CI16" s="846"/>
      <c r="CJ16" s="846"/>
      <c r="CK16" s="846"/>
      <c r="CL16" s="846"/>
      <c r="CM16" s="182" t="s">
        <v>1</v>
      </c>
      <c r="CN16" s="182" t="s">
        <v>1</v>
      </c>
      <c r="CO16" s="182" t="s">
        <v>1</v>
      </c>
      <c r="CP16" s="182" t="s">
        <v>1</v>
      </c>
      <c r="CQ16" s="182" t="s">
        <v>1</v>
      </c>
      <c r="CR16" s="229" t="s">
        <v>1</v>
      </c>
      <c r="CS16" s="182" t="s">
        <v>1</v>
      </c>
      <c r="CW16" s="55" t="s">
        <v>197</v>
      </c>
    </row>
    <row r="17" spans="2:104" ht="16.5">
      <c r="B17" s="255" t="s">
        <v>175</v>
      </c>
      <c r="C17" s="183"/>
      <c r="D17" s="45">
        <v>250000</v>
      </c>
      <c r="Z17" s="260" t="s">
        <v>199</v>
      </c>
      <c r="AA17" s="260"/>
      <c r="AB17" s="284">
        <f>BG48</f>
        <v>1.6418098170396873</v>
      </c>
      <c r="AC17" s="198" t="s">
        <v>142</v>
      </c>
      <c r="AD17" s="199"/>
      <c r="AG17" s="58"/>
      <c r="AH17" s="67" t="s">
        <v>200</v>
      </c>
      <c r="AI17" s="61"/>
      <c r="AJ17" s="406"/>
      <c r="AK17" s="86">
        <f>C64</f>
        <v>0</v>
      </c>
      <c r="AL17" s="86">
        <f t="shared" ref="AL17:AM17" si="18">D64</f>
        <v>0</v>
      </c>
      <c r="AM17" s="86">
        <f t="shared" si="18"/>
        <v>0</v>
      </c>
      <c r="AN17" s="600">
        <f>+AP17/$D$16</f>
        <v>0</v>
      </c>
      <c r="AO17" s="87"/>
      <c r="AP17" s="77">
        <f>+AM17</f>
        <v>0</v>
      </c>
      <c r="AQ17" s="88">
        <f>G64</f>
        <v>0</v>
      </c>
      <c r="AR17" s="88">
        <f t="shared" ref="AR17:AZ17" si="19">H64</f>
        <v>0</v>
      </c>
      <c r="AS17" s="88">
        <f t="shared" si="19"/>
        <v>0</v>
      </c>
      <c r="AT17" s="88">
        <f t="shared" si="19"/>
        <v>0</v>
      </c>
      <c r="AU17" s="88">
        <f t="shared" si="19"/>
        <v>0</v>
      </c>
      <c r="AV17" s="88">
        <f t="shared" si="19"/>
        <v>0</v>
      </c>
      <c r="AW17" s="88">
        <f t="shared" si="19"/>
        <v>0</v>
      </c>
      <c r="AX17" s="88">
        <f t="shared" si="19"/>
        <v>0</v>
      </c>
      <c r="AY17" s="88">
        <f t="shared" si="19"/>
        <v>0</v>
      </c>
      <c r="AZ17" s="88">
        <f t="shared" si="19"/>
        <v>0</v>
      </c>
      <c r="BA17" s="389"/>
      <c r="BB17" s="88"/>
      <c r="BC17" s="88"/>
      <c r="BD17" s="298"/>
      <c r="BE17" s="321" t="s">
        <v>201</v>
      </c>
      <c r="BF17" s="314"/>
      <c r="BG17" s="318">
        <f>(BG16*D30)*-1</f>
        <v>-166167.00100000002</v>
      </c>
      <c r="BH17" s="318"/>
      <c r="BI17" s="318">
        <f>IF(BI8&gt;_xlfn.SINGLE(Analysis_Period),"",(BI8=0)*BI16*-'[1]Property Cash Flow'!T32)</f>
        <v>0</v>
      </c>
      <c r="BJ17" s="318">
        <f>IF(BJ8&gt;_xlfn.SINGLE(Analysis_Period),"",(BJ8=0)*BJ16*-'[1]Property Cash Flow'!U32)</f>
        <v>0</v>
      </c>
      <c r="BK17" s="318">
        <f>IF(BK8&gt;_xlfn.SINGLE(Analysis_Period),"",(BK8=0)*BK16*-'[1]Property Cash Flow'!V32)</f>
        <v>0</v>
      </c>
      <c r="BL17" s="318">
        <f>IF(BL8&gt;_xlfn.SINGLE(Analysis_Period),"",(BL8=0)*BL16*-'[1]Property Cash Flow'!W32)</f>
        <v>0</v>
      </c>
      <c r="BM17" s="318">
        <f>IF(BM8&gt;_xlfn.SINGLE(Analysis_Period),"",(BM8=0)*BM16*-'[1]Property Cash Flow'!X32)</f>
        <v>0</v>
      </c>
      <c r="BN17" s="318">
        <f>IF(BN8&gt;_xlfn.SINGLE(Analysis_Period),"",(BN8=0)*BN16*-'[1]Property Cash Flow'!Y32)</f>
        <v>0</v>
      </c>
      <c r="BO17" s="318">
        <f>IF(BO8&gt;_xlfn.SINGLE(Analysis_Period),"",(BO8=0)*BO16*-'[1]Property Cash Flow'!Z32)</f>
        <v>0</v>
      </c>
      <c r="BP17" s="318">
        <f>IF(BP8&gt;_xlfn.SINGLE(Analysis_Period),"",(BP8=0)*BP16*-'[1]Property Cash Flow'!AA32)</f>
        <v>0</v>
      </c>
      <c r="BQ17" s="318">
        <f>IF(BQ8&gt;_xlfn.SINGLE(Analysis_Period),"",(BQ8=0)*BQ16*-'[1]Property Cash Flow'!AB32)</f>
        <v>0</v>
      </c>
      <c r="BR17" s="318" t="str">
        <f>IF(BR8&gt;_xlfn.SINGLE(Analysis_Period),"",(BR8=0)*BR16*-'[1]Property Cash Flow'!AC32)</f>
        <v/>
      </c>
      <c r="BS17" s="318" t="str">
        <f>IF(BS8&gt;_xlfn.SINGLE(Analysis_Period),"",(BS8=0)*BS16*-'[1]Property Cash Flow'!AD32)</f>
        <v/>
      </c>
      <c r="BT17" s="318" t="str">
        <f>IF(BT8&gt;_xlfn.SINGLE(Analysis_Period),"",(BT8=0)*BT16*-'[1]Property Cash Flow'!AE32)</f>
        <v/>
      </c>
      <c r="BU17" s="318" t="str">
        <f>IF(BU8&gt;_xlfn.SINGLE(Analysis_Period),"",(BU8=0)*BU16*-'[1]Property Cash Flow'!AF32)</f>
        <v/>
      </c>
      <c r="BV17" s="318" t="str">
        <f>IF(BV8&gt;_xlfn.SINGLE(Analysis_Period),"",(BV8=0)*BV16*-'[1]Property Cash Flow'!AG32)</f>
        <v/>
      </c>
      <c r="BW17" s="165"/>
      <c r="BZ17" s="370" t="s">
        <v>41</v>
      </c>
      <c r="CA17" s="371" t="s">
        <v>42</v>
      </c>
      <c r="CB17" s="372" t="s">
        <v>43</v>
      </c>
      <c r="CC17" s="373" t="s">
        <v>1</v>
      </c>
      <c r="CD17" s="374">
        <v>0.4</v>
      </c>
      <c r="CE17" s="375" t="s">
        <v>1</v>
      </c>
      <c r="CF17" s="376">
        <f>1-($CA$9*(1-CD17))</f>
        <v>0.43000000000000005</v>
      </c>
      <c r="CG17" s="377">
        <f>1-CF17</f>
        <v>0.56999999999999995</v>
      </c>
      <c r="CH17" s="842" t="s">
        <v>44</v>
      </c>
      <c r="CI17" s="842"/>
      <c r="CJ17" s="842"/>
      <c r="CK17" s="842"/>
      <c r="CL17" s="842"/>
      <c r="CM17" s="375" t="s">
        <v>1</v>
      </c>
      <c r="CN17" s="375" t="s">
        <v>1</v>
      </c>
      <c r="CO17" s="375" t="s">
        <v>1</v>
      </c>
      <c r="CP17" s="375" t="s">
        <v>1</v>
      </c>
      <c r="CQ17" s="375" t="s">
        <v>1</v>
      </c>
      <c r="CR17" s="378" t="s">
        <v>1</v>
      </c>
      <c r="CS17" s="182" t="s">
        <v>1</v>
      </c>
      <c r="CW17" s="55" t="s">
        <v>202</v>
      </c>
    </row>
    <row r="18" spans="2:104" ht="34.9">
      <c r="B18" s="255" t="s">
        <v>203</v>
      </c>
      <c r="C18" s="183"/>
      <c r="D18" s="43">
        <v>0.02</v>
      </c>
      <c r="Z18" s="260" t="s">
        <v>205</v>
      </c>
      <c r="AA18" s="260"/>
      <c r="AB18" s="283" cm="1">
        <f t="array" ref="AB18">INDEX(BH46:BR46,1,D10)</f>
        <v>6.6276349826287467E-2</v>
      </c>
      <c r="AC18" s="198" t="s">
        <v>206</v>
      </c>
      <c r="AD18" s="199"/>
      <c r="AG18" s="201">
        <f>_xlfn.RRI(_xlfn.SINGLE(Analysis_Period)-1,AP18,_xlfn.SINGLE(INDEX(AP18:BD18,1,_xlfn.SINGLE(Analysis_Period))))</f>
        <v>1.0646292707510829E-2</v>
      </c>
      <c r="AH18" s="89" t="s">
        <v>207</v>
      </c>
      <c r="AI18" s="202"/>
      <c r="AJ18" s="405" t="s">
        <v>208</v>
      </c>
      <c r="AK18" s="91">
        <f>SUM(AK13:AK17)</f>
        <v>1516445.1757243997</v>
      </c>
      <c r="AL18" s="91">
        <f>SUM(AL13:AL17)</f>
        <v>1639675.4600000004</v>
      </c>
      <c r="AM18" s="91">
        <f>SUM(AM13:AM17)</f>
        <v>1665000.3599999999</v>
      </c>
      <c r="AN18" s="600">
        <f>+AP18/$D$16</f>
        <v>33.300007199999996</v>
      </c>
      <c r="AO18" s="90"/>
      <c r="AP18" s="83">
        <f>SUM(AP13:AP17)</f>
        <v>1665000.3599999999</v>
      </c>
      <c r="AQ18" s="83">
        <f>SUM(AQ13:AQ17)</f>
        <v>1665000.3599999999</v>
      </c>
      <c r="AR18" s="83">
        <f t="shared" ref="AR18:AZ18" si="20">SUM(AR13:AR17)</f>
        <v>1665000.3599999999</v>
      </c>
      <c r="AS18" s="83">
        <f>SUM(AS13:AS17)</f>
        <v>1665000.3599999999</v>
      </c>
      <c r="AT18" s="83">
        <f t="shared" si="20"/>
        <v>1665000.3599999999</v>
      </c>
      <c r="AU18" s="83">
        <f t="shared" si="20"/>
        <v>1831500.3959999999</v>
      </c>
      <c r="AV18" s="83">
        <f t="shared" si="20"/>
        <v>1831500.3959999999</v>
      </c>
      <c r="AW18" s="83">
        <f t="shared" si="20"/>
        <v>1831500.3959999999</v>
      </c>
      <c r="AX18" s="83">
        <f t="shared" si="20"/>
        <v>1831500.3959999999</v>
      </c>
      <c r="AY18" s="83">
        <f t="shared" si="20"/>
        <v>1831500.3959999999</v>
      </c>
      <c r="AZ18" s="83">
        <f t="shared" si="20"/>
        <v>2014650.4356000002</v>
      </c>
      <c r="BA18" s="388" t="s">
        <v>208</v>
      </c>
      <c r="BB18" s="91"/>
      <c r="BC18" s="91"/>
      <c r="BD18" s="299"/>
      <c r="BE18" s="319" t="s">
        <v>209</v>
      </c>
      <c r="BF18" s="314"/>
      <c r="BG18" s="317">
        <f>BG16+BG17</f>
        <v>16450533.099000001</v>
      </c>
      <c r="BH18" s="320">
        <f>IF(BH8&gt;_xlfn.SINGLE(Analysis_Period),"",SUM(BH16:BH17))</f>
        <v>0</v>
      </c>
      <c r="BI18" s="317">
        <f t="shared" ref="BI18:BV18" si="21">IF(BI8&gt;_xlfn.SINGLE(Analysis_Period),"",SUM(BI16:BI17))</f>
        <v>0</v>
      </c>
      <c r="BJ18" s="317">
        <f t="shared" si="21"/>
        <v>0</v>
      </c>
      <c r="BK18" s="317">
        <f t="shared" si="21"/>
        <v>0</v>
      </c>
      <c r="BL18" s="317">
        <f t="shared" si="21"/>
        <v>0</v>
      </c>
      <c r="BM18" s="317">
        <f t="shared" si="21"/>
        <v>0</v>
      </c>
      <c r="BN18" s="317">
        <f t="shared" si="21"/>
        <v>0</v>
      </c>
      <c r="BO18" s="317">
        <f t="shared" si="21"/>
        <v>0</v>
      </c>
      <c r="BP18" s="317">
        <f t="shared" si="21"/>
        <v>0</v>
      </c>
      <c r="BQ18" s="320">
        <f t="shared" si="21"/>
        <v>0</v>
      </c>
      <c r="BR18" s="320" t="str">
        <f t="shared" si="21"/>
        <v/>
      </c>
      <c r="BS18" s="317" t="str">
        <f t="shared" si="21"/>
        <v/>
      </c>
      <c r="BT18" s="317" t="str">
        <f t="shared" si="21"/>
        <v/>
      </c>
      <c r="BU18" s="317" t="str">
        <f t="shared" si="21"/>
        <v/>
      </c>
      <c r="BV18" s="317" t="str">
        <f t="shared" si="21"/>
        <v/>
      </c>
      <c r="BW18" s="165"/>
      <c r="BZ18" s="182" t="s">
        <v>1</v>
      </c>
      <c r="CA18" s="182" t="s">
        <v>1</v>
      </c>
      <c r="CB18" s="193" t="s">
        <v>1</v>
      </c>
      <c r="CC18" s="197" t="s">
        <v>1</v>
      </c>
      <c r="CD18" s="193" t="s">
        <v>1</v>
      </c>
      <c r="CE18" s="197" t="s">
        <v>1</v>
      </c>
      <c r="CF18" s="182" t="s">
        <v>1</v>
      </c>
      <c r="CG18" s="182" t="s">
        <v>1</v>
      </c>
      <c r="CH18" s="182" t="s">
        <v>1</v>
      </c>
      <c r="CI18" s="182" t="s">
        <v>1</v>
      </c>
      <c r="CJ18" s="182" t="s">
        <v>1</v>
      </c>
      <c r="CK18" s="182" t="s">
        <v>1</v>
      </c>
      <c r="CL18" s="182" t="s">
        <v>1</v>
      </c>
      <c r="CM18" s="182" t="s">
        <v>1</v>
      </c>
      <c r="CN18" s="182" t="s">
        <v>1</v>
      </c>
      <c r="CO18" s="182" t="s">
        <v>1</v>
      </c>
      <c r="CP18" s="182" t="s">
        <v>1</v>
      </c>
      <c r="CQ18" s="182" t="s">
        <v>1</v>
      </c>
      <c r="CR18" s="182" t="s">
        <v>1</v>
      </c>
      <c r="CS18" s="182" t="s">
        <v>1</v>
      </c>
    </row>
    <row r="19" spans="2:104" ht="15.75">
      <c r="B19" s="255" t="s">
        <v>210</v>
      </c>
      <c r="C19" s="183"/>
      <c r="D19" s="43">
        <v>0.02</v>
      </c>
      <c r="Z19" s="260"/>
      <c r="AA19" s="260"/>
      <c r="AB19" s="285"/>
      <c r="AC19" s="198"/>
      <c r="AD19" s="199"/>
      <c r="AG19" s="58"/>
      <c r="AH19" s="103"/>
      <c r="AI19" s="61"/>
      <c r="AJ19" s="405"/>
      <c r="AK19" s="85"/>
      <c r="AL19" s="85"/>
      <c r="AM19" s="85"/>
      <c r="AN19" s="600"/>
      <c r="AO19" s="70"/>
      <c r="AP19" s="71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388"/>
      <c r="BB19" s="73"/>
      <c r="BC19" s="73"/>
      <c r="BD19" s="295"/>
      <c r="BE19" s="319"/>
      <c r="BF19" s="314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317"/>
      <c r="BW19" s="165"/>
      <c r="BX19" s="436" t="s">
        <v>211</v>
      </c>
      <c r="BZ19" s="186" t="s">
        <v>45</v>
      </c>
      <c r="CA19" s="200" t="s">
        <v>1</v>
      </c>
      <c r="CB19" s="209" t="s">
        <v>1</v>
      </c>
      <c r="CC19" s="210" t="s">
        <v>1</v>
      </c>
      <c r="CD19" s="328">
        <f>BG8</f>
        <v>0</v>
      </c>
      <c r="CE19" s="328">
        <f t="shared" ref="CE19:CN19" si="22">BH8</f>
        <v>1</v>
      </c>
      <c r="CF19" s="328">
        <f t="shared" si="22"/>
        <v>2</v>
      </c>
      <c r="CG19" s="328">
        <f t="shared" si="22"/>
        <v>3</v>
      </c>
      <c r="CH19" s="328">
        <f t="shared" si="22"/>
        <v>4</v>
      </c>
      <c r="CI19" s="328">
        <f t="shared" si="22"/>
        <v>5</v>
      </c>
      <c r="CJ19" s="328">
        <f t="shared" si="22"/>
        <v>6</v>
      </c>
      <c r="CK19" s="328">
        <f t="shared" si="22"/>
        <v>7</v>
      </c>
      <c r="CL19" s="328">
        <f t="shared" si="22"/>
        <v>8</v>
      </c>
      <c r="CM19" s="328">
        <f t="shared" si="22"/>
        <v>9</v>
      </c>
      <c r="CN19" s="328">
        <f t="shared" si="22"/>
        <v>10</v>
      </c>
      <c r="CO19" s="200" t="s">
        <v>1</v>
      </c>
      <c r="CP19" s="200" t="s">
        <v>1</v>
      </c>
      <c r="CQ19" s="200" t="s">
        <v>1</v>
      </c>
      <c r="CR19" s="200" t="s">
        <v>1</v>
      </c>
      <c r="CS19" s="200" t="s">
        <v>1</v>
      </c>
      <c r="CW19" s="55" t="s">
        <v>212</v>
      </c>
      <c r="CX19" s="446">
        <f t="shared" ref="CX19:CY19" si="23">SUM(CX4:CX7)</f>
        <v>1613000.4</v>
      </c>
      <c r="CY19" s="446">
        <f t="shared" si="23"/>
        <v>1750000.4000000004</v>
      </c>
      <c r="CZ19" s="446">
        <f>SUM(CZ4:CZ7)</f>
        <v>1750000.4</v>
      </c>
    </row>
    <row r="20" spans="2:104">
      <c r="B20" s="255" t="s">
        <v>213</v>
      </c>
      <c r="C20" s="456"/>
      <c r="D20" s="508">
        <v>25564154</v>
      </c>
      <c r="Z20" s="260" t="s">
        <v>81</v>
      </c>
      <c r="AA20" s="260"/>
      <c r="AB20" s="283">
        <f>BG58</f>
        <v>0.10298834508941335</v>
      </c>
      <c r="AC20" s="198" t="s">
        <v>142</v>
      </c>
      <c r="AD20" s="199"/>
      <c r="AG20" s="211"/>
      <c r="AH20" s="67" t="s">
        <v>214</v>
      </c>
      <c r="AI20" s="61"/>
      <c r="AJ20" s="405" t="s">
        <v>215</v>
      </c>
      <c r="AK20" s="307">
        <f t="shared" ref="AK20:AM24" si="24">C47</f>
        <v>0</v>
      </c>
      <c r="AL20" s="307">
        <f t="shared" si="24"/>
        <v>0</v>
      </c>
      <c r="AM20" s="307">
        <f t="shared" si="24"/>
        <v>0</v>
      </c>
      <c r="AN20" s="600">
        <f t="shared" ref="AN20:AN26" si="25">+AP20/$D$16</f>
        <v>0</v>
      </c>
      <c r="AO20" s="70"/>
      <c r="AP20" s="71">
        <f>+AM20</f>
        <v>0</v>
      </c>
      <c r="AQ20" s="73">
        <f t="shared" ref="AQ20:AZ24" si="26">AP20*(1+G$68)</f>
        <v>0</v>
      </c>
      <c r="AR20" s="73">
        <f t="shared" si="26"/>
        <v>0</v>
      </c>
      <c r="AS20" s="73">
        <f t="shared" si="26"/>
        <v>0</v>
      </c>
      <c r="AT20" s="73">
        <f t="shared" si="26"/>
        <v>0</v>
      </c>
      <c r="AU20" s="73">
        <f t="shared" si="26"/>
        <v>0</v>
      </c>
      <c r="AV20" s="73">
        <f t="shared" si="26"/>
        <v>0</v>
      </c>
      <c r="AW20" s="73">
        <f t="shared" si="26"/>
        <v>0</v>
      </c>
      <c r="AX20" s="73">
        <f t="shared" si="26"/>
        <v>0</v>
      </c>
      <c r="AY20" s="73">
        <f t="shared" si="26"/>
        <v>0</v>
      </c>
      <c r="AZ20" s="73">
        <f t="shared" si="26"/>
        <v>0</v>
      </c>
      <c r="BA20" s="388" t="s">
        <v>215</v>
      </c>
      <c r="BB20" s="73"/>
      <c r="BC20" s="73"/>
      <c r="BD20" s="295"/>
      <c r="BE20" s="313" t="s">
        <v>216</v>
      </c>
      <c r="BF20" s="314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165"/>
      <c r="BZ20" s="425" t="s">
        <v>57</v>
      </c>
      <c r="CA20" s="182" t="s">
        <v>1</v>
      </c>
      <c r="CB20" s="212"/>
      <c r="CC20" s="197" t="s">
        <v>1</v>
      </c>
      <c r="CD20" s="213"/>
      <c r="CE20" s="214"/>
      <c r="CF20" s="215"/>
      <c r="CG20" s="215"/>
      <c r="CH20" s="216"/>
      <c r="CI20" s="216"/>
      <c r="CJ20" s="216"/>
      <c r="CK20" s="216"/>
      <c r="CL20" s="216"/>
      <c r="CM20" s="216"/>
      <c r="CN20" s="216"/>
      <c r="CO20" s="182" t="s">
        <v>1</v>
      </c>
      <c r="CP20" s="182" t="s">
        <v>1</v>
      </c>
      <c r="CQ20" s="182" t="s">
        <v>1</v>
      </c>
      <c r="CR20" s="182" t="s">
        <v>1</v>
      </c>
      <c r="CS20" s="182" t="s">
        <v>1</v>
      </c>
    </row>
    <row r="21" spans="2:104">
      <c r="Z21" s="260" t="s">
        <v>217</v>
      </c>
      <c r="AA21" s="260"/>
      <c r="AB21" s="284">
        <f>BG52</f>
        <v>0</v>
      </c>
      <c r="AC21" s="198" t="s">
        <v>142</v>
      </c>
      <c r="AD21" s="199"/>
      <c r="AG21" s="205"/>
      <c r="AH21" s="67" t="s">
        <v>218</v>
      </c>
      <c r="AI21" s="61"/>
      <c r="AJ21" s="404" t="s">
        <v>219</v>
      </c>
      <c r="AK21" s="307">
        <f t="shared" si="24"/>
        <v>0</v>
      </c>
      <c r="AL21" s="307">
        <f t="shared" si="24"/>
        <v>0</v>
      </c>
      <c r="AM21" s="307">
        <f t="shared" si="24"/>
        <v>0</v>
      </c>
      <c r="AN21" s="600">
        <f t="shared" si="25"/>
        <v>0</v>
      </c>
      <c r="AO21" s="70"/>
      <c r="AP21" s="71">
        <f t="shared" ref="AP21:AP28" si="27">+AM21</f>
        <v>0</v>
      </c>
      <c r="AQ21" s="73">
        <f t="shared" si="26"/>
        <v>0</v>
      </c>
      <c r="AR21" s="73">
        <f t="shared" si="26"/>
        <v>0</v>
      </c>
      <c r="AS21" s="73">
        <f t="shared" si="26"/>
        <v>0</v>
      </c>
      <c r="AT21" s="73">
        <f t="shared" si="26"/>
        <v>0</v>
      </c>
      <c r="AU21" s="73">
        <f t="shared" si="26"/>
        <v>0</v>
      </c>
      <c r="AV21" s="73">
        <f t="shared" si="26"/>
        <v>0</v>
      </c>
      <c r="AW21" s="73">
        <f t="shared" si="26"/>
        <v>0</v>
      </c>
      <c r="AX21" s="73">
        <f t="shared" si="26"/>
        <v>0</v>
      </c>
      <c r="AY21" s="73">
        <f t="shared" si="26"/>
        <v>0</v>
      </c>
      <c r="AZ21" s="73">
        <f t="shared" si="26"/>
        <v>0</v>
      </c>
      <c r="BA21" s="387" t="s">
        <v>219</v>
      </c>
      <c r="BB21" s="73"/>
      <c r="BC21" s="73"/>
      <c r="BD21" s="295"/>
      <c r="BE21" s="150" t="s">
        <v>207</v>
      </c>
      <c r="BF21" s="322"/>
      <c r="BG21" s="317"/>
      <c r="BH21" s="317">
        <f t="shared" ref="BH21:BR21" si="28">AP18</f>
        <v>1665000.3599999999</v>
      </c>
      <c r="BI21" s="317">
        <f t="shared" si="28"/>
        <v>1665000.3599999999</v>
      </c>
      <c r="BJ21" s="317">
        <f t="shared" si="28"/>
        <v>1665000.3599999999</v>
      </c>
      <c r="BK21" s="317">
        <f t="shared" si="28"/>
        <v>1665000.3599999999</v>
      </c>
      <c r="BL21" s="317">
        <f t="shared" si="28"/>
        <v>1665000.3599999999</v>
      </c>
      <c r="BM21" s="317">
        <f t="shared" si="28"/>
        <v>1831500.3959999999</v>
      </c>
      <c r="BN21" s="317">
        <f t="shared" si="28"/>
        <v>1831500.3959999999</v>
      </c>
      <c r="BO21" s="317">
        <f t="shared" si="28"/>
        <v>1831500.3959999999</v>
      </c>
      <c r="BP21" s="317">
        <f t="shared" si="28"/>
        <v>1831500.3959999999</v>
      </c>
      <c r="BQ21" s="317">
        <f t="shared" si="28"/>
        <v>1831500.3959999999</v>
      </c>
      <c r="BR21" s="317">
        <f t="shared" si="28"/>
        <v>2014650.4356000002</v>
      </c>
      <c r="BS21" s="317">
        <f>'[1]Property Cash Flow'!AU18</f>
        <v>0</v>
      </c>
      <c r="BT21" s="317">
        <f>'[1]Property Cash Flow'!AV18</f>
        <v>0</v>
      </c>
      <c r="BU21" s="317">
        <f>'[1]Property Cash Flow'!AW18</f>
        <v>0</v>
      </c>
      <c r="BV21" s="317">
        <f>'[1]Property Cash Flow'!AX18</f>
        <v>0</v>
      </c>
      <c r="BW21" s="165"/>
      <c r="BZ21" s="426" t="s">
        <v>58</v>
      </c>
      <c r="CA21" s="182"/>
      <c r="CB21" s="217" t="e">
        <f>SUM(CD21:CN21)</f>
        <v>#VALUE!</v>
      </c>
      <c r="CC21" s="197"/>
      <c r="CD21" s="217" t="e">
        <f>(CD19&lt;&gt;"") * (CD55 + CD73 + CD88 + CD100)</f>
        <v>#VALUE!</v>
      </c>
      <c r="CE21" s="217" t="e">
        <f t="shared" ref="CE21:CN21" si="29">(CE19&lt;&gt;"") * (CE55 + CE73 + CE88 + CE100)</f>
        <v>#VALUE!</v>
      </c>
      <c r="CF21" s="217" t="e">
        <f t="shared" si="29"/>
        <v>#VALUE!</v>
      </c>
      <c r="CG21" s="217" t="e">
        <f t="shared" si="29"/>
        <v>#VALUE!</v>
      </c>
      <c r="CH21" s="217" t="e">
        <f t="shared" si="29"/>
        <v>#VALUE!</v>
      </c>
      <c r="CI21" s="217" t="e">
        <f t="shared" si="29"/>
        <v>#VALUE!</v>
      </c>
      <c r="CJ21" s="217" t="e">
        <f t="shared" si="29"/>
        <v>#VALUE!</v>
      </c>
      <c r="CK21" s="217" t="e">
        <f t="shared" si="29"/>
        <v>#VALUE!</v>
      </c>
      <c r="CL21" s="217" t="e">
        <f t="shared" si="29"/>
        <v>#VALUE!</v>
      </c>
      <c r="CM21" s="217" t="e">
        <f t="shared" si="29"/>
        <v>#VALUE!</v>
      </c>
      <c r="CN21" s="217" t="e">
        <f t="shared" si="29"/>
        <v>#VALUE!</v>
      </c>
      <c r="CO21" s="197" t="s">
        <v>61</v>
      </c>
      <c r="CP21" s="197" t="s">
        <v>61</v>
      </c>
      <c r="CQ21" s="197" t="s">
        <v>61</v>
      </c>
      <c r="CR21" s="197" t="s">
        <v>61</v>
      </c>
      <c r="CS21" s="197" t="s">
        <v>61</v>
      </c>
    </row>
    <row r="22" spans="2:104" ht="34.9">
      <c r="B22" s="109" t="s">
        <v>220</v>
      </c>
      <c r="C22" s="109"/>
      <c r="D22" s="109"/>
      <c r="Z22" s="260" t="s">
        <v>221</v>
      </c>
      <c r="AA22" s="260"/>
      <c r="AB22" s="283">
        <f>INDEX(BH57:BV57,1,D27)</f>
        <v>8.6011668550918297E-2</v>
      </c>
      <c r="AC22" s="198" t="s">
        <v>222</v>
      </c>
      <c r="AD22" s="199"/>
      <c r="AG22" s="205"/>
      <c r="AH22" s="67" t="s">
        <v>223</v>
      </c>
      <c r="AI22" s="61"/>
      <c r="AJ22" s="405" t="s">
        <v>94</v>
      </c>
      <c r="AK22" s="307">
        <f t="shared" si="24"/>
        <v>0</v>
      </c>
      <c r="AL22" s="307">
        <f t="shared" si="24"/>
        <v>0</v>
      </c>
      <c r="AM22" s="307">
        <f t="shared" si="24"/>
        <v>0</v>
      </c>
      <c r="AN22" s="600">
        <f t="shared" si="25"/>
        <v>0</v>
      </c>
      <c r="AO22" s="70"/>
      <c r="AP22" s="71">
        <f t="shared" si="27"/>
        <v>0</v>
      </c>
      <c r="AQ22" s="73">
        <f t="shared" si="26"/>
        <v>0</v>
      </c>
      <c r="AR22" s="73">
        <f t="shared" si="26"/>
        <v>0</v>
      </c>
      <c r="AS22" s="73">
        <f t="shared" si="26"/>
        <v>0</v>
      </c>
      <c r="AT22" s="73">
        <f t="shared" si="26"/>
        <v>0</v>
      </c>
      <c r="AU22" s="73">
        <f t="shared" si="26"/>
        <v>0</v>
      </c>
      <c r="AV22" s="73">
        <f t="shared" si="26"/>
        <v>0</v>
      </c>
      <c r="AW22" s="73">
        <f t="shared" si="26"/>
        <v>0</v>
      </c>
      <c r="AX22" s="73">
        <f t="shared" si="26"/>
        <v>0</v>
      </c>
      <c r="AY22" s="73">
        <f t="shared" si="26"/>
        <v>0</v>
      </c>
      <c r="AZ22" s="73">
        <f t="shared" si="26"/>
        <v>0</v>
      </c>
      <c r="BA22" s="388" t="s">
        <v>94</v>
      </c>
      <c r="BB22" s="73"/>
      <c r="BC22" s="73"/>
      <c r="BD22" s="295"/>
      <c r="BE22" s="110" t="s">
        <v>224</v>
      </c>
      <c r="BF22" s="323"/>
      <c r="BG22" s="318"/>
      <c r="BH22" s="318">
        <f t="shared" ref="BH22:BR22" si="30">AP29</f>
        <v>3330.00072</v>
      </c>
      <c r="BI22" s="318">
        <f t="shared" si="30"/>
        <v>3330.00072</v>
      </c>
      <c r="BJ22" s="318">
        <f t="shared" si="30"/>
        <v>3330.00072</v>
      </c>
      <c r="BK22" s="318">
        <f t="shared" si="30"/>
        <v>3330.00072</v>
      </c>
      <c r="BL22" s="318">
        <f t="shared" si="30"/>
        <v>3330.00072</v>
      </c>
      <c r="BM22" s="318">
        <f t="shared" si="30"/>
        <v>3663.0007919999998</v>
      </c>
      <c r="BN22" s="318">
        <f t="shared" si="30"/>
        <v>3663.0007919999998</v>
      </c>
      <c r="BO22" s="318">
        <f t="shared" si="30"/>
        <v>3663.0007919999998</v>
      </c>
      <c r="BP22" s="318">
        <f t="shared" si="30"/>
        <v>3663.0007919999998</v>
      </c>
      <c r="BQ22" s="318">
        <f t="shared" si="30"/>
        <v>3663.0007919999998</v>
      </c>
      <c r="BR22" s="318">
        <f t="shared" si="30"/>
        <v>4029.3008712000005</v>
      </c>
      <c r="BS22" s="318">
        <f>'[1]Property Cash Flow'!AU28</f>
        <v>0</v>
      </c>
      <c r="BT22" s="318">
        <f>'[1]Property Cash Flow'!AV28</f>
        <v>0</v>
      </c>
      <c r="BU22" s="318">
        <f>'[1]Property Cash Flow'!AW28</f>
        <v>0</v>
      </c>
      <c r="BV22" s="318">
        <f>'[1]Property Cash Flow'!AX28</f>
        <v>0</v>
      </c>
      <c r="BW22" s="165"/>
      <c r="BZ22" s="426" t="s">
        <v>62</v>
      </c>
      <c r="CA22" s="182"/>
      <c r="CB22" s="217">
        <f>SUM(CD22:CN22)</f>
        <v>9730404.4319499973</v>
      </c>
      <c r="CC22" s="197"/>
      <c r="CD22" s="192">
        <f>CD51</f>
        <v>9730404.4319499973</v>
      </c>
      <c r="CE22" s="192">
        <f t="shared" ref="CE22:CN22" si="31">CE51</f>
        <v>0</v>
      </c>
      <c r="CF22" s="192">
        <f t="shared" si="31"/>
        <v>0</v>
      </c>
      <c r="CG22" s="192">
        <f t="shared" si="31"/>
        <v>0</v>
      </c>
      <c r="CH22" s="192">
        <f t="shared" si="31"/>
        <v>0</v>
      </c>
      <c r="CI22" s="192">
        <f t="shared" si="31"/>
        <v>0</v>
      </c>
      <c r="CJ22" s="192">
        <f t="shared" si="31"/>
        <v>0</v>
      </c>
      <c r="CK22" s="192">
        <f t="shared" si="31"/>
        <v>0</v>
      </c>
      <c r="CL22" s="192">
        <f t="shared" si="31"/>
        <v>0</v>
      </c>
      <c r="CM22" s="192">
        <f t="shared" si="31"/>
        <v>0</v>
      </c>
      <c r="CN22" s="192">
        <f t="shared" si="31"/>
        <v>0</v>
      </c>
      <c r="CO22" s="197" t="s">
        <v>61</v>
      </c>
      <c r="CP22" s="197" t="s">
        <v>61</v>
      </c>
      <c r="CQ22" s="197" t="s">
        <v>61</v>
      </c>
      <c r="CR22" s="197" t="s">
        <v>61</v>
      </c>
      <c r="CS22" s="197" t="s">
        <v>61</v>
      </c>
    </row>
    <row r="23" spans="2:104" ht="15.75">
      <c r="B23" s="218"/>
      <c r="C23" s="218"/>
      <c r="D23" s="93"/>
      <c r="Z23" s="260"/>
      <c r="AA23" s="260"/>
      <c r="AB23" s="285"/>
      <c r="AC23" s="198"/>
      <c r="AD23" s="199"/>
      <c r="AG23" s="205"/>
      <c r="AH23" s="67" t="s">
        <v>225</v>
      </c>
      <c r="AI23" s="61"/>
      <c r="AJ23" s="405" t="s">
        <v>226</v>
      </c>
      <c r="AK23" s="307">
        <f t="shared" si="24"/>
        <v>0</v>
      </c>
      <c r="AL23" s="307">
        <f t="shared" si="24"/>
        <v>0</v>
      </c>
      <c r="AM23" s="307">
        <f t="shared" si="24"/>
        <v>0</v>
      </c>
      <c r="AN23" s="600">
        <f t="shared" si="25"/>
        <v>0</v>
      </c>
      <c r="AO23" s="70"/>
      <c r="AP23" s="71">
        <f t="shared" si="27"/>
        <v>0</v>
      </c>
      <c r="AQ23" s="73">
        <f t="shared" si="26"/>
        <v>0</v>
      </c>
      <c r="AR23" s="73">
        <f t="shared" si="26"/>
        <v>0</v>
      </c>
      <c r="AS23" s="73">
        <f t="shared" si="26"/>
        <v>0</v>
      </c>
      <c r="AT23" s="73">
        <f t="shared" si="26"/>
        <v>0</v>
      </c>
      <c r="AU23" s="73">
        <f t="shared" si="26"/>
        <v>0</v>
      </c>
      <c r="AV23" s="73">
        <f t="shared" si="26"/>
        <v>0</v>
      </c>
      <c r="AW23" s="73">
        <f t="shared" si="26"/>
        <v>0</v>
      </c>
      <c r="AX23" s="73">
        <f t="shared" si="26"/>
        <v>0</v>
      </c>
      <c r="AY23" s="73">
        <f t="shared" si="26"/>
        <v>0</v>
      </c>
      <c r="AZ23" s="73">
        <f t="shared" si="26"/>
        <v>0</v>
      </c>
      <c r="BA23" s="388" t="s">
        <v>226</v>
      </c>
      <c r="BB23" s="73"/>
      <c r="BC23" s="73"/>
      <c r="BD23" s="295"/>
      <c r="BE23" s="150" t="s">
        <v>227</v>
      </c>
      <c r="BF23" s="323"/>
      <c r="BG23" s="317"/>
      <c r="BH23" s="317">
        <f t="shared" ref="BH23:BQ23" si="32">BH21-BH22</f>
        <v>1661670.35928</v>
      </c>
      <c r="BI23" s="317">
        <f t="shared" si="32"/>
        <v>1661670.35928</v>
      </c>
      <c r="BJ23" s="317">
        <f t="shared" si="32"/>
        <v>1661670.35928</v>
      </c>
      <c r="BK23" s="317">
        <f t="shared" si="32"/>
        <v>1661670.35928</v>
      </c>
      <c r="BL23" s="317">
        <f t="shared" si="32"/>
        <v>1661670.35928</v>
      </c>
      <c r="BM23" s="317">
        <f t="shared" si="32"/>
        <v>1827837.395208</v>
      </c>
      <c r="BN23" s="317">
        <f t="shared" si="32"/>
        <v>1827837.395208</v>
      </c>
      <c r="BO23" s="317">
        <f t="shared" si="32"/>
        <v>1827837.395208</v>
      </c>
      <c r="BP23" s="317">
        <f t="shared" si="32"/>
        <v>1827837.395208</v>
      </c>
      <c r="BQ23" s="317">
        <f t="shared" si="32"/>
        <v>1827837.395208</v>
      </c>
      <c r="BR23" s="317">
        <f>BR21-BR22</f>
        <v>2010621.1347288003</v>
      </c>
      <c r="BS23" s="317" t="str">
        <f t="shared" ref="BS23:BV23" si="33">IF(BS8="","",BS21-BS22)</f>
        <v/>
      </c>
      <c r="BT23" s="317" t="str">
        <f t="shared" si="33"/>
        <v/>
      </c>
      <c r="BU23" s="317" t="str">
        <f t="shared" si="33"/>
        <v/>
      </c>
      <c r="BV23" s="317" t="str">
        <f t="shared" si="33"/>
        <v/>
      </c>
      <c r="BW23" s="165"/>
      <c r="BZ23" s="426" t="s">
        <v>63</v>
      </c>
      <c r="CA23" s="182"/>
      <c r="CB23" s="217" t="e">
        <f>CB21-CB22</f>
        <v>#VALUE!</v>
      </c>
      <c r="CC23" s="197"/>
      <c r="CD23" s="219"/>
      <c r="CE23" s="197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 t="s">
        <v>1</v>
      </c>
      <c r="CP23" s="182" t="s">
        <v>1</v>
      </c>
      <c r="CQ23" s="182" t="s">
        <v>1</v>
      </c>
      <c r="CR23" s="182" t="s">
        <v>1</v>
      </c>
      <c r="CS23" s="182" t="s">
        <v>1</v>
      </c>
      <c r="CZ23" s="446"/>
    </row>
    <row r="24" spans="2:104" ht="21" customHeight="1">
      <c r="B24" s="150" t="s">
        <v>228</v>
      </c>
      <c r="C24" s="220"/>
      <c r="D24" s="94">
        <v>3.5000000000000003E-2</v>
      </c>
      <c r="Z24" s="260" t="s">
        <v>229</v>
      </c>
      <c r="AA24" s="260"/>
      <c r="AB24" s="284">
        <f>MIN(BH61:BR61)</f>
        <v>1.8557919314552906</v>
      </c>
      <c r="AC24" s="198" t="s">
        <v>230</v>
      </c>
      <c r="AD24" s="199"/>
      <c r="AG24" s="205"/>
      <c r="AH24" s="67" t="s">
        <v>231</v>
      </c>
      <c r="AI24" s="61"/>
      <c r="AJ24" s="405" t="s">
        <v>232</v>
      </c>
      <c r="AK24" s="307">
        <f t="shared" si="24"/>
        <v>0</v>
      </c>
      <c r="AL24" s="307">
        <f t="shared" si="24"/>
        <v>0</v>
      </c>
      <c r="AM24" s="307">
        <f t="shared" si="24"/>
        <v>0</v>
      </c>
      <c r="AN24" s="600">
        <f t="shared" si="25"/>
        <v>0</v>
      </c>
      <c r="AO24" s="70"/>
      <c r="AP24" s="71">
        <f t="shared" si="27"/>
        <v>0</v>
      </c>
      <c r="AQ24" s="73">
        <f t="shared" si="26"/>
        <v>0</v>
      </c>
      <c r="AR24" s="73">
        <f t="shared" si="26"/>
        <v>0</v>
      </c>
      <c r="AS24" s="73">
        <f t="shared" si="26"/>
        <v>0</v>
      </c>
      <c r="AT24" s="73">
        <f t="shared" si="26"/>
        <v>0</v>
      </c>
      <c r="AU24" s="73">
        <f t="shared" si="26"/>
        <v>0</v>
      </c>
      <c r="AV24" s="73">
        <f t="shared" si="26"/>
        <v>0</v>
      </c>
      <c r="AW24" s="73">
        <f t="shared" si="26"/>
        <v>0</v>
      </c>
      <c r="AX24" s="73">
        <f t="shared" si="26"/>
        <v>0</v>
      </c>
      <c r="AY24" s="73">
        <f t="shared" si="26"/>
        <v>0</v>
      </c>
      <c r="AZ24" s="73">
        <f t="shared" si="26"/>
        <v>0</v>
      </c>
      <c r="BA24" s="388" t="s">
        <v>232</v>
      </c>
      <c r="BB24" s="73"/>
      <c r="BC24" s="73"/>
      <c r="BD24" s="295"/>
      <c r="BE24" s="110" t="s">
        <v>233</v>
      </c>
      <c r="BF24" s="323"/>
      <c r="BG24" s="318"/>
      <c r="BH24" s="318">
        <f t="shared" ref="BH24:BQ24" si="34">AP37</f>
        <v>0</v>
      </c>
      <c r="BI24" s="318">
        <f t="shared" si="34"/>
        <v>0</v>
      </c>
      <c r="BJ24" s="318">
        <f t="shared" si="34"/>
        <v>0</v>
      </c>
      <c r="BK24" s="318">
        <f t="shared" si="34"/>
        <v>0</v>
      </c>
      <c r="BL24" s="318">
        <f t="shared" si="34"/>
        <v>0</v>
      </c>
      <c r="BM24" s="318">
        <f t="shared" si="34"/>
        <v>0</v>
      </c>
      <c r="BN24" s="318">
        <f t="shared" si="34"/>
        <v>0</v>
      </c>
      <c r="BO24" s="318">
        <f t="shared" si="34"/>
        <v>0</v>
      </c>
      <c r="BP24" s="318">
        <f t="shared" si="34"/>
        <v>0</v>
      </c>
      <c r="BQ24" s="318">
        <f t="shared" si="34"/>
        <v>0</v>
      </c>
      <c r="BR24" s="318"/>
      <c r="BS24" s="318" t="str">
        <f>IF(BT8="","",'[1]Property Cash Flow'!AU36)</f>
        <v/>
      </c>
      <c r="BT24" s="318" t="str">
        <f>IF(BU8="","",'[1]Property Cash Flow'!AV36)</f>
        <v/>
      </c>
      <c r="BU24" s="318" t="str">
        <f>IF(BV8="","",'[1]Property Cash Flow'!AW36)</f>
        <v/>
      </c>
      <c r="BV24" s="318" t="str">
        <f>IF(BW8="","",'[1]Property Cash Flow'!AX36)</f>
        <v/>
      </c>
      <c r="BW24" s="165"/>
      <c r="BZ24" s="426" t="s">
        <v>64</v>
      </c>
      <c r="CA24" s="182"/>
      <c r="CB24" s="214" t="e">
        <f>IRR(CD24:CN24)</f>
        <v>#VALUE!</v>
      </c>
      <c r="CC24" s="197"/>
      <c r="CD24" s="217" t="e">
        <f>(CD19&lt;&gt;"") * (-CD22 + CD21)</f>
        <v>#VALUE!</v>
      </c>
      <c r="CE24" s="217" t="e">
        <f t="shared" ref="CE24:CN24" si="35">(CE19&lt;&gt;"") * (-CE22 + CE21)</f>
        <v>#VALUE!</v>
      </c>
      <c r="CF24" s="217" t="e">
        <f t="shared" si="35"/>
        <v>#VALUE!</v>
      </c>
      <c r="CG24" s="217" t="e">
        <f t="shared" si="35"/>
        <v>#VALUE!</v>
      </c>
      <c r="CH24" s="217" t="e">
        <f t="shared" si="35"/>
        <v>#VALUE!</v>
      </c>
      <c r="CI24" s="217" t="e">
        <f t="shared" si="35"/>
        <v>#VALUE!</v>
      </c>
      <c r="CJ24" s="217" t="e">
        <f t="shared" si="35"/>
        <v>#VALUE!</v>
      </c>
      <c r="CK24" s="217" t="e">
        <f t="shared" si="35"/>
        <v>#VALUE!</v>
      </c>
      <c r="CL24" s="217" t="e">
        <f t="shared" si="35"/>
        <v>#VALUE!</v>
      </c>
      <c r="CM24" s="217" t="e">
        <f t="shared" si="35"/>
        <v>#VALUE!</v>
      </c>
      <c r="CN24" s="217" t="e">
        <f t="shared" si="35"/>
        <v>#VALUE!</v>
      </c>
      <c r="CO24" s="217"/>
      <c r="CP24" s="217"/>
      <c r="CQ24" s="217"/>
      <c r="CR24" s="217"/>
      <c r="CS24" s="217"/>
      <c r="CT24" s="217"/>
    </row>
    <row r="25" spans="2:104" ht="21" customHeight="1">
      <c r="B25" s="150" t="s">
        <v>234</v>
      </c>
      <c r="C25" s="220"/>
      <c r="D25" s="95">
        <v>0</v>
      </c>
      <c r="Z25" s="260" t="s">
        <v>235</v>
      </c>
      <c r="AA25" s="260"/>
      <c r="AB25" s="283">
        <f>MIN(BH62:BR62)</f>
        <v>0.10195670061123017</v>
      </c>
      <c r="AC25" s="198" t="s">
        <v>230</v>
      </c>
      <c r="AD25" s="199"/>
      <c r="AG25" s="205"/>
      <c r="AH25" s="67" t="s">
        <v>236</v>
      </c>
      <c r="AI25" s="601"/>
      <c r="AJ25" s="407"/>
      <c r="AK25" s="307">
        <f>AK18*$C34</f>
        <v>3032.8903514487997</v>
      </c>
      <c r="AL25" s="307">
        <f>AL18*$C34</f>
        <v>3279.3509200000008</v>
      </c>
      <c r="AM25" s="307">
        <f>AM18*$C34</f>
        <v>3330.00072</v>
      </c>
      <c r="AN25" s="600">
        <f t="shared" si="25"/>
        <v>6.6600014400000004E-2</v>
      </c>
      <c r="AO25" s="96"/>
      <c r="AP25" s="71">
        <f>+AM25</f>
        <v>3330.00072</v>
      </c>
      <c r="AQ25" s="73">
        <f t="shared" ref="AQ25:AZ25" si="36">AQ18*$C$34</f>
        <v>3330.00072</v>
      </c>
      <c r="AR25" s="73">
        <f t="shared" si="36"/>
        <v>3330.00072</v>
      </c>
      <c r="AS25" s="73">
        <f t="shared" si="36"/>
        <v>3330.00072</v>
      </c>
      <c r="AT25" s="73">
        <f t="shared" si="36"/>
        <v>3330.00072</v>
      </c>
      <c r="AU25" s="73">
        <f t="shared" si="36"/>
        <v>3663.0007919999998</v>
      </c>
      <c r="AV25" s="73">
        <f t="shared" si="36"/>
        <v>3663.0007919999998</v>
      </c>
      <c r="AW25" s="73">
        <f t="shared" si="36"/>
        <v>3663.0007919999998</v>
      </c>
      <c r="AX25" s="73">
        <f t="shared" si="36"/>
        <v>3663.0007919999998</v>
      </c>
      <c r="AY25" s="73">
        <f t="shared" si="36"/>
        <v>3663.0007919999998</v>
      </c>
      <c r="AZ25" s="73">
        <f t="shared" si="36"/>
        <v>4029.3008712000005</v>
      </c>
      <c r="BA25" s="390"/>
      <c r="BB25" s="71"/>
      <c r="BC25" s="71"/>
      <c r="BD25" s="300"/>
      <c r="BE25" s="150" t="s">
        <v>237</v>
      </c>
      <c r="BF25" s="324"/>
      <c r="BG25" s="317"/>
      <c r="BH25" s="320">
        <f>BH23-BH24</f>
        <v>1661670.35928</v>
      </c>
      <c r="BI25" s="325">
        <f>BI23-BI24</f>
        <v>1661670.35928</v>
      </c>
      <c r="BJ25" s="320">
        <f t="shared" ref="BJ25:BQ25" si="37">BJ23-BJ24</f>
        <v>1661670.35928</v>
      </c>
      <c r="BK25" s="320">
        <f t="shared" si="37"/>
        <v>1661670.35928</v>
      </c>
      <c r="BL25" s="320">
        <f t="shared" si="37"/>
        <v>1661670.35928</v>
      </c>
      <c r="BM25" s="320">
        <f t="shared" si="37"/>
        <v>1827837.395208</v>
      </c>
      <c r="BN25" s="320">
        <f t="shared" si="37"/>
        <v>1827837.395208</v>
      </c>
      <c r="BO25" s="320">
        <f t="shared" si="37"/>
        <v>1827837.395208</v>
      </c>
      <c r="BP25" s="320">
        <f t="shared" si="37"/>
        <v>1827837.395208</v>
      </c>
      <c r="BQ25" s="320">
        <f t="shared" si="37"/>
        <v>1827837.395208</v>
      </c>
      <c r="BR25" s="320"/>
      <c r="BS25" s="317" t="str">
        <f t="shared" ref="BS25:BV25" si="38">IF(BT8="","",BS23-BS24)</f>
        <v/>
      </c>
      <c r="BT25" s="317" t="str">
        <f t="shared" si="38"/>
        <v/>
      </c>
      <c r="BU25" s="317" t="str">
        <f t="shared" si="38"/>
        <v/>
      </c>
      <c r="BV25" s="317" t="str">
        <f t="shared" si="38"/>
        <v/>
      </c>
      <c r="BW25" s="165"/>
      <c r="BZ25" s="426" t="s">
        <v>65</v>
      </c>
      <c r="CA25" s="182"/>
      <c r="CB25" s="221" t="e">
        <f>CB21/CB22</f>
        <v>#VALUE!</v>
      </c>
      <c r="CC25" s="197"/>
      <c r="CD25" s="219"/>
      <c r="CE25" s="197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 t="s">
        <v>1</v>
      </c>
      <c r="CP25" s="182" t="s">
        <v>1</v>
      </c>
      <c r="CQ25" s="182" t="s">
        <v>1</v>
      </c>
      <c r="CR25" s="182" t="s">
        <v>1</v>
      </c>
      <c r="CS25" s="182" t="s">
        <v>1</v>
      </c>
    </row>
    <row r="26" spans="2:104">
      <c r="B26" s="150" t="s">
        <v>238</v>
      </c>
      <c r="C26" s="220"/>
      <c r="D26" s="97">
        <v>30</v>
      </c>
      <c r="Z26" s="260"/>
      <c r="AA26" s="260"/>
      <c r="AB26" s="285"/>
      <c r="AC26" s="198"/>
      <c r="AD26" s="199"/>
      <c r="AG26" s="205"/>
      <c r="AH26" s="67" t="s">
        <v>239</v>
      </c>
      <c r="AI26" s="61"/>
      <c r="AJ26" s="405" t="s">
        <v>240</v>
      </c>
      <c r="AK26" s="307">
        <f>C53</f>
        <v>0</v>
      </c>
      <c r="AL26" s="307">
        <f>D53</f>
        <v>0</v>
      </c>
      <c r="AM26" s="307">
        <f>E53</f>
        <v>0</v>
      </c>
      <c r="AN26" s="600">
        <f t="shared" si="25"/>
        <v>0</v>
      </c>
      <c r="AO26" s="70"/>
      <c r="AP26" s="71">
        <f t="shared" si="27"/>
        <v>0</v>
      </c>
      <c r="AQ26" s="73">
        <f t="shared" ref="AQ26:AZ28" si="39">AP26*(1+G$68)</f>
        <v>0</v>
      </c>
      <c r="AR26" s="73">
        <f t="shared" si="39"/>
        <v>0</v>
      </c>
      <c r="AS26" s="73">
        <f t="shared" si="39"/>
        <v>0</v>
      </c>
      <c r="AT26" s="73">
        <f t="shared" si="39"/>
        <v>0</v>
      </c>
      <c r="AU26" s="73">
        <f t="shared" si="39"/>
        <v>0</v>
      </c>
      <c r="AV26" s="73">
        <f t="shared" si="39"/>
        <v>0</v>
      </c>
      <c r="AW26" s="73">
        <f t="shared" si="39"/>
        <v>0</v>
      </c>
      <c r="AX26" s="73">
        <f t="shared" si="39"/>
        <v>0</v>
      </c>
      <c r="AY26" s="73">
        <f t="shared" si="39"/>
        <v>0</v>
      </c>
      <c r="AZ26" s="73">
        <f t="shared" si="39"/>
        <v>0</v>
      </c>
      <c r="BA26" s="388" t="s">
        <v>240</v>
      </c>
      <c r="BB26" s="73"/>
      <c r="BC26" s="73"/>
      <c r="BD26" s="295"/>
      <c r="BE26" s="110" t="s">
        <v>241</v>
      </c>
      <c r="BF26" s="323"/>
      <c r="BG26" s="318"/>
      <c r="BH26" s="318">
        <f>(($D$20*$D$29)*$D$24)/(1-(1+$D$24/12)^-($D$26*12))</f>
        <v>895396.9090580846</v>
      </c>
      <c r="BI26" s="326">
        <f t="shared" ref="BH26:BQ26" si="40">(($D$20*$D$29)*$D$24)/(1-(1+$D$24/12)^-($D$26*12))</f>
        <v>895396.9090580846</v>
      </c>
      <c r="BJ26" s="318">
        <f t="shared" si="40"/>
        <v>895396.9090580846</v>
      </c>
      <c r="BK26" s="318">
        <f t="shared" si="40"/>
        <v>895396.9090580846</v>
      </c>
      <c r="BL26" s="318">
        <f t="shared" si="40"/>
        <v>895396.9090580846</v>
      </c>
      <c r="BM26" s="318">
        <f t="shared" si="40"/>
        <v>895396.9090580846</v>
      </c>
      <c r="BN26" s="318">
        <f t="shared" si="40"/>
        <v>895396.9090580846</v>
      </c>
      <c r="BO26" s="318">
        <f t="shared" si="40"/>
        <v>895396.9090580846</v>
      </c>
      <c r="BP26" s="318">
        <f t="shared" si="40"/>
        <v>895396.9090580846</v>
      </c>
      <c r="BQ26" s="318">
        <f t="shared" si="40"/>
        <v>895396.9090580846</v>
      </c>
      <c r="BR26" s="318"/>
      <c r="BS26" s="318" t="str">
        <f>IF(BT8="","",IF(BS8&lt;='[1]Property Cash Flow'!$H$27,'[1]Property Cash Flow'!$H$34,'[1]Property Cash Flow'!$H$33))</f>
        <v/>
      </c>
      <c r="BT26" s="318" t="str">
        <f>IF(BU8="","",IF(BT8&lt;='[1]Property Cash Flow'!$H$27,'[1]Property Cash Flow'!$H$34,'[1]Property Cash Flow'!$H$33))</f>
        <v/>
      </c>
      <c r="BU26" s="318" t="str">
        <f>IF(BV8="","",IF(BU8&lt;='[1]Property Cash Flow'!$H$27,'[1]Property Cash Flow'!$H$34,'[1]Property Cash Flow'!$H$33))</f>
        <v/>
      </c>
      <c r="BV26" s="318" t="str">
        <f>IF(BW8="","",IF(BV8&lt;='[1]Property Cash Flow'!$H$27,'[1]Property Cash Flow'!$H$34,'[1]Property Cash Flow'!$H$33))</f>
        <v/>
      </c>
      <c r="BW26" s="165"/>
      <c r="BZ26" s="426" t="s">
        <v>1</v>
      </c>
      <c r="CA26" s="182"/>
      <c r="CB26" s="212"/>
      <c r="CC26" s="197"/>
      <c r="CD26" s="219"/>
      <c r="CE26" s="197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 t="s">
        <v>1</v>
      </c>
      <c r="CP26" s="182" t="s">
        <v>1</v>
      </c>
      <c r="CQ26" s="182" t="s">
        <v>1</v>
      </c>
      <c r="CR26" s="182" t="s">
        <v>1</v>
      </c>
      <c r="CS26" s="182" t="s">
        <v>1</v>
      </c>
    </row>
    <row r="27" spans="2:104">
      <c r="B27" s="150" t="s">
        <v>242</v>
      </c>
      <c r="C27" s="220"/>
      <c r="D27" s="95">
        <f>Analysis_Period</f>
        <v>10</v>
      </c>
      <c r="Z27" s="253"/>
      <c r="AA27" s="253"/>
      <c r="AB27" s="253"/>
      <c r="AG27" s="205"/>
      <c r="AH27" s="67"/>
      <c r="AI27" s="61"/>
      <c r="AJ27" s="405"/>
      <c r="AK27" s="307"/>
      <c r="AL27" s="307"/>
      <c r="AM27" s="307"/>
      <c r="AN27" s="69"/>
      <c r="AO27" s="70"/>
      <c r="AP27" s="71"/>
      <c r="AQ27" s="73">
        <f t="shared" si="39"/>
        <v>0</v>
      </c>
      <c r="AR27" s="73">
        <f t="shared" si="39"/>
        <v>0</v>
      </c>
      <c r="AS27" s="73">
        <f t="shared" si="39"/>
        <v>0</v>
      </c>
      <c r="AT27" s="73">
        <f t="shared" si="39"/>
        <v>0</v>
      </c>
      <c r="AU27" s="73">
        <f t="shared" si="39"/>
        <v>0</v>
      </c>
      <c r="AV27" s="73">
        <f t="shared" si="39"/>
        <v>0</v>
      </c>
      <c r="AW27" s="73">
        <f t="shared" si="39"/>
        <v>0</v>
      </c>
      <c r="AX27" s="73">
        <f t="shared" si="39"/>
        <v>0</v>
      </c>
      <c r="AY27" s="73">
        <f t="shared" si="39"/>
        <v>0</v>
      </c>
      <c r="AZ27" s="73">
        <f t="shared" si="39"/>
        <v>0</v>
      </c>
      <c r="BA27" s="388"/>
      <c r="BB27" s="73"/>
      <c r="BC27" s="73"/>
      <c r="BD27" s="295"/>
      <c r="BE27" s="110"/>
      <c r="BF27" s="323"/>
      <c r="BG27" s="318"/>
      <c r="BH27" s="318"/>
      <c r="BI27" s="326"/>
      <c r="BJ27" s="326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165"/>
      <c r="BZ27" s="426"/>
      <c r="CA27" s="182"/>
      <c r="CB27" s="212"/>
      <c r="CC27" s="197"/>
      <c r="CD27" s="219"/>
      <c r="CE27" s="197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</row>
    <row r="28" spans="2:104" ht="15.75">
      <c r="B28" s="150"/>
      <c r="C28" s="220"/>
      <c r="D28" s="95"/>
      <c r="Z28" s="843" t="s">
        <v>220</v>
      </c>
      <c r="AA28" s="843"/>
      <c r="AB28" s="843"/>
      <c r="AG28" s="211"/>
      <c r="AH28" s="67" t="s">
        <v>244</v>
      </c>
      <c r="AI28" s="61"/>
      <c r="AJ28" s="408" t="s">
        <v>245</v>
      </c>
      <c r="AK28" s="98">
        <f>C54</f>
        <v>0</v>
      </c>
      <c r="AL28" s="98">
        <f>D54</f>
        <v>0</v>
      </c>
      <c r="AM28" s="98">
        <f>E54</f>
        <v>0</v>
      </c>
      <c r="AN28" s="99">
        <f>+AP28/D16</f>
        <v>0</v>
      </c>
      <c r="AO28" s="100"/>
      <c r="AP28" s="101">
        <f t="shared" si="27"/>
        <v>0</v>
      </c>
      <c r="AQ28" s="73">
        <f t="shared" si="39"/>
        <v>0</v>
      </c>
      <c r="AR28" s="73">
        <f t="shared" si="39"/>
        <v>0</v>
      </c>
      <c r="AS28" s="73">
        <f t="shared" si="39"/>
        <v>0</v>
      </c>
      <c r="AT28" s="73">
        <f t="shared" si="39"/>
        <v>0</v>
      </c>
      <c r="AU28" s="73">
        <f t="shared" si="39"/>
        <v>0</v>
      </c>
      <c r="AV28" s="73">
        <f t="shared" si="39"/>
        <v>0</v>
      </c>
      <c r="AW28" s="73">
        <f t="shared" si="39"/>
        <v>0</v>
      </c>
      <c r="AX28" s="73">
        <f t="shared" si="39"/>
        <v>0</v>
      </c>
      <c r="AY28" s="73">
        <f t="shared" si="39"/>
        <v>0</v>
      </c>
      <c r="AZ28" s="73">
        <f t="shared" si="39"/>
        <v>0</v>
      </c>
      <c r="BA28" s="391" t="s">
        <v>245</v>
      </c>
      <c r="BB28" s="102"/>
      <c r="BC28" s="102"/>
      <c r="BD28" s="301"/>
      <c r="BE28" s="150" t="s">
        <v>246</v>
      </c>
      <c r="BF28" s="327"/>
      <c r="BG28" s="317"/>
      <c r="BH28" s="320">
        <f>BH25-BH26+BH27</f>
        <v>766273.45022191538</v>
      </c>
      <c r="BI28" s="320">
        <f>BI25-BI26+BI27</f>
        <v>766273.45022191538</v>
      </c>
      <c r="BJ28" s="320">
        <f>BJ25-BJ26+BJ27</f>
        <v>766273.45022191538</v>
      </c>
      <c r="BK28" s="320">
        <f>BK25-BK26</f>
        <v>766273.45022191538</v>
      </c>
      <c r="BL28" s="320">
        <f t="shared" ref="BL28:BP28" si="41">BL25-BL26</f>
        <v>766273.45022191538</v>
      </c>
      <c r="BM28" s="320">
        <f t="shared" si="41"/>
        <v>932440.48614991538</v>
      </c>
      <c r="BN28" s="320">
        <f t="shared" si="41"/>
        <v>932440.48614991538</v>
      </c>
      <c r="BO28" s="320">
        <f t="shared" si="41"/>
        <v>932440.48614991538</v>
      </c>
      <c r="BP28" s="320">
        <f t="shared" si="41"/>
        <v>932440.48614991538</v>
      </c>
      <c r="BQ28" s="320">
        <f>BQ25-BQ26</f>
        <v>932440.48614991538</v>
      </c>
      <c r="BR28" s="320"/>
      <c r="BS28" s="317" t="str">
        <f t="shared" ref="BS28:BV28" si="42">IF(BT8="","",BS25-BS26)</f>
        <v/>
      </c>
      <c r="BT28" s="317"/>
      <c r="BU28" s="317" t="str">
        <f t="shared" si="42"/>
        <v/>
      </c>
      <c r="BV28" s="317" t="str">
        <f t="shared" si="42"/>
        <v/>
      </c>
      <c r="BW28" s="165"/>
      <c r="BZ28" s="425" t="s">
        <v>67</v>
      </c>
      <c r="CA28" s="182"/>
      <c r="CB28" s="217"/>
      <c r="CC28" s="197"/>
      <c r="CD28" s="217"/>
      <c r="CE28" s="223"/>
      <c r="CF28" s="224"/>
      <c r="CG28" s="224"/>
      <c r="CH28" s="217"/>
      <c r="CI28" s="224"/>
      <c r="CJ28" s="224"/>
      <c r="CK28" s="224"/>
      <c r="CL28" s="224"/>
      <c r="CM28" s="224"/>
      <c r="CN28" s="224"/>
      <c r="CO28" s="182" t="s">
        <v>1</v>
      </c>
      <c r="CP28" s="182" t="s">
        <v>1</v>
      </c>
      <c r="CQ28" s="182" t="s">
        <v>1</v>
      </c>
      <c r="CR28" s="182" t="s">
        <v>1</v>
      </c>
      <c r="CS28" s="182" t="s">
        <v>1</v>
      </c>
    </row>
    <row r="29" spans="2:104">
      <c r="B29" s="150" t="s">
        <v>247</v>
      </c>
      <c r="C29" s="220"/>
      <c r="D29" s="94">
        <v>0.65</v>
      </c>
      <c r="Z29" s="262" t="s">
        <v>196</v>
      </c>
      <c r="AA29" s="262" t="s">
        <v>1</v>
      </c>
      <c r="AB29" s="277">
        <f>AB12*D29</f>
        <v>16616700.100000001</v>
      </c>
      <c r="AC29" s="163" t="s">
        <v>248</v>
      </c>
      <c r="AG29" s="201">
        <f>_xlfn.RRI(_xlfn.SINGLE(Analysis_Period)-1,AP29,_xlfn.SINGLE(INDEX(AP29:BD29,1,_xlfn.SINGLE(Analysis_Period))))</f>
        <v>1.0646292707510829E-2</v>
      </c>
      <c r="AH29" s="103" t="s">
        <v>224</v>
      </c>
      <c r="AI29" s="204"/>
      <c r="AJ29" s="405" t="s">
        <v>249</v>
      </c>
      <c r="AK29" s="137">
        <f>SUM(AK20:AK28)</f>
        <v>3032.8903514487997</v>
      </c>
      <c r="AL29" s="137">
        <f>SUM(AL20:AL28)</f>
        <v>3279.3509200000008</v>
      </c>
      <c r="AM29" s="137">
        <f>SUM(AM20:AM28)</f>
        <v>3330.00072</v>
      </c>
      <c r="AN29" s="69">
        <f>AP29/D16</f>
        <v>6.6600014400000004E-2</v>
      </c>
      <c r="AO29" s="70"/>
      <c r="AP29" s="104">
        <f>IF(AP9="","",SUM(AP20:AP28))</f>
        <v>3330.00072</v>
      </c>
      <c r="AQ29" s="105">
        <f>SUM(AQ20:AQ28)</f>
        <v>3330.00072</v>
      </c>
      <c r="AR29" s="105">
        <f t="shared" ref="AR29:AZ29" si="43">SUM(AR20:AR28)</f>
        <v>3330.00072</v>
      </c>
      <c r="AS29" s="105">
        <f t="shared" si="43"/>
        <v>3330.00072</v>
      </c>
      <c r="AT29" s="105">
        <f t="shared" si="43"/>
        <v>3330.00072</v>
      </c>
      <c r="AU29" s="105">
        <f t="shared" si="43"/>
        <v>3663.0007919999998</v>
      </c>
      <c r="AV29" s="105">
        <f t="shared" si="43"/>
        <v>3663.0007919999998</v>
      </c>
      <c r="AW29" s="105">
        <f t="shared" si="43"/>
        <v>3663.0007919999998</v>
      </c>
      <c r="AX29" s="105">
        <f t="shared" si="43"/>
        <v>3663.0007919999998</v>
      </c>
      <c r="AY29" s="105">
        <f t="shared" si="43"/>
        <v>3663.0007919999998</v>
      </c>
      <c r="AZ29" s="105">
        <f t="shared" si="43"/>
        <v>4029.3008712000005</v>
      </c>
      <c r="BA29" s="388" t="s">
        <v>249</v>
      </c>
      <c r="BB29" s="73"/>
      <c r="BC29" s="73"/>
      <c r="BD29" s="295"/>
      <c r="BE29" s="150"/>
      <c r="BF29" s="32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165"/>
      <c r="BZ29" s="426" t="s">
        <v>68</v>
      </c>
      <c r="CA29" s="182"/>
      <c r="CB29" s="217" t="e">
        <f>SUM(CD29:CS29)</f>
        <v>#VALUE!</v>
      </c>
      <c r="CC29" s="197"/>
      <c r="CD29" s="217" t="e">
        <f>(CD19&lt;&gt;"") * (CD60 + CD78 + CD93 + CD100)</f>
        <v>#VALUE!</v>
      </c>
      <c r="CE29" s="217" t="e">
        <f t="shared" ref="CE29:CN29" si="44">(CE19&lt;&gt;"") * (CE60 + CE78 + CE93 + CE100)</f>
        <v>#VALUE!</v>
      </c>
      <c r="CF29" s="217" t="e">
        <f t="shared" si="44"/>
        <v>#VALUE!</v>
      </c>
      <c r="CG29" s="217" t="e">
        <f t="shared" si="44"/>
        <v>#VALUE!</v>
      </c>
      <c r="CH29" s="217" t="e">
        <f t="shared" si="44"/>
        <v>#VALUE!</v>
      </c>
      <c r="CI29" s="217" t="e">
        <f t="shared" si="44"/>
        <v>#VALUE!</v>
      </c>
      <c r="CJ29" s="217" t="e">
        <f t="shared" si="44"/>
        <v>#VALUE!</v>
      </c>
      <c r="CK29" s="217" t="e">
        <f t="shared" si="44"/>
        <v>#VALUE!</v>
      </c>
      <c r="CL29" s="217" t="e">
        <f t="shared" si="44"/>
        <v>#VALUE!</v>
      </c>
      <c r="CM29" s="217" t="e">
        <f t="shared" si="44"/>
        <v>#VALUE!</v>
      </c>
      <c r="CN29" s="217" t="e">
        <f t="shared" si="44"/>
        <v>#VALUE!</v>
      </c>
      <c r="CO29" s="197" t="s">
        <v>61</v>
      </c>
      <c r="CP29" s="197" t="s">
        <v>61</v>
      </c>
      <c r="CQ29" s="197" t="s">
        <v>61</v>
      </c>
      <c r="CR29" s="197" t="s">
        <v>61</v>
      </c>
      <c r="CS29" s="197" t="s">
        <v>61</v>
      </c>
    </row>
    <row r="30" spans="2:104">
      <c r="B30" s="150" t="s">
        <v>250</v>
      </c>
      <c r="C30" s="220"/>
      <c r="D30" s="94">
        <v>0.01</v>
      </c>
      <c r="Z30" s="262" t="s">
        <v>251</v>
      </c>
      <c r="AA30" s="262" t="s">
        <v>1</v>
      </c>
      <c r="AB30" s="277">
        <f>AB29*D30</f>
        <v>166167.00100000002</v>
      </c>
      <c r="AC30" s="163" t="s">
        <v>252</v>
      </c>
      <c r="AG30" s="58"/>
      <c r="AH30" s="103"/>
      <c r="AI30" s="61"/>
      <c r="AJ30" s="405"/>
      <c r="AK30" s="137"/>
      <c r="AL30" s="137"/>
      <c r="AM30" s="137"/>
      <c r="AN30" s="69"/>
      <c r="AO30" s="70"/>
      <c r="AP30" s="71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388"/>
      <c r="BB30" s="73"/>
      <c r="BC30" s="73"/>
      <c r="BD30" s="295"/>
      <c r="BE30" s="106" t="s">
        <v>253</v>
      </c>
      <c r="BF30" s="292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165"/>
      <c r="BZ30" s="426" t="s">
        <v>69</v>
      </c>
      <c r="CA30" s="182"/>
      <c r="CB30" s="217">
        <f>SUM(CD30:CS30)</f>
        <v>1507627</v>
      </c>
      <c r="CC30" s="197"/>
      <c r="CD30" s="217">
        <f>((CD19&lt;&gt;"") * SUM(CD39:CD40))</f>
        <v>367627</v>
      </c>
      <c r="CE30" s="217">
        <f t="shared" ref="CE30:CN30" si="45">((CE19&lt;&gt;"") * SUM(CE39:CE40))</f>
        <v>114000</v>
      </c>
      <c r="CF30" s="217">
        <f t="shared" si="45"/>
        <v>114000</v>
      </c>
      <c r="CG30" s="217">
        <f t="shared" si="45"/>
        <v>114000</v>
      </c>
      <c r="CH30" s="217">
        <f t="shared" si="45"/>
        <v>114000</v>
      </c>
      <c r="CI30" s="217">
        <f t="shared" si="45"/>
        <v>114000</v>
      </c>
      <c r="CJ30" s="217">
        <f t="shared" si="45"/>
        <v>114000</v>
      </c>
      <c r="CK30" s="217">
        <f t="shared" si="45"/>
        <v>114000</v>
      </c>
      <c r="CL30" s="217">
        <f t="shared" si="45"/>
        <v>114000</v>
      </c>
      <c r="CM30" s="217">
        <f t="shared" si="45"/>
        <v>114000</v>
      </c>
      <c r="CN30" s="217">
        <f t="shared" si="45"/>
        <v>114000</v>
      </c>
      <c r="CO30" s="197" t="s">
        <v>61</v>
      </c>
      <c r="CP30" s="197" t="s">
        <v>61</v>
      </c>
      <c r="CQ30" s="197" t="s">
        <v>61</v>
      </c>
      <c r="CR30" s="197" t="s">
        <v>61</v>
      </c>
      <c r="CS30" s="197" t="s">
        <v>61</v>
      </c>
    </row>
    <row r="31" spans="2:104">
      <c r="Z31" s="262" t="s">
        <v>254</v>
      </c>
      <c r="AA31" s="262" t="s">
        <v>1</v>
      </c>
      <c r="AB31" s="277">
        <f>AB3-AB29</f>
        <v>9874903.9809999987</v>
      </c>
      <c r="AC31" s="163" t="s">
        <v>255</v>
      </c>
      <c r="AG31" s="201">
        <f>_xlfn.RRI(_xlfn.SINGLE(Analysis_Period)-1,AP31,_xlfn.SINGLE(INDEX(AP31:BD31,1,_xlfn.SINGLE(Analysis_Period))))</f>
        <v>1.0646292707510829E-2</v>
      </c>
      <c r="AH31" s="106" t="s">
        <v>227</v>
      </c>
      <c r="AI31" s="208"/>
      <c r="AJ31" s="405" t="s">
        <v>256</v>
      </c>
      <c r="AK31" s="107">
        <f>AK18-AK29</f>
        <v>1513412.2853729508</v>
      </c>
      <c r="AL31" s="107">
        <f>AL18-AL29</f>
        <v>1636396.1090800003</v>
      </c>
      <c r="AM31" s="107">
        <f>AM18-AM29</f>
        <v>1661670.35928</v>
      </c>
      <c r="AN31" s="107">
        <f>AN18-AN29</f>
        <v>33.233407185599994</v>
      </c>
      <c r="AO31" s="90"/>
      <c r="AP31" s="83">
        <f>AP18-AP29</f>
        <v>1661670.35928</v>
      </c>
      <c r="AQ31" s="83">
        <f t="shared" ref="AQ31:AZ31" si="46">AQ18-AQ29</f>
        <v>1661670.35928</v>
      </c>
      <c r="AR31" s="83">
        <f>AR18-AR29</f>
        <v>1661670.35928</v>
      </c>
      <c r="AS31" s="83">
        <f t="shared" si="46"/>
        <v>1661670.35928</v>
      </c>
      <c r="AT31" s="83">
        <f t="shared" si="46"/>
        <v>1661670.35928</v>
      </c>
      <c r="AU31" s="83">
        <f t="shared" si="46"/>
        <v>1827837.395208</v>
      </c>
      <c r="AV31" s="83">
        <f t="shared" si="46"/>
        <v>1827837.395208</v>
      </c>
      <c r="AW31" s="83">
        <f t="shared" si="46"/>
        <v>1827837.395208</v>
      </c>
      <c r="AX31" s="83">
        <f t="shared" si="46"/>
        <v>1827837.395208</v>
      </c>
      <c r="AY31" s="83">
        <f t="shared" si="46"/>
        <v>1827837.395208</v>
      </c>
      <c r="AZ31" s="83">
        <f t="shared" si="46"/>
        <v>2010621.1347288003</v>
      </c>
      <c r="BA31" s="388" t="s">
        <v>256</v>
      </c>
      <c r="BB31" s="91"/>
      <c r="BC31" s="91"/>
      <c r="BD31" s="299"/>
      <c r="BE31" s="103" t="s">
        <v>258</v>
      </c>
      <c r="BF31" s="292"/>
      <c r="BG31" s="84"/>
      <c r="BH31" s="108">
        <f>_xlfn.SINGLE(Exit_Cap_Yr_1)</f>
        <v>6.5000000000000002E-2</v>
      </c>
      <c r="BI31" s="108">
        <f t="shared" ref="BI31:BP31" si="47">BH31+($D$12/10000)</f>
        <v>6.5500000000000003E-2</v>
      </c>
      <c r="BJ31" s="108">
        <f t="shared" si="47"/>
        <v>6.6000000000000003E-2</v>
      </c>
      <c r="BK31" s="108">
        <f t="shared" si="47"/>
        <v>6.6500000000000004E-2</v>
      </c>
      <c r="BL31" s="108">
        <f t="shared" si="47"/>
        <v>6.7000000000000004E-2</v>
      </c>
      <c r="BM31" s="108">
        <f t="shared" si="47"/>
        <v>6.7500000000000004E-2</v>
      </c>
      <c r="BN31" s="108">
        <f t="shared" si="47"/>
        <v>6.8000000000000005E-2</v>
      </c>
      <c r="BO31" s="108">
        <f t="shared" si="47"/>
        <v>6.8500000000000005E-2</v>
      </c>
      <c r="BP31" s="108">
        <f t="shared" si="47"/>
        <v>6.9000000000000006E-2</v>
      </c>
      <c r="BQ31" s="108">
        <f>BP31+($D$12/10000)</f>
        <v>6.9500000000000006E-2</v>
      </c>
      <c r="BR31" s="108"/>
      <c r="BS31" s="108"/>
      <c r="BT31" s="108"/>
      <c r="BU31" s="108"/>
      <c r="BV31" s="108" t="str">
        <f>IF(BV21="","",IF(BV8&gt;_xlfn.SINGLE(Analysis_Period),"",BU31+'[1]Property Cash Flow'!$D$15/10000))</f>
        <v/>
      </c>
      <c r="BW31" s="165"/>
      <c r="BZ31" s="426" t="s">
        <v>70</v>
      </c>
      <c r="CA31" s="182"/>
      <c r="CB31" s="217">
        <f>SUM(CD31:CS31)</f>
        <v>512126.54904999956</v>
      </c>
      <c r="CC31" s="197"/>
      <c r="CD31" s="437">
        <f>(CD19&lt;&gt;"") * ( -((CD42*(CD42&lt;0)) + CD51) )</f>
        <v>512126.54904999956</v>
      </c>
      <c r="CE31" s="437">
        <f t="shared" ref="CE31:CN31" si="48">(CE19&lt;&gt;"") * ( -((CE42*(CE42&lt;0)) + CE51) )</f>
        <v>0</v>
      </c>
      <c r="CF31" s="437">
        <f t="shared" si="48"/>
        <v>0</v>
      </c>
      <c r="CG31" s="437">
        <f t="shared" si="48"/>
        <v>0</v>
      </c>
      <c r="CH31" s="437">
        <f>(CH19&lt;&gt;"") * ( -((CH42*(CH42&lt;0)) + CH51) )</f>
        <v>0</v>
      </c>
      <c r="CI31" s="437">
        <f t="shared" si="48"/>
        <v>0</v>
      </c>
      <c r="CJ31" s="437">
        <f t="shared" si="48"/>
        <v>0</v>
      </c>
      <c r="CK31" s="437">
        <f t="shared" si="48"/>
        <v>0</v>
      </c>
      <c r="CL31" s="437">
        <f t="shared" si="48"/>
        <v>0</v>
      </c>
      <c r="CM31" s="437">
        <f t="shared" si="48"/>
        <v>0</v>
      </c>
      <c r="CN31" s="437">
        <f t="shared" si="48"/>
        <v>0</v>
      </c>
      <c r="CO31" s="197" t="s">
        <v>61</v>
      </c>
      <c r="CP31" s="197" t="s">
        <v>61</v>
      </c>
      <c r="CQ31" s="197" t="s">
        <v>61</v>
      </c>
      <c r="CR31" s="197" t="s">
        <v>61</v>
      </c>
      <c r="CS31" s="197" t="s">
        <v>61</v>
      </c>
    </row>
    <row r="32" spans="2:104" ht="15.75">
      <c r="B32" s="109" t="s">
        <v>259</v>
      </c>
      <c r="C32" s="109"/>
      <c r="D32" s="109"/>
      <c r="F32" s="222"/>
      <c r="Z32" s="253"/>
      <c r="AA32" s="253"/>
      <c r="AB32" s="276"/>
      <c r="AG32" s="58"/>
      <c r="AH32" s="103"/>
      <c r="AI32" s="61"/>
      <c r="AJ32" s="405"/>
      <c r="AK32" s="85"/>
      <c r="AL32" s="85"/>
      <c r="AM32" s="85"/>
      <c r="AN32" s="69"/>
      <c r="AO32" s="70"/>
      <c r="AP32" s="71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388"/>
      <c r="BB32" s="73"/>
      <c r="BC32" s="73"/>
      <c r="BD32" s="295"/>
      <c r="BE32" s="103" t="s">
        <v>260</v>
      </c>
      <c r="BF32" s="292"/>
      <c r="BG32" s="84"/>
      <c r="BH32" s="74">
        <f>BH23/BH31</f>
        <v>25564159.373538461</v>
      </c>
      <c r="BI32" s="74">
        <f t="shared" ref="BI32:BQ32" si="49">BI23/BI31</f>
        <v>25369013.118778624</v>
      </c>
      <c r="BJ32" s="74">
        <f t="shared" si="49"/>
        <v>25176823.625454545</v>
      </c>
      <c r="BK32" s="74">
        <f t="shared" si="49"/>
        <v>24987524.199699245</v>
      </c>
      <c r="BL32" s="74">
        <f t="shared" si="49"/>
        <v>24801050.138507459</v>
      </c>
      <c r="BM32" s="74">
        <f t="shared" si="49"/>
        <v>27079072.521599997</v>
      </c>
      <c r="BN32" s="74">
        <f t="shared" si="49"/>
        <v>26879961.694235291</v>
      </c>
      <c r="BO32" s="74">
        <f t="shared" si="49"/>
        <v>26683757.594277371</v>
      </c>
      <c r="BP32" s="74">
        <f t="shared" si="49"/>
        <v>26490397.031999998</v>
      </c>
      <c r="BQ32" s="74">
        <f t="shared" si="49"/>
        <v>26299818.63608633</v>
      </c>
      <c r="BR32" s="74"/>
      <c r="BS32" s="74"/>
      <c r="BT32" s="74"/>
      <c r="BU32" s="74"/>
      <c r="BV32" s="74" t="str">
        <f t="shared" ref="BV32" si="50">IF(BV8&gt;_xlfn.SINGLE(Analysis_Period),"",OR(BV8=15,_xlfn.SINGLE(Cap_Year)="T12")*(BV23/BV31)+AND(BV8&lt;&gt;15,_xlfn.SINGLE(Cap_Year)="Forward 12")*(BW23/BV31))</f>
        <v/>
      </c>
      <c r="BW32" s="165"/>
      <c r="BZ32" s="426" t="s">
        <v>71</v>
      </c>
      <c r="CA32" s="182"/>
      <c r="CB32" s="217" t="e">
        <f>+CB29+CB30-CB31</f>
        <v>#VALUE!</v>
      </c>
      <c r="CC32" s="197"/>
      <c r="CD32" s="438"/>
      <c r="CE32" s="439"/>
      <c r="CF32" s="439"/>
      <c r="CG32" s="439"/>
      <c r="CH32" s="439"/>
      <c r="CI32" s="439"/>
      <c r="CJ32" s="439"/>
      <c r="CK32" s="439"/>
      <c r="CL32" s="439"/>
      <c r="CM32" s="439"/>
      <c r="CN32" s="440"/>
      <c r="CO32" s="182" t="s">
        <v>1</v>
      </c>
      <c r="CP32" s="182" t="s">
        <v>1</v>
      </c>
      <c r="CQ32" s="182" t="s">
        <v>1</v>
      </c>
      <c r="CR32" s="182" t="s">
        <v>1</v>
      </c>
      <c r="CS32" s="182" t="s">
        <v>1</v>
      </c>
    </row>
    <row r="33" spans="2:97" ht="37.5">
      <c r="B33" s="110" t="s">
        <v>577</v>
      </c>
      <c r="C33" s="269">
        <v>0.1</v>
      </c>
      <c r="D33" s="225"/>
      <c r="F33" s="649"/>
      <c r="Z33" s="262" t="s">
        <v>261</v>
      </c>
      <c r="AA33" s="262" t="s">
        <v>1</v>
      </c>
      <c r="AB33" s="278">
        <f>PMT(D24/12,D26*12,-AB29)*12</f>
        <v>895396.90905808355</v>
      </c>
      <c r="AC33" s="163" t="s">
        <v>262</v>
      </c>
      <c r="AG33" s="211"/>
      <c r="AH33" s="67" t="s">
        <v>263</v>
      </c>
      <c r="AI33" s="61"/>
      <c r="AJ33" s="404" t="s">
        <v>264</v>
      </c>
      <c r="AK33" s="307">
        <f t="shared" ref="AK33:AM36" si="51">C59</f>
        <v>0</v>
      </c>
      <c r="AL33" s="307">
        <f t="shared" si="51"/>
        <v>0</v>
      </c>
      <c r="AM33" s="307">
        <f t="shared" si="51"/>
        <v>0</v>
      </c>
      <c r="AN33" s="602">
        <f>+AP33/$D$16</f>
        <v>0</v>
      </c>
      <c r="AO33" s="111">
        <f>I75</f>
        <v>0</v>
      </c>
      <c r="AP33" s="112"/>
      <c r="AQ33" s="112">
        <f t="shared" ref="AQ33:AZ34" si="52">G59</f>
        <v>0</v>
      </c>
      <c r="AR33" s="112">
        <f t="shared" si="52"/>
        <v>0</v>
      </c>
      <c r="AS33" s="112">
        <f t="shared" si="52"/>
        <v>0</v>
      </c>
      <c r="AT33" s="112">
        <f t="shared" si="52"/>
        <v>0</v>
      </c>
      <c r="AU33" s="112">
        <f t="shared" si="52"/>
        <v>0</v>
      </c>
      <c r="AV33" s="112">
        <f t="shared" si="52"/>
        <v>0</v>
      </c>
      <c r="AW33" s="112">
        <f t="shared" si="52"/>
        <v>0</v>
      </c>
      <c r="AX33" s="112">
        <f t="shared" si="52"/>
        <v>0</v>
      </c>
      <c r="AY33" s="112">
        <f t="shared" si="52"/>
        <v>0</v>
      </c>
      <c r="AZ33" s="112">
        <f t="shared" si="52"/>
        <v>0</v>
      </c>
      <c r="BA33" s="379" t="s">
        <v>264</v>
      </c>
      <c r="BB33" s="112"/>
      <c r="BC33" s="112"/>
      <c r="BD33" s="152"/>
      <c r="BE33" s="92" t="s">
        <v>265</v>
      </c>
      <c r="BF33" s="292"/>
      <c r="BG33" s="84"/>
      <c r="BH33" s="84">
        <f>BH32*$D$19</f>
        <v>511283.18747076922</v>
      </c>
      <c r="BI33" s="84">
        <f t="shared" ref="BI33:BQ33" si="53">BI32*$D$19</f>
        <v>507380.26237557246</v>
      </c>
      <c r="BJ33" s="84">
        <f t="shared" si="53"/>
        <v>503536.47250909091</v>
      </c>
      <c r="BK33" s="84">
        <f t="shared" si="53"/>
        <v>499750.48399398493</v>
      </c>
      <c r="BL33" s="84">
        <f t="shared" si="53"/>
        <v>496021.00277014921</v>
      </c>
      <c r="BM33" s="84">
        <f t="shared" si="53"/>
        <v>541581.45043199998</v>
      </c>
      <c r="BN33" s="84">
        <f t="shared" si="53"/>
        <v>537599.23388470581</v>
      </c>
      <c r="BO33" s="84">
        <f t="shared" si="53"/>
        <v>533675.15188554744</v>
      </c>
      <c r="BP33" s="84">
        <f t="shared" si="53"/>
        <v>529807.94063999993</v>
      </c>
      <c r="BQ33" s="84">
        <f t="shared" si="53"/>
        <v>525996.37272172666</v>
      </c>
      <c r="BR33" s="84"/>
      <c r="BS33" s="84"/>
      <c r="BT33" s="84"/>
      <c r="BU33" s="84"/>
      <c r="BV33" s="84" t="str">
        <f>IF(BV8&gt;_xlfn.SINGLE(Analysis_Period),"",BV32*'[1]Property Cash Flow'!$H$18)</f>
        <v/>
      </c>
      <c r="BW33" s="165"/>
      <c r="BZ33" s="426" t="s">
        <v>72</v>
      </c>
      <c r="CA33" s="182"/>
      <c r="CB33" s="221" t="e">
        <f>IRR(CD33:CS33)</f>
        <v>#VALUE!</v>
      </c>
      <c r="CC33" s="197"/>
      <c r="CD33" s="217" t="e">
        <f>(CD19&lt;&gt;"") * ((-CD31)+CD29+CD30)</f>
        <v>#VALUE!</v>
      </c>
      <c r="CE33" s="217" t="e">
        <f t="shared" ref="CE33:CN33" si="54">(CE19&lt;&gt;"") * ((-CE31)+CE29+CE30)</f>
        <v>#VALUE!</v>
      </c>
      <c r="CF33" s="217" t="e">
        <f t="shared" si="54"/>
        <v>#VALUE!</v>
      </c>
      <c r="CG33" s="217" t="e">
        <f t="shared" si="54"/>
        <v>#VALUE!</v>
      </c>
      <c r="CH33" s="217" t="e">
        <f t="shared" si="54"/>
        <v>#VALUE!</v>
      </c>
      <c r="CI33" s="217" t="e">
        <f t="shared" si="54"/>
        <v>#VALUE!</v>
      </c>
      <c r="CJ33" s="217" t="e">
        <f t="shared" si="54"/>
        <v>#VALUE!</v>
      </c>
      <c r="CK33" s="217" t="e">
        <f t="shared" si="54"/>
        <v>#VALUE!</v>
      </c>
      <c r="CL33" s="217" t="e">
        <f t="shared" si="54"/>
        <v>#VALUE!</v>
      </c>
      <c r="CM33" s="217" t="e">
        <f t="shared" si="54"/>
        <v>#VALUE!</v>
      </c>
      <c r="CN33" s="217" t="e">
        <f t="shared" si="54"/>
        <v>#VALUE!</v>
      </c>
      <c r="CO33" s="197" t="s">
        <v>61</v>
      </c>
      <c r="CP33" s="197" t="s">
        <v>61</v>
      </c>
      <c r="CQ33" s="197" t="s">
        <v>61</v>
      </c>
      <c r="CR33" s="197" t="s">
        <v>61</v>
      </c>
      <c r="CS33" s="197" t="s">
        <v>61</v>
      </c>
    </row>
    <row r="34" spans="2:97" ht="60.75">
      <c r="B34" s="110" t="s">
        <v>266</v>
      </c>
      <c r="C34" s="269">
        <v>2E-3</v>
      </c>
      <c r="D34" s="648" t="s">
        <v>579</v>
      </c>
      <c r="F34" s="649"/>
      <c r="Z34" s="262" t="s">
        <v>267</v>
      </c>
      <c r="AA34" s="262" t="s">
        <v>1</v>
      </c>
      <c r="AB34" s="278">
        <f>AB29*D24</f>
        <v>581584.50350000011</v>
      </c>
      <c r="AC34" s="163" t="s">
        <v>268</v>
      </c>
      <c r="AG34" s="211"/>
      <c r="AH34" s="67" t="s">
        <v>269</v>
      </c>
      <c r="AI34" s="226"/>
      <c r="AJ34" s="404" t="s">
        <v>270</v>
      </c>
      <c r="AK34" s="307">
        <f t="shared" si="51"/>
        <v>0</v>
      </c>
      <c r="AL34" s="307">
        <f t="shared" si="51"/>
        <v>0</v>
      </c>
      <c r="AM34" s="307">
        <f t="shared" si="51"/>
        <v>0</v>
      </c>
      <c r="AN34" s="602">
        <f t="shared" ref="AN34" si="55">+AP34/$D$16</f>
        <v>0</v>
      </c>
      <c r="AO34" s="111"/>
      <c r="AP34" s="112">
        <f>+AM34</f>
        <v>0</v>
      </c>
      <c r="AQ34" s="112">
        <f t="shared" si="52"/>
        <v>0</v>
      </c>
      <c r="AR34" s="112">
        <f t="shared" si="52"/>
        <v>0</v>
      </c>
      <c r="AS34" s="112">
        <f t="shared" si="52"/>
        <v>0</v>
      </c>
      <c r="AT34" s="112">
        <f t="shared" si="52"/>
        <v>0</v>
      </c>
      <c r="AU34" s="112">
        <f t="shared" si="52"/>
        <v>0</v>
      </c>
      <c r="AV34" s="112">
        <f t="shared" si="52"/>
        <v>0</v>
      </c>
      <c r="AW34" s="112">
        <f t="shared" si="52"/>
        <v>0</v>
      </c>
      <c r="AX34" s="112">
        <f t="shared" si="52"/>
        <v>0</v>
      </c>
      <c r="AY34" s="112">
        <f t="shared" si="52"/>
        <v>0</v>
      </c>
      <c r="AZ34" s="112">
        <f t="shared" si="52"/>
        <v>0</v>
      </c>
      <c r="BA34" s="379" t="s">
        <v>270</v>
      </c>
      <c r="BB34" s="112"/>
      <c r="BC34" s="112"/>
      <c r="BD34" s="152"/>
      <c r="BE34" s="103" t="s">
        <v>271</v>
      </c>
      <c r="BF34" s="292"/>
      <c r="BG34" s="74"/>
      <c r="BH34" s="74">
        <f>BH32-BH33</f>
        <v>25052876.186067693</v>
      </c>
      <c r="BI34" s="74">
        <f>BI32-BI33</f>
        <v>24861632.856403053</v>
      </c>
      <c r="BJ34" s="74">
        <f>BJ32-BJ33</f>
        <v>24673287.152945455</v>
      </c>
      <c r="BK34" s="74">
        <f t="shared" ref="BK34:BQ34" si="56">BK32-BK33</f>
        <v>24487773.715705261</v>
      </c>
      <c r="BL34" s="74">
        <f t="shared" si="56"/>
        <v>24305029.135737311</v>
      </c>
      <c r="BM34" s="74">
        <f t="shared" si="56"/>
        <v>26537491.071167998</v>
      </c>
      <c r="BN34" s="74">
        <f t="shared" si="56"/>
        <v>26342362.460350584</v>
      </c>
      <c r="BO34" s="74">
        <f t="shared" si="56"/>
        <v>26150082.442391824</v>
      </c>
      <c r="BP34" s="74">
        <f t="shared" si="56"/>
        <v>25960589.091359999</v>
      </c>
      <c r="BQ34" s="74">
        <f t="shared" si="56"/>
        <v>25773822.263364602</v>
      </c>
      <c r="BR34" s="74"/>
      <c r="BS34" s="74"/>
      <c r="BT34" s="74"/>
      <c r="BU34" s="74"/>
      <c r="BV34" s="74" t="str">
        <f t="shared" ref="BV34" si="57">IF(BV33="","",BV32-BV33)</f>
        <v/>
      </c>
      <c r="BW34" s="165"/>
      <c r="BZ34" s="426" t="s">
        <v>73</v>
      </c>
      <c r="CA34" s="182"/>
      <c r="CB34" s="221">
        <v>1.5642666586810077</v>
      </c>
      <c r="CC34" s="19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182"/>
      <c r="CQ34" s="182" t="s">
        <v>1</v>
      </c>
      <c r="CR34" s="182" t="s">
        <v>1</v>
      </c>
      <c r="CS34" s="182" t="s">
        <v>1</v>
      </c>
    </row>
    <row r="35" spans="2:97" ht="16.5">
      <c r="B35" s="222"/>
      <c r="C35" s="227"/>
      <c r="E35" s="176"/>
      <c r="F35" s="649"/>
      <c r="Z35" s="253"/>
      <c r="AA35" s="253"/>
      <c r="AB35" s="253"/>
      <c r="AG35" s="211"/>
      <c r="AH35" s="67" t="s">
        <v>272</v>
      </c>
      <c r="AI35" s="203"/>
      <c r="AJ35" s="404" t="s">
        <v>273</v>
      </c>
      <c r="AK35" s="307">
        <f t="shared" si="51"/>
        <v>0</v>
      </c>
      <c r="AL35" s="307">
        <f t="shared" si="51"/>
        <v>0</v>
      </c>
      <c r="AM35" s="307">
        <f t="shared" si="51"/>
        <v>0</v>
      </c>
      <c r="AN35" s="602">
        <f>+AP35/$D$16</f>
        <v>0</v>
      </c>
      <c r="AO35" s="96"/>
      <c r="AP35" s="113">
        <f>+AM35</f>
        <v>0</v>
      </c>
      <c r="AQ35" s="113">
        <f t="shared" ref="AQ35:AZ35" si="58">AP35*(1+G70)</f>
        <v>0</v>
      </c>
      <c r="AR35" s="113">
        <f t="shared" si="58"/>
        <v>0</v>
      </c>
      <c r="AS35" s="113">
        <f t="shared" si="58"/>
        <v>0</v>
      </c>
      <c r="AT35" s="113">
        <f t="shared" si="58"/>
        <v>0</v>
      </c>
      <c r="AU35" s="113">
        <f t="shared" si="58"/>
        <v>0</v>
      </c>
      <c r="AV35" s="113">
        <f t="shared" si="58"/>
        <v>0</v>
      </c>
      <c r="AW35" s="113">
        <f t="shared" si="58"/>
        <v>0</v>
      </c>
      <c r="AX35" s="113">
        <f t="shared" si="58"/>
        <v>0</v>
      </c>
      <c r="AY35" s="113">
        <f t="shared" si="58"/>
        <v>0</v>
      </c>
      <c r="AZ35" s="113">
        <f t="shared" si="58"/>
        <v>0</v>
      </c>
      <c r="BA35" s="379" t="s">
        <v>273</v>
      </c>
      <c r="BB35" s="71"/>
      <c r="BC35" s="71"/>
      <c r="BD35" s="300"/>
      <c r="BE35" s="103" t="s">
        <v>274</v>
      </c>
      <c r="BF35" s="291"/>
      <c r="BG35" s="114"/>
      <c r="BH35" s="115">
        <f>BH32/D16</f>
        <v>511.28318747076924</v>
      </c>
      <c r="BI35" s="115">
        <f t="shared" ref="BI35:BQ35" si="59">BI32/_xlfn.SINGLE(Property_SF)</f>
        <v>507.3802623755725</v>
      </c>
      <c r="BJ35" s="115">
        <f t="shared" si="59"/>
        <v>503.53647250909091</v>
      </c>
      <c r="BK35" s="115">
        <f t="shared" si="59"/>
        <v>499.75048399398491</v>
      </c>
      <c r="BL35" s="115">
        <f t="shared" si="59"/>
        <v>496.02100277014921</v>
      </c>
      <c r="BM35" s="115">
        <f t="shared" si="59"/>
        <v>541.58145043199988</v>
      </c>
      <c r="BN35" s="115">
        <f t="shared" si="59"/>
        <v>537.59923388470588</v>
      </c>
      <c r="BO35" s="115">
        <f t="shared" si="59"/>
        <v>533.67515188554739</v>
      </c>
      <c r="BP35" s="115">
        <f t="shared" si="59"/>
        <v>529.80794063999997</v>
      </c>
      <c r="BQ35" s="115">
        <f t="shared" si="59"/>
        <v>525.99637272172663</v>
      </c>
      <c r="BR35" s="115"/>
      <c r="BS35" s="115"/>
      <c r="BT35" s="115"/>
      <c r="BU35" s="115"/>
      <c r="BV35" s="115" t="str">
        <f t="shared" ref="BV35" si="60">IFERROR(BV32/_xlfn.SINGLE(Property_SF),"")</f>
        <v/>
      </c>
      <c r="BW35" s="165"/>
      <c r="BZ35" s="427" t="s">
        <v>1</v>
      </c>
      <c r="CA35" s="228" t="s">
        <v>1</v>
      </c>
      <c r="CB35" s="228"/>
      <c r="CC35" s="182" t="s">
        <v>1</v>
      </c>
      <c r="CD35" s="182" t="s">
        <v>1</v>
      </c>
      <c r="CE35" s="182" t="s">
        <v>1</v>
      </c>
      <c r="CF35" s="182" t="s">
        <v>1</v>
      </c>
      <c r="CG35" s="182" t="s">
        <v>1</v>
      </c>
      <c r="CH35" s="182" t="s">
        <v>1</v>
      </c>
      <c r="CI35" s="182" t="s">
        <v>1</v>
      </c>
      <c r="CJ35" s="182" t="s">
        <v>1</v>
      </c>
      <c r="CK35" s="182" t="s">
        <v>1</v>
      </c>
      <c r="CL35" s="182" t="s">
        <v>1</v>
      </c>
      <c r="CM35" s="182" t="s">
        <v>1</v>
      </c>
      <c r="CN35" s="182" t="s">
        <v>1</v>
      </c>
      <c r="CO35" s="182" t="s">
        <v>1</v>
      </c>
      <c r="CP35" s="182" t="s">
        <v>1</v>
      </c>
      <c r="CQ35" s="182" t="s">
        <v>1</v>
      </c>
      <c r="CR35" s="182" t="s">
        <v>1</v>
      </c>
      <c r="CS35" s="182" t="s">
        <v>1</v>
      </c>
    </row>
    <row r="36" spans="2:97" ht="16.5">
      <c r="B36" s="230" t="s">
        <v>275</v>
      </c>
      <c r="C36" s="230"/>
      <c r="D36" s="230"/>
      <c r="E36" s="231"/>
      <c r="F36" s="233"/>
      <c r="Z36" s="253"/>
      <c r="AA36" s="253"/>
      <c r="AB36" s="253"/>
      <c r="AG36" s="211"/>
      <c r="AH36" s="67" t="s">
        <v>276</v>
      </c>
      <c r="AI36" s="226"/>
      <c r="AJ36" s="404" t="s">
        <v>277</v>
      </c>
      <c r="AK36" s="116">
        <f t="shared" si="51"/>
        <v>0</v>
      </c>
      <c r="AL36" s="116">
        <f t="shared" si="51"/>
        <v>0</v>
      </c>
      <c r="AM36" s="116">
        <f t="shared" si="51"/>
        <v>0</v>
      </c>
      <c r="AN36" s="117">
        <f>+AP36/$D$16</f>
        <v>0</v>
      </c>
      <c r="AO36" s="87"/>
      <c r="AP36" s="112">
        <f>+AM36</f>
        <v>0</v>
      </c>
      <c r="AQ36" s="112">
        <f t="shared" ref="AQ36:AZ36" si="61">G62</f>
        <v>0</v>
      </c>
      <c r="AR36" s="112">
        <f t="shared" si="61"/>
        <v>0</v>
      </c>
      <c r="AS36" s="112">
        <f t="shared" si="61"/>
        <v>0</v>
      </c>
      <c r="AT36" s="112">
        <f t="shared" si="61"/>
        <v>0</v>
      </c>
      <c r="AU36" s="112">
        <f t="shared" si="61"/>
        <v>0</v>
      </c>
      <c r="AV36" s="112">
        <f t="shared" si="61"/>
        <v>0</v>
      </c>
      <c r="AW36" s="112">
        <f t="shared" si="61"/>
        <v>0</v>
      </c>
      <c r="AX36" s="112">
        <f t="shared" si="61"/>
        <v>0</v>
      </c>
      <c r="AY36" s="112">
        <f t="shared" si="61"/>
        <v>0</v>
      </c>
      <c r="AZ36" s="112">
        <f t="shared" si="61"/>
        <v>0</v>
      </c>
      <c r="BA36" s="379" t="s">
        <v>277</v>
      </c>
      <c r="BB36" s="88"/>
      <c r="BC36" s="88"/>
      <c r="BD36" s="298"/>
      <c r="BE36" s="103"/>
      <c r="BF36" s="292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9"/>
      <c r="BT36" s="119"/>
      <c r="BU36" s="119"/>
      <c r="BV36" s="119"/>
      <c r="BW36" s="165"/>
      <c r="BY36" s="55" t="s">
        <v>278</v>
      </c>
      <c r="BZ36" s="186" t="s">
        <v>74</v>
      </c>
      <c r="CA36" s="200" t="s">
        <v>1</v>
      </c>
      <c r="CB36" s="200" t="s">
        <v>1</v>
      </c>
      <c r="CC36" s="200" t="s">
        <v>1</v>
      </c>
      <c r="CD36" s="240" t="s">
        <v>46</v>
      </c>
      <c r="CE36" s="240" t="s">
        <v>47</v>
      </c>
      <c r="CF36" s="240" t="s">
        <v>48</v>
      </c>
      <c r="CG36" s="240" t="s">
        <v>49</v>
      </c>
      <c r="CH36" s="240" t="s">
        <v>50</v>
      </c>
      <c r="CI36" s="240" t="s">
        <v>51</v>
      </c>
      <c r="CJ36" s="240" t="s">
        <v>52</v>
      </c>
      <c r="CK36" s="240" t="s">
        <v>53</v>
      </c>
      <c r="CL36" s="240" t="s">
        <v>54</v>
      </c>
      <c r="CM36" s="240" t="s">
        <v>55</v>
      </c>
      <c r="CN36" s="240" t="s">
        <v>56</v>
      </c>
      <c r="CO36" s="200" t="s">
        <v>1</v>
      </c>
      <c r="CP36" s="200" t="s">
        <v>1</v>
      </c>
      <c r="CQ36" s="200" t="s">
        <v>1</v>
      </c>
      <c r="CR36" s="200" t="s">
        <v>1</v>
      </c>
      <c r="CS36" s="200" t="s">
        <v>1</v>
      </c>
    </row>
    <row r="37" spans="2:97" ht="16.5">
      <c r="B37" s="225"/>
      <c r="C37" s="120" t="s">
        <v>46</v>
      </c>
      <c r="D37" s="120" t="s">
        <v>129</v>
      </c>
      <c r="E37" s="121" t="s">
        <v>130</v>
      </c>
      <c r="F37" s="650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Z37" s="840"/>
      <c r="AA37" s="840"/>
      <c r="AB37" s="840"/>
      <c r="AD37" s="233"/>
      <c r="AG37" s="201">
        <f>_xlfn.RRI(_xlfn.SINGLE(Analysis_Period)-1,AP37,_xlfn.SINGLE(INDEX(AP37:BD37,1,_xlfn.SINGLE(Analysis_Period))))</f>
        <v>0</v>
      </c>
      <c r="AH37" s="103" t="s">
        <v>233</v>
      </c>
      <c r="AI37" s="61"/>
      <c r="AJ37" s="405" t="s">
        <v>279</v>
      </c>
      <c r="AK37" s="306">
        <f>SUM(AK33:AK36)</f>
        <v>0</v>
      </c>
      <c r="AL37" s="306">
        <f>SUM(AL33:AL36)</f>
        <v>0</v>
      </c>
      <c r="AM37" s="306">
        <f>SUM(AM33:AM36)</f>
        <v>0</v>
      </c>
      <c r="AN37" s="122">
        <f>SUM(AN33:AN36)</f>
        <v>0</v>
      </c>
      <c r="AO37" s="70"/>
      <c r="AP37" s="123">
        <f>SUM(AP33:AP36)</f>
        <v>0</v>
      </c>
      <c r="AQ37" s="123">
        <f>SUM(AQ33:AQ36)</f>
        <v>0</v>
      </c>
      <c r="AR37" s="123">
        <f>SUM(AR33:AR36)</f>
        <v>0</v>
      </c>
      <c r="AS37" s="123">
        <f>SUM(AS33:AS36)</f>
        <v>0</v>
      </c>
      <c r="AT37" s="123">
        <f t="shared" ref="AT37:AZ37" si="62">SUM(AT33:AT36)</f>
        <v>0</v>
      </c>
      <c r="AU37" s="123">
        <f>SUM(AU33:AU36)</f>
        <v>0</v>
      </c>
      <c r="AV37" s="123">
        <f t="shared" si="62"/>
        <v>0</v>
      </c>
      <c r="AW37" s="123">
        <f t="shared" si="62"/>
        <v>0</v>
      </c>
      <c r="AX37" s="123">
        <f t="shared" si="62"/>
        <v>0</v>
      </c>
      <c r="AY37" s="123">
        <f t="shared" si="62"/>
        <v>0</v>
      </c>
      <c r="AZ37" s="123">
        <f t="shared" si="62"/>
        <v>0</v>
      </c>
      <c r="BA37" s="388"/>
      <c r="BB37" s="73"/>
      <c r="BC37" s="73"/>
      <c r="BD37" s="295"/>
      <c r="BE37" s="103" t="s">
        <v>280</v>
      </c>
      <c r="BF37" s="292"/>
      <c r="BG37" s="84"/>
      <c r="BH37" s="118">
        <f>-PV($D$24/12,($D$26-BH8)*12,BH26/12)</f>
        <v>16297804.355361542</v>
      </c>
      <c r="BI37" s="118">
        <f t="shared" ref="BI37:BQ37" si="63">-PV($D$24/12,($D$26-BI8)*12,BI26/12)</f>
        <v>15967566.460778855</v>
      </c>
      <c r="BJ37" s="118">
        <f t="shared" si="63"/>
        <v>15625583.010538565</v>
      </c>
      <c r="BK37" s="118">
        <f t="shared" si="63"/>
        <v>15271436.251015279</v>
      </c>
      <c r="BL37" s="118">
        <f t="shared" si="63"/>
        <v>14904693.570360065</v>
      </c>
      <c r="BM37" s="118">
        <f t="shared" si="63"/>
        <v>14524906.970038703</v>
      </c>
      <c r="BN37" s="118">
        <f t="shared" si="63"/>
        <v>14131612.517574202</v>
      </c>
      <c r="BO37" s="118">
        <f t="shared" si="63"/>
        <v>13724329.779824989</v>
      </c>
      <c r="BP37" s="118">
        <f t="shared" si="63"/>
        <v>13302561.236106545</v>
      </c>
      <c r="BQ37" s="118">
        <f t="shared" si="63"/>
        <v>12865791.670439569</v>
      </c>
      <c r="BR37" s="118"/>
      <c r="BS37" s="118"/>
      <c r="BT37" s="118"/>
      <c r="BU37" s="118"/>
      <c r="BV37" s="118" t="str">
        <f>IF(BW8="","",(BV8&lt;='[1]Property Cash Flow'!$H$27)*_xlfn.SINGLE(Debt)+('[1]Property Cash Flow'!$H$27&lt;BV8)*-PV('[1]Property Cash Flow'!$H$26/12,('[1]Property Cash Flow'!$H$28+'[1]Property Cash Flow'!$H$27-BV8)*12,'[1]Property Cash Flow'!$H$33/12))</f>
        <v/>
      </c>
      <c r="BW37" s="165"/>
      <c r="BZ37" s="55" t="s">
        <v>1</v>
      </c>
      <c r="CA37" s="55" t="s">
        <v>1</v>
      </c>
      <c r="CB37" s="55" t="s">
        <v>1</v>
      </c>
      <c r="CC37" s="55" t="s">
        <v>75</v>
      </c>
      <c r="CD37" s="415">
        <v>46203</v>
      </c>
      <c r="CE37" s="416">
        <v>46568</v>
      </c>
      <c r="CF37" s="416">
        <v>46934</v>
      </c>
      <c r="CG37" s="416">
        <v>47299</v>
      </c>
      <c r="CH37" s="416">
        <v>11139</v>
      </c>
      <c r="CI37" s="416">
        <v>11504</v>
      </c>
      <c r="CJ37" s="416">
        <v>11870</v>
      </c>
      <c r="CK37" s="416">
        <v>12235</v>
      </c>
      <c r="CL37" s="416">
        <v>12600</v>
      </c>
      <c r="CM37" s="416">
        <v>12965</v>
      </c>
      <c r="CN37" s="416">
        <v>13331</v>
      </c>
      <c r="CO37" s="55" t="s">
        <v>1</v>
      </c>
      <c r="CP37" s="55" t="s">
        <v>1</v>
      </c>
      <c r="CQ37" s="55" t="s">
        <v>1</v>
      </c>
      <c r="CR37" s="55" t="s">
        <v>1</v>
      </c>
      <c r="CS37" s="55" t="s">
        <v>1</v>
      </c>
    </row>
    <row r="38" spans="2:97" ht="16.5">
      <c r="B38" s="110"/>
      <c r="C38" s="124"/>
      <c r="D38" s="124"/>
      <c r="E38" s="125"/>
      <c r="F38" s="651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Z38" s="450" t="s">
        <v>281</v>
      </c>
      <c r="AA38" s="450" t="s">
        <v>1</v>
      </c>
      <c r="AB38" s="451" t="s">
        <v>11</v>
      </c>
      <c r="AG38" s="236"/>
      <c r="AH38" s="103"/>
      <c r="AI38" s="61"/>
      <c r="AJ38" s="405"/>
      <c r="AK38" s="85"/>
      <c r="AL38" s="85"/>
      <c r="AM38" s="85"/>
      <c r="AN38" s="69"/>
      <c r="AO38" s="70"/>
      <c r="AP38" s="71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388"/>
      <c r="BB38" s="73"/>
      <c r="BC38" s="73"/>
      <c r="BD38" s="295"/>
      <c r="BE38" s="103"/>
      <c r="BF38" s="292"/>
      <c r="BG38" s="118"/>
      <c r="BH38" s="118"/>
      <c r="BI38" s="118"/>
      <c r="BJ38" s="118"/>
      <c r="BK38" s="285"/>
      <c r="BL38" s="118"/>
      <c r="BM38" s="118"/>
      <c r="BN38" s="118"/>
      <c r="BO38" s="118"/>
      <c r="BP38" s="118"/>
      <c r="BQ38" s="118"/>
      <c r="BR38" s="118"/>
      <c r="BS38" s="119"/>
      <c r="BT38" s="119"/>
      <c r="BU38" s="119"/>
      <c r="BV38" s="119"/>
      <c r="BW38" s="165"/>
      <c r="BZ38" s="423" t="s">
        <v>76</v>
      </c>
      <c r="CA38" s="55" t="s">
        <v>1</v>
      </c>
      <c r="CB38" s="55" t="s">
        <v>1</v>
      </c>
      <c r="CC38" s="55" t="s">
        <v>1</v>
      </c>
      <c r="CD38" s="417">
        <f t="shared" ref="CD38:CN38" si="64">BG54</f>
        <v>-9874903.9809999969</v>
      </c>
      <c r="CE38" s="417">
        <f t="shared" si="64"/>
        <v>766273.45022191538</v>
      </c>
      <c r="CF38" s="417">
        <f t="shared" si="64"/>
        <v>766273.45022191538</v>
      </c>
      <c r="CG38" s="417">
        <f t="shared" si="64"/>
        <v>766273.45022191538</v>
      </c>
      <c r="CH38" s="417">
        <f t="shared" si="64"/>
        <v>766273.45022191538</v>
      </c>
      <c r="CI38" s="417">
        <f t="shared" si="64"/>
        <v>766273.45022191538</v>
      </c>
      <c r="CJ38" s="417">
        <f t="shared" si="64"/>
        <v>932440.48614991538</v>
      </c>
      <c r="CK38" s="417">
        <f t="shared" si="64"/>
        <v>932440.48614991538</v>
      </c>
      <c r="CL38" s="417">
        <f t="shared" si="64"/>
        <v>932440.48614991538</v>
      </c>
      <c r="CM38" s="417">
        <f t="shared" si="64"/>
        <v>932440.48614991538</v>
      </c>
      <c r="CN38" s="417">
        <f t="shared" si="64"/>
        <v>13840471.079074947</v>
      </c>
      <c r="CO38" s="418"/>
      <c r="CP38" s="418" t="s">
        <v>61</v>
      </c>
      <c r="CQ38" s="418" t="s">
        <v>61</v>
      </c>
      <c r="CR38" s="418" t="s">
        <v>61</v>
      </c>
      <c r="CS38" s="418" t="s">
        <v>61</v>
      </c>
    </row>
    <row r="39" spans="2:97" ht="30.75">
      <c r="B39" s="110" t="s">
        <v>167</v>
      </c>
      <c r="C39" s="124">
        <v>0</v>
      </c>
      <c r="D39" s="124">
        <v>0</v>
      </c>
      <c r="E39" s="124">
        <v>0</v>
      </c>
      <c r="F39" s="652" t="s">
        <v>580</v>
      </c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Z39" s="452" t="s">
        <v>4</v>
      </c>
      <c r="AA39" s="452" t="s">
        <v>1</v>
      </c>
      <c r="AB39" s="453">
        <f>D132</f>
        <v>1.2206999999999999</v>
      </c>
      <c r="AG39" s="201">
        <f>_xlfn.RRI(_xlfn.SINGLE(Analysis_Period)-1,AP39,_xlfn.SINGLE(INDEX(AP39:BD39,1,_xlfn.SINGLE(Analysis_Period))))</f>
        <v>1.0646292707510829E-2</v>
      </c>
      <c r="AH39" s="106" t="s">
        <v>237</v>
      </c>
      <c r="AI39" s="202"/>
      <c r="AJ39" s="409" t="s">
        <v>282</v>
      </c>
      <c r="AK39" s="107">
        <f>AK31-AK37</f>
        <v>1513412.2853729508</v>
      </c>
      <c r="AL39" s="107">
        <f>AL31-AL37</f>
        <v>1636396.1090800003</v>
      </c>
      <c r="AM39" s="107">
        <f t="shared" ref="AM39" si="65">AM31-AM37</f>
        <v>1661670.35928</v>
      </c>
      <c r="AN39" s="107">
        <f>AN31-AN37</f>
        <v>33.233407185599994</v>
      </c>
      <c r="AO39" s="90"/>
      <c r="AP39" s="83">
        <f>AP31-AP37</f>
        <v>1661670.35928</v>
      </c>
      <c r="AQ39" s="83">
        <f t="shared" ref="AQ39:AZ39" si="66">AQ31-AQ37</f>
        <v>1661670.35928</v>
      </c>
      <c r="AR39" s="83">
        <f t="shared" si="66"/>
        <v>1661670.35928</v>
      </c>
      <c r="AS39" s="83">
        <f>AS31-AS37</f>
        <v>1661670.35928</v>
      </c>
      <c r="AT39" s="83">
        <f t="shared" si="66"/>
        <v>1661670.35928</v>
      </c>
      <c r="AU39" s="83">
        <f t="shared" si="66"/>
        <v>1827837.395208</v>
      </c>
      <c r="AV39" s="83">
        <f t="shared" si="66"/>
        <v>1827837.395208</v>
      </c>
      <c r="AW39" s="83">
        <f t="shared" si="66"/>
        <v>1827837.395208</v>
      </c>
      <c r="AX39" s="83">
        <f t="shared" si="66"/>
        <v>1827837.395208</v>
      </c>
      <c r="AY39" s="83">
        <f t="shared" si="66"/>
        <v>1827837.395208</v>
      </c>
      <c r="AZ39" s="83">
        <f t="shared" si="66"/>
        <v>2010621.1347288003</v>
      </c>
      <c r="BA39" s="392"/>
      <c r="BB39" s="91"/>
      <c r="BC39" s="91"/>
      <c r="BD39" s="299"/>
      <c r="BE39" s="106" t="s">
        <v>283</v>
      </c>
      <c r="BF39" s="292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9"/>
      <c r="BT39" s="119"/>
      <c r="BU39" s="119"/>
      <c r="BV39" s="119"/>
      <c r="BW39" s="165"/>
      <c r="BZ39" s="424" t="s">
        <v>77</v>
      </c>
      <c r="CA39" s="55" t="s">
        <v>1</v>
      </c>
      <c r="CB39" s="55" t="s">
        <v>1</v>
      </c>
      <c r="CC39" s="55" t="s">
        <v>1</v>
      </c>
      <c r="CD39" s="227">
        <v>0</v>
      </c>
      <c r="CE39" s="227">
        <f t="shared" ref="CE39:CN39" si="67">$C$126</f>
        <v>114000</v>
      </c>
      <c r="CF39" s="227">
        <f t="shared" si="67"/>
        <v>114000</v>
      </c>
      <c r="CG39" s="227">
        <f t="shared" si="67"/>
        <v>114000</v>
      </c>
      <c r="CH39" s="227">
        <f t="shared" si="67"/>
        <v>114000</v>
      </c>
      <c r="CI39" s="227">
        <f t="shared" si="67"/>
        <v>114000</v>
      </c>
      <c r="CJ39" s="227">
        <f t="shared" si="67"/>
        <v>114000</v>
      </c>
      <c r="CK39" s="227">
        <f t="shared" si="67"/>
        <v>114000</v>
      </c>
      <c r="CL39" s="227">
        <f t="shared" si="67"/>
        <v>114000</v>
      </c>
      <c r="CM39" s="227">
        <f t="shared" si="67"/>
        <v>114000</v>
      </c>
      <c r="CN39" s="227">
        <f t="shared" si="67"/>
        <v>114000</v>
      </c>
      <c r="CO39" s="176" t="s">
        <v>284</v>
      </c>
      <c r="CP39" s="176" t="s">
        <v>285</v>
      </c>
      <c r="CQ39" s="176" t="s">
        <v>285</v>
      </c>
      <c r="CR39" s="176" t="s">
        <v>284</v>
      </c>
      <c r="CS39" s="176" t="s">
        <v>284</v>
      </c>
    </row>
    <row r="40" spans="2:97" ht="16.5">
      <c r="B40" s="110" t="s">
        <v>173</v>
      </c>
      <c r="C40" s="126">
        <v>98751</v>
      </c>
      <c r="D40" s="126">
        <v>99152</v>
      </c>
      <c r="E40" s="127">
        <v>100000</v>
      </c>
      <c r="F40" s="653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Z40" s="452" t="s">
        <v>286</v>
      </c>
      <c r="AA40" s="452" t="s">
        <v>1</v>
      </c>
      <c r="AB40" s="454">
        <f>D134</f>
        <v>539446</v>
      </c>
      <c r="AG40" s="58"/>
      <c r="AH40" s="103"/>
      <c r="AI40" s="61"/>
      <c r="AJ40" s="405"/>
      <c r="AK40" s="85"/>
      <c r="AL40" s="85"/>
      <c r="AM40" s="85"/>
      <c r="AN40" s="56"/>
      <c r="AO40" s="57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388"/>
      <c r="BB40" s="73"/>
      <c r="BC40" s="73"/>
      <c r="BD40" s="295"/>
      <c r="BE40" s="92" t="s">
        <v>163</v>
      </c>
      <c r="BF40" s="292"/>
      <c r="BG40" s="74">
        <f t="shared" ref="BG40:BQ40" si="68">BG14</f>
        <v>26325437.079999998</v>
      </c>
      <c r="BH40" s="74">
        <f t="shared" si="68"/>
        <v>0</v>
      </c>
      <c r="BI40" s="74">
        <f t="shared" si="68"/>
        <v>0</v>
      </c>
      <c r="BJ40" s="74">
        <f>BJ14</f>
        <v>0</v>
      </c>
      <c r="BK40" s="74">
        <f t="shared" si="68"/>
        <v>0</v>
      </c>
      <c r="BL40" s="74">
        <f t="shared" si="68"/>
        <v>0</v>
      </c>
      <c r="BM40" s="74">
        <f t="shared" si="68"/>
        <v>0</v>
      </c>
      <c r="BN40" s="74">
        <f t="shared" si="68"/>
        <v>0</v>
      </c>
      <c r="BO40" s="74">
        <f t="shared" si="68"/>
        <v>0</v>
      </c>
      <c r="BP40" s="74">
        <f t="shared" si="68"/>
        <v>0</v>
      </c>
      <c r="BQ40" s="74">
        <f t="shared" si="68"/>
        <v>0</v>
      </c>
      <c r="BR40" s="74" t="str">
        <f t="shared" ref="BR40:BV40" si="69">IF(BR8&gt;_xlfn.SINGLE(Analysis_Period),"",BR14)</f>
        <v/>
      </c>
      <c r="BS40" s="74" t="str">
        <f t="shared" si="69"/>
        <v/>
      </c>
      <c r="BT40" s="74" t="str">
        <f t="shared" si="69"/>
        <v/>
      </c>
      <c r="BU40" s="74" t="str">
        <f t="shared" si="69"/>
        <v/>
      </c>
      <c r="BV40" s="74" t="str">
        <f t="shared" si="69"/>
        <v/>
      </c>
      <c r="BW40" s="165"/>
      <c r="BZ40" s="424" t="s">
        <v>79</v>
      </c>
      <c r="CA40" s="55" t="s">
        <v>1</v>
      </c>
      <c r="CB40" s="55" t="s">
        <v>1</v>
      </c>
      <c r="CC40" s="55" t="s">
        <v>1</v>
      </c>
      <c r="CD40" s="227">
        <f>C127</f>
        <v>367627</v>
      </c>
      <c r="CE40" s="227">
        <v>0</v>
      </c>
      <c r="CF40" s="227">
        <v>0</v>
      </c>
      <c r="CG40" s="227">
        <v>0</v>
      </c>
      <c r="CH40" s="227">
        <v>0</v>
      </c>
      <c r="CI40" s="227">
        <v>0</v>
      </c>
      <c r="CJ40" s="227">
        <v>0</v>
      </c>
      <c r="CK40" s="227">
        <v>0</v>
      </c>
      <c r="CL40" s="227">
        <v>0</v>
      </c>
      <c r="CM40" s="227">
        <v>0</v>
      </c>
      <c r="CN40" s="227">
        <v>0</v>
      </c>
      <c r="CO40" s="176" t="s">
        <v>284</v>
      </c>
      <c r="CP40" s="176" t="s">
        <v>285</v>
      </c>
      <c r="CQ40" s="176" t="s">
        <v>285</v>
      </c>
      <c r="CR40" s="176" t="s">
        <v>284</v>
      </c>
      <c r="CS40" s="176" t="s">
        <v>284</v>
      </c>
    </row>
    <row r="41" spans="2:97" ht="16.5">
      <c r="B41" s="264"/>
      <c r="C41" s="128"/>
      <c r="D41" s="128"/>
      <c r="E41" s="128"/>
      <c r="F41" s="654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Z41" s="452" t="s">
        <v>287</v>
      </c>
      <c r="AA41" s="452" t="s">
        <v>1</v>
      </c>
      <c r="AB41" s="454">
        <f>D135</f>
        <v>1812018</v>
      </c>
      <c r="AG41" s="58"/>
      <c r="AH41" s="106" t="s">
        <v>288</v>
      </c>
      <c r="AI41" s="61"/>
      <c r="AJ41" s="403"/>
      <c r="AK41" s="85"/>
      <c r="AL41" s="85"/>
      <c r="AM41" s="85"/>
      <c r="AN41" s="56"/>
      <c r="AO41" s="57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386"/>
      <c r="BB41" s="65"/>
      <c r="BC41" s="65"/>
      <c r="BD41" s="294"/>
      <c r="BE41" s="92" t="s">
        <v>216</v>
      </c>
      <c r="BF41" s="292"/>
      <c r="BG41" s="74">
        <f t="shared" ref="BG41:BQ41" si="70">BG25</f>
        <v>0</v>
      </c>
      <c r="BH41" s="74">
        <f t="shared" si="70"/>
        <v>1661670.35928</v>
      </c>
      <c r="BI41" s="74">
        <f t="shared" si="70"/>
        <v>1661670.35928</v>
      </c>
      <c r="BJ41" s="74">
        <f t="shared" si="70"/>
        <v>1661670.35928</v>
      </c>
      <c r="BK41" s="74">
        <f t="shared" si="70"/>
        <v>1661670.35928</v>
      </c>
      <c r="BL41" s="74">
        <f t="shared" si="70"/>
        <v>1661670.35928</v>
      </c>
      <c r="BM41" s="74">
        <f t="shared" si="70"/>
        <v>1827837.395208</v>
      </c>
      <c r="BN41" s="74">
        <f t="shared" si="70"/>
        <v>1827837.395208</v>
      </c>
      <c r="BO41" s="74">
        <f t="shared" si="70"/>
        <v>1827837.395208</v>
      </c>
      <c r="BP41" s="74">
        <f t="shared" si="70"/>
        <v>1827837.395208</v>
      </c>
      <c r="BQ41" s="74">
        <f t="shared" si="70"/>
        <v>1827837.395208</v>
      </c>
      <c r="BR41" s="74" t="str">
        <f t="shared" ref="BR41:BV41" si="71">IF(BR8&gt;_xlfn.SINGLE(Analysis_Period),"",BR25)</f>
        <v/>
      </c>
      <c r="BS41" s="74" t="str">
        <f t="shared" si="71"/>
        <v/>
      </c>
      <c r="BT41" s="74" t="str">
        <f t="shared" si="71"/>
        <v/>
      </c>
      <c r="BU41" s="74" t="str">
        <f t="shared" si="71"/>
        <v/>
      </c>
      <c r="BV41" s="74" t="str">
        <f t="shared" si="71"/>
        <v/>
      </c>
      <c r="BW41" s="165"/>
      <c r="BZ41" s="424"/>
      <c r="CA41" s="55" t="s">
        <v>1</v>
      </c>
      <c r="CB41" s="55" t="s">
        <v>1</v>
      </c>
      <c r="CC41" s="55" t="s">
        <v>1</v>
      </c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176"/>
      <c r="CP41" s="176"/>
      <c r="CQ41" s="176"/>
      <c r="CR41" s="176"/>
      <c r="CS41" s="176"/>
    </row>
    <row r="42" spans="2:97" ht="16.5">
      <c r="B42" s="150"/>
      <c r="C42" s="124"/>
      <c r="D42" s="124"/>
      <c r="E42" s="129"/>
      <c r="F42" s="233"/>
      <c r="Z42" s="452" t="s">
        <v>289</v>
      </c>
      <c r="AA42" s="452" t="s">
        <v>1</v>
      </c>
      <c r="AB42" s="454" t="str">
        <f>D136</f>
        <v>1.56x</v>
      </c>
      <c r="AG42" s="58"/>
      <c r="AH42" s="92" t="s">
        <v>290</v>
      </c>
      <c r="AI42" s="61"/>
      <c r="AJ42" s="410" t="s">
        <v>291</v>
      </c>
      <c r="AK42" s="130">
        <f>AK10/$D$16</f>
        <v>32.260007999999999</v>
      </c>
      <c r="AL42" s="130">
        <f>AL10/$D$16</f>
        <v>35.000008000000008</v>
      </c>
      <c r="AM42" s="130">
        <f>AM10/$D$16</f>
        <v>35.000008000000001</v>
      </c>
      <c r="AN42" s="131"/>
      <c r="AO42" s="132"/>
      <c r="AP42" s="131">
        <f t="shared" ref="AP42:AZ42" si="72">AP10/$D$16</f>
        <v>35.000008000000001</v>
      </c>
      <c r="AQ42" s="131">
        <f t="shared" si="72"/>
        <v>35.000008000000001</v>
      </c>
      <c r="AR42" s="131">
        <f t="shared" si="72"/>
        <v>35.000008000000001</v>
      </c>
      <c r="AS42" s="131">
        <f t="shared" si="72"/>
        <v>35.000008000000001</v>
      </c>
      <c r="AT42" s="131">
        <f t="shared" si="72"/>
        <v>35.000008000000001</v>
      </c>
      <c r="AU42" s="131">
        <f t="shared" si="72"/>
        <v>38.500008799999996</v>
      </c>
      <c r="AV42" s="131">
        <f t="shared" si="72"/>
        <v>38.500008799999996</v>
      </c>
      <c r="AW42" s="131">
        <f t="shared" si="72"/>
        <v>38.500008799999996</v>
      </c>
      <c r="AX42" s="131">
        <f t="shared" si="72"/>
        <v>38.500008799999996</v>
      </c>
      <c r="AY42" s="131">
        <f t="shared" si="72"/>
        <v>38.500008799999996</v>
      </c>
      <c r="AZ42" s="131">
        <f t="shared" si="72"/>
        <v>42.350009680000007</v>
      </c>
      <c r="BA42" s="393"/>
      <c r="BB42" s="131"/>
      <c r="BC42" s="131"/>
      <c r="BD42" s="302"/>
      <c r="BE42" s="92" t="s">
        <v>292</v>
      </c>
      <c r="BF42" s="292"/>
      <c r="BG42" s="84">
        <f t="shared" ref="BG42:BQ42" si="73">(BG8&lt;=$D$10)*(BG8=$D$10)*BG34</f>
        <v>0</v>
      </c>
      <c r="BH42" s="84">
        <f t="shared" si="73"/>
        <v>0</v>
      </c>
      <c r="BI42" s="84">
        <f t="shared" si="73"/>
        <v>0</v>
      </c>
      <c r="BJ42" s="84">
        <f t="shared" si="73"/>
        <v>0</v>
      </c>
      <c r="BK42" s="84">
        <f t="shared" si="73"/>
        <v>0</v>
      </c>
      <c r="BL42" s="84">
        <f t="shared" si="73"/>
        <v>0</v>
      </c>
      <c r="BM42" s="84">
        <f t="shared" si="73"/>
        <v>0</v>
      </c>
      <c r="BN42" s="84">
        <f t="shared" si="73"/>
        <v>0</v>
      </c>
      <c r="BO42" s="84">
        <f t="shared" si="73"/>
        <v>0</v>
      </c>
      <c r="BP42" s="84">
        <f t="shared" si="73"/>
        <v>0</v>
      </c>
      <c r="BQ42" s="84">
        <f t="shared" si="73"/>
        <v>25773822.263364602</v>
      </c>
      <c r="BR42" s="84" t="str">
        <f t="shared" ref="BR42:BV42" si="74">IF(BR8&gt;_xlfn.SINGLE(Analysis_Period),"",(BR8=_xlfn.SINGLE(Analysis_Period))*BR34)</f>
        <v/>
      </c>
      <c r="BS42" s="84" t="str">
        <f t="shared" si="74"/>
        <v/>
      </c>
      <c r="BT42" s="84" t="str">
        <f t="shared" si="74"/>
        <v/>
      </c>
      <c r="BU42" s="84" t="str">
        <f t="shared" si="74"/>
        <v/>
      </c>
      <c r="BV42" s="84" t="str">
        <f t="shared" si="74"/>
        <v/>
      </c>
      <c r="BW42" s="165"/>
      <c r="BZ42" s="423" t="s">
        <v>80</v>
      </c>
      <c r="CA42" s="55" t="s">
        <v>1</v>
      </c>
      <c r="CB42" s="55" t="s">
        <v>1</v>
      </c>
      <c r="CC42" s="434"/>
      <c r="CD42" s="419">
        <f t="shared" ref="CD42:CN42" si="75">CD38-CD39-CD40</f>
        <v>-10242530.980999997</v>
      </c>
      <c r="CE42" s="419">
        <f t="shared" si="75"/>
        <v>652273.45022191538</v>
      </c>
      <c r="CF42" s="419">
        <f t="shared" si="75"/>
        <v>652273.45022191538</v>
      </c>
      <c r="CG42" s="419">
        <f t="shared" si="75"/>
        <v>652273.45022191538</v>
      </c>
      <c r="CH42" s="419">
        <f t="shared" si="75"/>
        <v>652273.45022191538</v>
      </c>
      <c r="CI42" s="419">
        <f t="shared" si="75"/>
        <v>652273.45022191538</v>
      </c>
      <c r="CJ42" s="419">
        <f t="shared" si="75"/>
        <v>818440.48614991538</v>
      </c>
      <c r="CK42" s="419">
        <f t="shared" si="75"/>
        <v>818440.48614991538</v>
      </c>
      <c r="CL42" s="419">
        <f t="shared" si="75"/>
        <v>818440.48614991538</v>
      </c>
      <c r="CM42" s="419">
        <f t="shared" si="75"/>
        <v>818440.48614991538</v>
      </c>
      <c r="CN42" s="419">
        <f t="shared" si="75"/>
        <v>13726471.079074947</v>
      </c>
      <c r="CO42" s="178"/>
      <c r="CP42" s="178" t="s">
        <v>61</v>
      </c>
      <c r="CQ42" s="178" t="s">
        <v>61</v>
      </c>
      <c r="CR42" s="178" t="s">
        <v>61</v>
      </c>
      <c r="CS42" s="178" t="s">
        <v>61</v>
      </c>
    </row>
    <row r="43" spans="2:97" ht="16.5">
      <c r="B43" s="110" t="s">
        <v>190</v>
      </c>
      <c r="C43" s="124">
        <v>-24131.084275599998</v>
      </c>
      <c r="D43" s="124">
        <v>-24561.7</v>
      </c>
      <c r="E43" s="125">
        <v>0</v>
      </c>
      <c r="F43" s="233"/>
      <c r="Z43" s="452" t="s">
        <v>27</v>
      </c>
      <c r="AA43" s="452" t="s">
        <v>1</v>
      </c>
      <c r="AB43" s="455">
        <f>D123</f>
        <v>0.12</v>
      </c>
      <c r="AG43" s="58"/>
      <c r="AH43" s="92" t="s">
        <v>293</v>
      </c>
      <c r="AI43" s="61"/>
      <c r="AJ43" s="410" t="s">
        <v>294</v>
      </c>
      <c r="AK43" s="130">
        <f>AK29/$D$16</f>
        <v>6.0657807028975996E-2</v>
      </c>
      <c r="AL43" s="130">
        <f>AL29/$D$16</f>
        <v>6.5587018400000016E-2</v>
      </c>
      <c r="AM43" s="130">
        <f>AM29/$D$16</f>
        <v>6.6600014400000004E-2</v>
      </c>
      <c r="AN43" s="56"/>
      <c r="AO43" s="57"/>
      <c r="AP43" s="131">
        <f t="shared" ref="AP43:AZ43" si="76">AP29/$D$16</f>
        <v>6.6600014400000004E-2</v>
      </c>
      <c r="AQ43" s="131">
        <f t="shared" si="76"/>
        <v>6.6600014400000004E-2</v>
      </c>
      <c r="AR43" s="131">
        <f t="shared" si="76"/>
        <v>6.6600014400000004E-2</v>
      </c>
      <c r="AS43" s="131">
        <f t="shared" si="76"/>
        <v>6.6600014400000004E-2</v>
      </c>
      <c r="AT43" s="131">
        <f t="shared" si="76"/>
        <v>6.6600014400000004E-2</v>
      </c>
      <c r="AU43" s="131">
        <f t="shared" si="76"/>
        <v>7.3260015839999998E-2</v>
      </c>
      <c r="AV43" s="131">
        <f t="shared" si="76"/>
        <v>7.3260015839999998E-2</v>
      </c>
      <c r="AW43" s="131">
        <f t="shared" si="76"/>
        <v>7.3260015839999998E-2</v>
      </c>
      <c r="AX43" s="131">
        <f t="shared" si="76"/>
        <v>7.3260015839999998E-2</v>
      </c>
      <c r="AY43" s="131">
        <f t="shared" si="76"/>
        <v>7.3260015839999998E-2</v>
      </c>
      <c r="AZ43" s="131">
        <f t="shared" si="76"/>
        <v>8.0586017424000012E-2</v>
      </c>
      <c r="BA43" s="393"/>
      <c r="BB43" s="131"/>
      <c r="BC43" s="131"/>
      <c r="BD43" s="302"/>
      <c r="BE43" s="103" t="s">
        <v>295</v>
      </c>
      <c r="BF43" s="292"/>
      <c r="BG43" s="74">
        <f t="shared" ref="BG43:BQ43" si="77">-BG40+BG41+BG42</f>
        <v>-26325437.079999998</v>
      </c>
      <c r="BH43" s="74">
        <f t="shared" si="77"/>
        <v>1661670.35928</v>
      </c>
      <c r="BI43" s="74">
        <f t="shared" si="77"/>
        <v>1661670.35928</v>
      </c>
      <c r="BJ43" s="74">
        <f t="shared" si="77"/>
        <v>1661670.35928</v>
      </c>
      <c r="BK43" s="74">
        <f t="shared" si="77"/>
        <v>1661670.35928</v>
      </c>
      <c r="BL43" s="74">
        <f t="shared" si="77"/>
        <v>1661670.35928</v>
      </c>
      <c r="BM43" s="74">
        <f t="shared" si="77"/>
        <v>1827837.395208</v>
      </c>
      <c r="BN43" s="74">
        <f t="shared" si="77"/>
        <v>1827837.395208</v>
      </c>
      <c r="BO43" s="74">
        <f t="shared" si="77"/>
        <v>1827837.395208</v>
      </c>
      <c r="BP43" s="74">
        <f t="shared" si="77"/>
        <v>1827837.395208</v>
      </c>
      <c r="BQ43" s="74">
        <f t="shared" si="77"/>
        <v>27601659.658572603</v>
      </c>
      <c r="BR43" s="74" t="str">
        <f t="shared" ref="BR43:BV43" si="78">IF(BR8&gt;_xlfn.SINGLE(Analysis_Period),"",-BR40+BR41+BR42)</f>
        <v/>
      </c>
      <c r="BS43" s="74" t="str">
        <f t="shared" si="78"/>
        <v/>
      </c>
      <c r="BT43" s="74" t="str">
        <f t="shared" si="78"/>
        <v/>
      </c>
      <c r="BU43" s="74" t="str">
        <f t="shared" si="78"/>
        <v/>
      </c>
      <c r="BV43" s="74" t="str">
        <f t="shared" si="78"/>
        <v/>
      </c>
      <c r="BW43" s="165"/>
      <c r="BZ43" s="253" t="s">
        <v>81</v>
      </c>
      <c r="CA43" s="55" t="s">
        <v>1</v>
      </c>
      <c r="CB43" s="55" t="s">
        <v>1</v>
      </c>
      <c r="CC43" s="55" t="s">
        <v>1</v>
      </c>
      <c r="CD43" s="177">
        <f>IRR(CD42:CS42)</f>
        <v>8.7456668976649166E-2</v>
      </c>
      <c r="CP43" s="55" t="s">
        <v>1</v>
      </c>
      <c r="CQ43" s="55" t="s">
        <v>1</v>
      </c>
      <c r="CR43" s="55" t="s">
        <v>1</v>
      </c>
      <c r="CS43" s="55" t="s">
        <v>1</v>
      </c>
    </row>
    <row r="44" spans="2:97" ht="16.5">
      <c r="B44" s="447"/>
      <c r="C44" s="448"/>
      <c r="D44" s="448"/>
      <c r="E44" s="448"/>
      <c r="F44" s="233"/>
      <c r="Z44" s="450" t="s">
        <v>281</v>
      </c>
      <c r="AA44" s="452"/>
      <c r="AB44" s="451" t="s">
        <v>297</v>
      </c>
      <c r="AG44" s="58"/>
      <c r="AH44" s="92" t="s">
        <v>298</v>
      </c>
      <c r="AI44" s="61"/>
      <c r="AJ44" s="411"/>
      <c r="AK44" s="133">
        <f>AK11/AK29</f>
        <v>0</v>
      </c>
      <c r="AL44" s="133">
        <f>AL11/AL29</f>
        <v>0</v>
      </c>
      <c r="AM44" s="133">
        <f>AM11/AM29</f>
        <v>0</v>
      </c>
      <c r="AN44" s="56"/>
      <c r="AO44" s="57"/>
      <c r="AP44" s="134">
        <f>AP11/AP29</f>
        <v>0</v>
      </c>
      <c r="AQ44" s="134">
        <f t="shared" ref="AQ44:AZ44" si="79">AQ11/AQ29</f>
        <v>0</v>
      </c>
      <c r="AR44" s="134">
        <f t="shared" si="79"/>
        <v>0</v>
      </c>
      <c r="AS44" s="134">
        <f t="shared" si="79"/>
        <v>0</v>
      </c>
      <c r="AT44" s="134">
        <f t="shared" si="79"/>
        <v>0</v>
      </c>
      <c r="AU44" s="134">
        <f t="shared" si="79"/>
        <v>0</v>
      </c>
      <c r="AV44" s="134">
        <f t="shared" si="79"/>
        <v>0</v>
      </c>
      <c r="AW44" s="134">
        <f t="shared" si="79"/>
        <v>0</v>
      </c>
      <c r="AX44" s="134">
        <f t="shared" si="79"/>
        <v>0</v>
      </c>
      <c r="AY44" s="134">
        <f t="shared" si="79"/>
        <v>0</v>
      </c>
      <c r="AZ44" s="134">
        <f t="shared" si="79"/>
        <v>0</v>
      </c>
      <c r="BA44" s="394"/>
      <c r="BB44" s="134"/>
      <c r="BC44" s="134"/>
      <c r="BD44" s="303"/>
      <c r="BE44" s="103"/>
      <c r="BF44" s="292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165"/>
      <c r="BZ44" s="253" t="s">
        <v>27</v>
      </c>
      <c r="CA44" s="55" t="s">
        <v>1</v>
      </c>
      <c r="CB44" s="55" t="s">
        <v>1</v>
      </c>
      <c r="CC44" s="55" t="s">
        <v>1</v>
      </c>
      <c r="CD44" s="420">
        <f>SUMIF(CD42:CN42,"&gt;0")/-SUMIF(CD42:CN42,"&lt;0")</f>
        <v>1.9781829620403071</v>
      </c>
      <c r="CE44" s="420"/>
      <c r="CH44" s="420"/>
      <c r="CJ44" s="420"/>
      <c r="CP44" s="55" t="s">
        <v>1</v>
      </c>
      <c r="CQ44" s="55" t="s">
        <v>1</v>
      </c>
      <c r="CR44" s="55" t="s">
        <v>1</v>
      </c>
      <c r="CS44" s="55" t="s">
        <v>1</v>
      </c>
    </row>
    <row r="45" spans="2:97" ht="16.5">
      <c r="B45" s="110" t="s">
        <v>200</v>
      </c>
      <c r="C45" s="126">
        <v>0</v>
      </c>
      <c r="D45" s="126">
        <v>0</v>
      </c>
      <c r="E45" s="127">
        <v>0</v>
      </c>
      <c r="F45" s="233"/>
      <c r="Z45" s="452" t="s">
        <v>4</v>
      </c>
      <c r="AA45" s="452"/>
      <c r="AB45" s="453">
        <f>F132</f>
        <v>6.0100000000000001E-2</v>
      </c>
      <c r="AG45" s="58"/>
      <c r="AH45" s="92" t="s">
        <v>299</v>
      </c>
      <c r="AI45" s="61"/>
      <c r="AJ45" s="411"/>
      <c r="AK45" s="133">
        <f>AK29/AK18</f>
        <v>2E-3</v>
      </c>
      <c r="AL45" s="133">
        <f>AL29/AL18</f>
        <v>2E-3</v>
      </c>
      <c r="AM45" s="133">
        <f t="shared" ref="AM45" si="80">AM29/AM18</f>
        <v>2E-3</v>
      </c>
      <c r="AN45" s="56"/>
      <c r="AO45" s="57"/>
      <c r="AP45" s="134">
        <f>AP29/AP18</f>
        <v>2E-3</v>
      </c>
      <c r="AQ45" s="134">
        <f>AQ29/AQ18</f>
        <v>2E-3</v>
      </c>
      <c r="AR45" s="134">
        <f t="shared" ref="AR45:AZ45" si="81">AR29/AR18</f>
        <v>2E-3</v>
      </c>
      <c r="AS45" s="134">
        <f t="shared" si="81"/>
        <v>2E-3</v>
      </c>
      <c r="AT45" s="134">
        <f t="shared" si="81"/>
        <v>2E-3</v>
      </c>
      <c r="AU45" s="134">
        <f t="shared" si="81"/>
        <v>2E-3</v>
      </c>
      <c r="AV45" s="134">
        <f t="shared" si="81"/>
        <v>2E-3</v>
      </c>
      <c r="AW45" s="134">
        <f t="shared" si="81"/>
        <v>2E-3</v>
      </c>
      <c r="AX45" s="134">
        <f t="shared" si="81"/>
        <v>2E-3</v>
      </c>
      <c r="AY45" s="134">
        <f t="shared" si="81"/>
        <v>2E-3</v>
      </c>
      <c r="AZ45" s="134">
        <f t="shared" si="81"/>
        <v>2E-3</v>
      </c>
      <c r="BA45" s="394"/>
      <c r="BB45" s="134"/>
      <c r="BC45" s="134"/>
      <c r="BD45" s="303"/>
      <c r="BE45" s="103" t="s">
        <v>300</v>
      </c>
      <c r="BF45" s="292"/>
      <c r="BG45" s="108"/>
      <c r="BH45" s="108">
        <f>BH25/SUM($BG$14:BH14)</f>
        <v>6.3120333167892839E-2</v>
      </c>
      <c r="BI45" s="108">
        <f>BI25/SUM($BG$14:BI14)</f>
        <v>6.3120333167892839E-2</v>
      </c>
      <c r="BJ45" s="108">
        <f>BJ25/SUM($BG$14:BJ14)</f>
        <v>6.3120333167892839E-2</v>
      </c>
      <c r="BK45" s="108">
        <f>BK25/SUM($BG$14:BK14)</f>
        <v>6.3120333167892839E-2</v>
      </c>
      <c r="BL45" s="108">
        <f>BL25/SUM($BG$14:BL14)</f>
        <v>6.3120333167892839E-2</v>
      </c>
      <c r="BM45" s="108">
        <f>BM25/SUM($BG$14:BM14)</f>
        <v>6.9432366484682123E-2</v>
      </c>
      <c r="BN45" s="108">
        <f>BN25/SUM($BG$14:BN14)</f>
        <v>6.9432366484682123E-2</v>
      </c>
      <c r="BO45" s="108">
        <f>BO25/SUM($BG$14:BO14)</f>
        <v>6.9432366484682123E-2</v>
      </c>
      <c r="BP45" s="108">
        <f>BP25/SUM($BG$14:BP14)</f>
        <v>6.9432366484682123E-2</v>
      </c>
      <c r="BQ45" s="108">
        <f>BQ25/SUM($BG$14:BQ14)</f>
        <v>6.9432366484682123E-2</v>
      </c>
      <c r="BR45" s="108" t="str">
        <f>IF(BS8="","",BR25/SUM($AX$13:BR14))</f>
        <v/>
      </c>
      <c r="BS45" s="108" t="str">
        <f>IF(BT8="","",BS25/SUM($AX$13:BS14))</f>
        <v/>
      </c>
      <c r="BT45" s="108" t="str">
        <f>IF(BU8="","",BT25/SUM($AX$13:BT14))</f>
        <v/>
      </c>
      <c r="BU45" s="108" t="str">
        <f>IF(BV8="","",BU25/SUM($AX$13:BU14))</f>
        <v/>
      </c>
      <c r="BV45" s="108" t="str">
        <f>IF(BW8="","",BV25/SUM($AX$13:BV14))</f>
        <v/>
      </c>
      <c r="BW45" s="165"/>
      <c r="BZ45" s="253" t="s">
        <v>1</v>
      </c>
      <c r="CA45" s="55" t="s">
        <v>1</v>
      </c>
      <c r="CB45" s="55" t="s">
        <v>1</v>
      </c>
      <c r="CC45" s="55" t="s">
        <v>1</v>
      </c>
      <c r="CD45" s="421"/>
      <c r="CN45" s="421"/>
      <c r="CO45" s="55" t="s">
        <v>1</v>
      </c>
      <c r="CP45" s="55" t="s">
        <v>1</v>
      </c>
      <c r="CQ45" s="55" t="s">
        <v>1</v>
      </c>
      <c r="CR45" s="55" t="s">
        <v>1</v>
      </c>
      <c r="CS45" s="55" t="s">
        <v>1</v>
      </c>
    </row>
    <row r="46" spans="2:97" ht="16.5">
      <c r="B46" s="263"/>
      <c r="C46" s="270"/>
      <c r="D46" s="270"/>
      <c r="E46" s="270"/>
      <c r="F46" s="233"/>
      <c r="Z46" s="452" t="s">
        <v>286</v>
      </c>
      <c r="AA46" s="452"/>
      <c r="AB46" s="454">
        <f>F133</f>
        <v>16032900</v>
      </c>
      <c r="AG46" s="58"/>
      <c r="AH46" s="92" t="s">
        <v>302</v>
      </c>
      <c r="AI46" s="61"/>
      <c r="AJ46" s="412"/>
      <c r="AK46" s="135">
        <f>AK37/AK31</f>
        <v>0</v>
      </c>
      <c r="AL46" s="135">
        <f t="shared" ref="AL46:AM46" si="82">AL37/AL31</f>
        <v>0</v>
      </c>
      <c r="AM46" s="135">
        <f t="shared" si="82"/>
        <v>0</v>
      </c>
      <c r="AN46" s="56"/>
      <c r="AO46" s="57"/>
      <c r="AP46" s="136">
        <f>AP37/AP31</f>
        <v>0</v>
      </c>
      <c r="AQ46" s="136">
        <f>AQ37/AQ31</f>
        <v>0</v>
      </c>
      <c r="AR46" s="136">
        <f t="shared" ref="AR46:AZ46" si="83">AR37/AR31</f>
        <v>0</v>
      </c>
      <c r="AS46" s="136">
        <f t="shared" si="83"/>
        <v>0</v>
      </c>
      <c r="AT46" s="136">
        <f t="shared" si="83"/>
        <v>0</v>
      </c>
      <c r="AU46" s="136">
        <f t="shared" si="83"/>
        <v>0</v>
      </c>
      <c r="AV46" s="136">
        <f t="shared" si="83"/>
        <v>0</v>
      </c>
      <c r="AW46" s="136">
        <f t="shared" si="83"/>
        <v>0</v>
      </c>
      <c r="AX46" s="136">
        <f t="shared" si="83"/>
        <v>0</v>
      </c>
      <c r="AY46" s="136">
        <f t="shared" si="83"/>
        <v>0</v>
      </c>
      <c r="AZ46" s="136">
        <f t="shared" si="83"/>
        <v>0</v>
      </c>
      <c r="BA46" s="395"/>
      <c r="BB46" s="136"/>
      <c r="BC46" s="136"/>
      <c r="BD46" s="304"/>
      <c r="BE46" s="92" t="s">
        <v>205</v>
      </c>
      <c r="BF46" s="292"/>
      <c r="BG46" s="108"/>
      <c r="BH46" s="108">
        <f>AVERAGE(BH45)</f>
        <v>6.3120333167892839E-2</v>
      </c>
      <c r="BI46" s="108">
        <f>AVERAGE(BH45:BI45)</f>
        <v>6.3120333167892839E-2</v>
      </c>
      <c r="BJ46" s="108">
        <f>AVERAGE(BH45:BJ45)</f>
        <v>6.3120333167892839E-2</v>
      </c>
      <c r="BK46" s="108">
        <f>AVERAGE(BH45:BK45)</f>
        <v>6.3120333167892839E-2</v>
      </c>
      <c r="BL46" s="108">
        <f>AVERAGE(BH45:BL45)</f>
        <v>6.3120333167892839E-2</v>
      </c>
      <c r="BM46" s="108">
        <f>AVERAGE(BH45:BM45)</f>
        <v>6.4172338720691058E-2</v>
      </c>
      <c r="BN46" s="108">
        <f>AVERAGE(BH45:BN45)</f>
        <v>6.4923771258404067E-2</v>
      </c>
      <c r="BO46" s="108">
        <f>AVERAGE(BH45:BO45)</f>
        <v>6.5487345661688817E-2</v>
      </c>
      <c r="BP46" s="108">
        <f>AVERAGE(BH45:BP45)</f>
        <v>6.5925681308688075E-2</v>
      </c>
      <c r="BQ46" s="108">
        <f>AVERAGE(BH45:BQ45)</f>
        <v>6.6276349826287467E-2</v>
      </c>
      <c r="BR46" s="108" t="str">
        <f>IF(BS8="","",IF(BR45="","",AVERAGE($AY$44:BR45)))</f>
        <v/>
      </c>
      <c r="BS46" s="108" t="str">
        <f>IF(BT8="","",IF(BS45="","",AVERAGE($AY$44:BS45)))</f>
        <v/>
      </c>
      <c r="BT46" s="108" t="str">
        <f>IF(BU8="","",IF(BT45="","",AVERAGE($AY$44:BT45)))</f>
        <v/>
      </c>
      <c r="BU46" s="108" t="str">
        <f>IF(BV8="","",IF(BU45="","",AVERAGE($AY$44:BU45)))</f>
        <v/>
      </c>
      <c r="BV46" s="108" t="str">
        <f>IF(BW8="","",IF(BV45="","",AVERAGE($AY$44:BV45)))</f>
        <v/>
      </c>
      <c r="BW46" s="165"/>
      <c r="BZ46" s="239" t="s">
        <v>303</v>
      </c>
      <c r="CA46" s="240"/>
      <c r="CB46" s="240"/>
      <c r="CC46" s="240"/>
      <c r="CD46" s="240"/>
      <c r="CE46" s="240"/>
      <c r="CF46" s="240"/>
      <c r="CG46" s="240"/>
      <c r="CH46" s="240"/>
      <c r="CI46" s="240"/>
      <c r="CJ46" s="240"/>
      <c r="CK46" s="240"/>
      <c r="CL46" s="240"/>
      <c r="CM46" s="240"/>
      <c r="CN46" s="240"/>
      <c r="CO46" s="240"/>
      <c r="CP46" s="240"/>
      <c r="CQ46" s="240"/>
      <c r="CR46" s="240"/>
      <c r="CS46" s="240"/>
    </row>
    <row r="47" spans="2:97" ht="30.75">
      <c r="B47" s="110" t="s">
        <v>214</v>
      </c>
      <c r="C47" s="125">
        <v>0</v>
      </c>
      <c r="D47" s="125">
        <v>0</v>
      </c>
      <c r="E47" s="125">
        <v>0</v>
      </c>
      <c r="F47" s="652" t="s">
        <v>580</v>
      </c>
      <c r="Z47" s="452" t="s">
        <v>287</v>
      </c>
      <c r="AA47" s="452"/>
      <c r="AB47" s="454">
        <f>F134</f>
        <v>10249467</v>
      </c>
      <c r="AG47" s="58"/>
      <c r="AH47" s="92" t="s">
        <v>304</v>
      </c>
      <c r="AI47" s="61"/>
      <c r="AJ47" s="412"/>
      <c r="AK47" s="135">
        <f>AK28/$BH$32</f>
        <v>0</v>
      </c>
      <c r="AL47" s="135">
        <f>AL28/$BH$32</f>
        <v>0</v>
      </c>
      <c r="AM47" s="135">
        <f>AM28/$BH$32</f>
        <v>0</v>
      </c>
      <c r="AN47" s="56"/>
      <c r="AO47" s="57"/>
      <c r="AP47" s="136">
        <f t="shared" ref="AP47:AY47" si="84">AP28/BH32</f>
        <v>0</v>
      </c>
      <c r="AQ47" s="136">
        <f t="shared" si="84"/>
        <v>0</v>
      </c>
      <c r="AR47" s="136">
        <f t="shared" si="84"/>
        <v>0</v>
      </c>
      <c r="AS47" s="136">
        <f t="shared" si="84"/>
        <v>0</v>
      </c>
      <c r="AT47" s="136">
        <f t="shared" si="84"/>
        <v>0</v>
      </c>
      <c r="AU47" s="136">
        <f t="shared" si="84"/>
        <v>0</v>
      </c>
      <c r="AV47" s="136">
        <f t="shared" si="84"/>
        <v>0</v>
      </c>
      <c r="AW47" s="136">
        <f t="shared" si="84"/>
        <v>0</v>
      </c>
      <c r="AX47" s="136">
        <f t="shared" si="84"/>
        <v>0</v>
      </c>
      <c r="AY47" s="136">
        <f t="shared" si="84"/>
        <v>0</v>
      </c>
      <c r="AZ47" s="136">
        <f>IFERROR(AZ28/BR32,AY47)</f>
        <v>0</v>
      </c>
      <c r="BA47" s="395"/>
      <c r="BB47" s="136"/>
      <c r="BC47" s="136"/>
      <c r="BD47" s="304"/>
      <c r="BE47" s="103" t="s">
        <v>193</v>
      </c>
      <c r="BF47" s="291"/>
      <c r="BG47" s="108">
        <f>IRR(BG43:BV43)</f>
        <v>6.4230703684228674E-2</v>
      </c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65"/>
      <c r="BZ47" s="241" t="s">
        <v>305</v>
      </c>
      <c r="CA47" s="432">
        <f>D122</f>
        <v>0.08</v>
      </c>
      <c r="CB47" s="240"/>
      <c r="CC47" s="240"/>
      <c r="CD47" s="344" t="str">
        <f t="shared" ref="CD47:CN47" si="85">CD36</f>
        <v>Year 0</v>
      </c>
      <c r="CE47" s="344" t="str">
        <f t="shared" si="85"/>
        <v>Year 1</v>
      </c>
      <c r="CF47" s="344" t="str">
        <f t="shared" si="85"/>
        <v>Year 2</v>
      </c>
      <c r="CG47" s="344" t="str">
        <f t="shared" si="85"/>
        <v>Year 3</v>
      </c>
      <c r="CH47" s="344" t="str">
        <f t="shared" si="85"/>
        <v>Year 4</v>
      </c>
      <c r="CI47" s="344" t="str">
        <f t="shared" si="85"/>
        <v>Year 5</v>
      </c>
      <c r="CJ47" s="344" t="str">
        <f t="shared" si="85"/>
        <v>Year 6</v>
      </c>
      <c r="CK47" s="344" t="str">
        <f t="shared" si="85"/>
        <v>Year 7</v>
      </c>
      <c r="CL47" s="344" t="str">
        <f t="shared" si="85"/>
        <v>Year 8</v>
      </c>
      <c r="CM47" s="344" t="str">
        <f t="shared" si="85"/>
        <v>Year 9</v>
      </c>
      <c r="CN47" s="344" t="str">
        <f t="shared" si="85"/>
        <v>Year 10</v>
      </c>
      <c r="CO47" s="200" t="s">
        <v>1</v>
      </c>
      <c r="CP47" s="242" t="str">
        <f>CP$20</f>
        <v> </v>
      </c>
      <c r="CQ47" s="242" t="str">
        <f>CQ$20</f>
        <v> </v>
      </c>
      <c r="CR47" s="242" t="str">
        <f>CR$20</f>
        <v> </v>
      </c>
      <c r="CS47" s="242" t="str">
        <f>CS$20</f>
        <v> </v>
      </c>
    </row>
    <row r="48" spans="2:97" ht="30.75">
      <c r="B48" s="110" t="s">
        <v>218</v>
      </c>
      <c r="C48" s="125">
        <v>0</v>
      </c>
      <c r="D48" s="125">
        <v>0</v>
      </c>
      <c r="E48" s="125">
        <v>0</v>
      </c>
      <c r="F48" s="652" t="s">
        <v>580</v>
      </c>
      <c r="Z48" s="452" t="s">
        <v>289</v>
      </c>
      <c r="AA48" s="452"/>
      <c r="AB48" s="454">
        <f>F135</f>
        <v>5783433</v>
      </c>
      <c r="AG48" s="58"/>
      <c r="AH48" s="103"/>
      <c r="AI48" s="61"/>
      <c r="AJ48" s="405"/>
      <c r="AK48" s="137"/>
      <c r="AL48" s="137"/>
      <c r="AM48" s="137"/>
      <c r="AN48" s="138"/>
      <c r="AO48" s="56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388"/>
      <c r="BB48" s="73"/>
      <c r="BC48" s="73"/>
      <c r="BD48" s="295"/>
      <c r="BE48" s="103" t="s">
        <v>199</v>
      </c>
      <c r="BF48" s="292"/>
      <c r="BG48" s="139">
        <f>SUMIF(BG43:BV43,"&gt;0")/-SUMIF(BG43:BV43,"&lt;0")</f>
        <v>1.6418098170396873</v>
      </c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65"/>
      <c r="BZ48" s="253" t="s">
        <v>306</v>
      </c>
      <c r="CD48" s="235"/>
      <c r="CE48" s="235">
        <f>CD53</f>
        <v>0</v>
      </c>
      <c r="CF48" s="235">
        <f t="shared" ref="CF48:CO48" si="86">CE53</f>
        <v>0</v>
      </c>
      <c r="CG48" s="235">
        <f t="shared" si="86"/>
        <v>0</v>
      </c>
      <c r="CH48" s="235">
        <f t="shared" si="86"/>
        <v>0</v>
      </c>
      <c r="CI48" s="235">
        <f t="shared" si="86"/>
        <v>0</v>
      </c>
      <c r="CJ48" s="235">
        <f t="shared" si="86"/>
        <v>0</v>
      </c>
      <c r="CK48" s="235">
        <f t="shared" si="86"/>
        <v>0</v>
      </c>
      <c r="CL48" s="235">
        <f t="shared" si="86"/>
        <v>0</v>
      </c>
      <c r="CM48" s="235">
        <f t="shared" si="86"/>
        <v>0</v>
      </c>
      <c r="CN48" s="235">
        <f t="shared" si="86"/>
        <v>0</v>
      </c>
      <c r="CO48" s="235">
        <f t="shared" si="86"/>
        <v>0</v>
      </c>
    </row>
    <row r="49" spans="2:93" ht="30.75">
      <c r="B49" s="110" t="s">
        <v>223</v>
      </c>
      <c r="C49" s="125">
        <v>0</v>
      </c>
      <c r="D49" s="125">
        <v>0</v>
      </c>
      <c r="E49" s="125">
        <v>0</v>
      </c>
      <c r="F49" s="652" t="s">
        <v>580</v>
      </c>
      <c r="Z49" s="452" t="s">
        <v>27</v>
      </c>
      <c r="AA49" s="452"/>
      <c r="AB49" s="455" t="str">
        <f>F136</f>
        <v>1.56x</v>
      </c>
      <c r="AG49" s="58"/>
      <c r="AH49" s="265"/>
      <c r="AI49" s="61"/>
      <c r="AJ49" s="403"/>
      <c r="AK49" s="85"/>
      <c r="AL49" s="85"/>
      <c r="AM49" s="85"/>
      <c r="AN49" s="140"/>
      <c r="AO49" s="141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386"/>
      <c r="BB49" s="65"/>
      <c r="BC49" s="65"/>
      <c r="BD49" s="294"/>
      <c r="BE49" s="103"/>
      <c r="BF49" s="292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9"/>
      <c r="BT49" s="119"/>
      <c r="BU49" s="119"/>
      <c r="BV49" s="119"/>
      <c r="BW49" s="165"/>
      <c r="BZ49" s="253" t="s">
        <v>307</v>
      </c>
      <c r="CD49" s="55" t="e">
        <f>ROUND(SUM(CE51:CO51),0)=ROUND(SUM(CE49:CO49),0)</f>
        <v>#VALUE!</v>
      </c>
      <c r="CE49" s="55" t="e">
        <f>CE50 - CE55</f>
        <v>#VALUE!</v>
      </c>
      <c r="CF49" s="55">
        <f>CF50 - CF55</f>
        <v>0</v>
      </c>
      <c r="CG49" s="55">
        <f t="shared" ref="CG49:CO49" si="87">CG50 - CG55</f>
        <v>0</v>
      </c>
      <c r="CH49" s="55">
        <f t="shared" si="87"/>
        <v>0</v>
      </c>
      <c r="CI49" s="55">
        <f t="shared" si="87"/>
        <v>0</v>
      </c>
      <c r="CJ49" s="55">
        <f t="shared" si="87"/>
        <v>0</v>
      </c>
      <c r="CK49" s="55">
        <f t="shared" si="87"/>
        <v>0</v>
      </c>
      <c r="CL49" s="55">
        <f t="shared" si="87"/>
        <v>0</v>
      </c>
      <c r="CM49" s="55">
        <f t="shared" si="87"/>
        <v>0</v>
      </c>
      <c r="CN49" s="55">
        <f t="shared" si="87"/>
        <v>0</v>
      </c>
      <c r="CO49" s="55">
        <f t="shared" si="87"/>
        <v>0</v>
      </c>
    </row>
    <row r="50" spans="2:93" ht="30.75">
      <c r="B50" s="110" t="s">
        <v>225</v>
      </c>
      <c r="C50" s="125">
        <v>0</v>
      </c>
      <c r="D50" s="125">
        <v>0</v>
      </c>
      <c r="E50" s="125">
        <v>0</v>
      </c>
      <c r="F50" s="652" t="s">
        <v>580</v>
      </c>
      <c r="Z50" s="253"/>
      <c r="AA50" s="253"/>
      <c r="AB50" s="253"/>
      <c r="AG50" s="58"/>
      <c r="AH50" s="143"/>
      <c r="AI50" s="61"/>
      <c r="AJ50" s="413"/>
      <c r="AK50" s="603"/>
      <c r="AL50" s="603"/>
      <c r="AM50" s="85"/>
      <c r="AN50" s="140"/>
      <c r="AO50" s="141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396"/>
      <c r="BB50" s="145"/>
      <c r="BC50" s="145"/>
      <c r="BD50" s="305"/>
      <c r="BE50" s="106" t="s">
        <v>308</v>
      </c>
      <c r="BF50" s="292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9"/>
      <c r="BT50" s="119"/>
      <c r="BU50" s="119"/>
      <c r="BV50" s="119"/>
      <c r="BW50" s="165"/>
      <c r="BZ50" s="253" t="s">
        <v>309</v>
      </c>
      <c r="CE50" s="435" t="e">
        <f>($CA$47="Equity Multiple")*(CD51*$C$110 - CD51) + ($CA$47&lt;&gt;"Equity Multiple")*(G111*$C$110)</f>
        <v>#VALUE!</v>
      </c>
    </row>
    <row r="51" spans="2:93" ht="30.75">
      <c r="B51" s="110" t="s">
        <v>231</v>
      </c>
      <c r="C51" s="125">
        <v>0</v>
      </c>
      <c r="D51" s="125">
        <v>0</v>
      </c>
      <c r="E51" s="125">
        <v>0</v>
      </c>
      <c r="F51" s="652" t="s">
        <v>580</v>
      </c>
      <c r="Z51" s="260"/>
      <c r="AA51" s="266"/>
      <c r="AB51" s="266"/>
      <c r="AC51" s="198"/>
      <c r="AG51" s="58"/>
      <c r="AH51" s="143"/>
      <c r="AI51" s="61"/>
      <c r="AJ51" s="413"/>
      <c r="AK51" s="85"/>
      <c r="AL51" s="85"/>
      <c r="AM51" s="85"/>
      <c r="AN51" s="140"/>
      <c r="AO51" s="141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396"/>
      <c r="BB51" s="145"/>
      <c r="BC51" s="145"/>
      <c r="BD51" s="305"/>
      <c r="BE51" s="92" t="s">
        <v>163</v>
      </c>
      <c r="BF51" s="292"/>
      <c r="BG51" s="74">
        <f t="shared" ref="BG51:BQ51" si="88">BG14-BG18</f>
        <v>9874903.9809999969</v>
      </c>
      <c r="BH51" s="74">
        <f t="shared" si="88"/>
        <v>0</v>
      </c>
      <c r="BI51" s="74">
        <f t="shared" si="88"/>
        <v>0</v>
      </c>
      <c r="BJ51" s="74">
        <f t="shared" si="88"/>
        <v>0</v>
      </c>
      <c r="BK51" s="74">
        <f t="shared" si="88"/>
        <v>0</v>
      </c>
      <c r="BL51" s="74">
        <f t="shared" si="88"/>
        <v>0</v>
      </c>
      <c r="BM51" s="74">
        <f t="shared" si="88"/>
        <v>0</v>
      </c>
      <c r="BN51" s="74">
        <f t="shared" si="88"/>
        <v>0</v>
      </c>
      <c r="BO51" s="74">
        <f t="shared" si="88"/>
        <v>0</v>
      </c>
      <c r="BP51" s="74">
        <f t="shared" si="88"/>
        <v>0</v>
      </c>
      <c r="BQ51" s="74">
        <f t="shared" si="88"/>
        <v>0</v>
      </c>
      <c r="BR51" s="74"/>
      <c r="BS51" s="74" t="str">
        <f t="shared" ref="BS51:BV51" si="89">IF(BS8&gt;_xlfn.SINGLE(Analysis_Period),"",BS14-BS18)</f>
        <v/>
      </c>
      <c r="BT51" s="74" t="str">
        <f t="shared" si="89"/>
        <v/>
      </c>
      <c r="BU51" s="74" t="str">
        <f t="shared" si="89"/>
        <v/>
      </c>
      <c r="BV51" s="74" t="str">
        <f t="shared" si="89"/>
        <v/>
      </c>
      <c r="BW51" s="165"/>
      <c r="BZ51" s="253" t="s">
        <v>311</v>
      </c>
      <c r="CD51" s="435">
        <f>(CD47&lt;&gt;"") * -MIN(0, CD42 * $C$116)</f>
        <v>9730404.4319499973</v>
      </c>
    </row>
    <row r="52" spans="2:93" ht="30.75">
      <c r="B52" s="110" t="s">
        <v>236</v>
      </c>
      <c r="C52" s="146">
        <v>3000</v>
      </c>
      <c r="D52" s="146">
        <v>3200</v>
      </c>
      <c r="E52" s="124">
        <v>3400</v>
      </c>
      <c r="F52" s="655" t="s">
        <v>581</v>
      </c>
      <c r="Z52" s="260" t="s">
        <v>312</v>
      </c>
      <c r="AA52" s="260"/>
      <c r="AB52" s="147" t="str">
        <f>"/"&amp;D9</f>
        <v>/SF</v>
      </c>
      <c r="AC52" s="198"/>
      <c r="AG52" s="58"/>
      <c r="AH52" s="143"/>
      <c r="AI52" s="61"/>
      <c r="AJ52" s="413"/>
      <c r="AK52" s="85"/>
      <c r="AL52" s="85"/>
      <c r="AM52" s="85"/>
      <c r="AN52" s="140"/>
      <c r="AO52" s="141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396"/>
      <c r="BB52" s="145"/>
      <c r="BC52" s="145"/>
      <c r="BD52" s="305"/>
      <c r="BE52" s="92" t="s">
        <v>216</v>
      </c>
      <c r="BF52" s="292"/>
      <c r="BG52" s="74">
        <f>BG28</f>
        <v>0</v>
      </c>
      <c r="BH52" s="74">
        <f>BH28</f>
        <v>766273.45022191538</v>
      </c>
      <c r="BI52" s="74">
        <f t="shared" ref="BI52:BV52" si="90">BI28</f>
        <v>766273.45022191538</v>
      </c>
      <c r="BJ52" s="74">
        <f t="shared" si="90"/>
        <v>766273.45022191538</v>
      </c>
      <c r="BK52" s="74">
        <f>BK28</f>
        <v>766273.45022191538</v>
      </c>
      <c r="BL52" s="74">
        <f t="shared" si="90"/>
        <v>766273.45022191538</v>
      </c>
      <c r="BM52" s="74">
        <f t="shared" si="90"/>
        <v>932440.48614991538</v>
      </c>
      <c r="BN52" s="74">
        <f t="shared" si="90"/>
        <v>932440.48614991538</v>
      </c>
      <c r="BO52" s="74">
        <f t="shared" si="90"/>
        <v>932440.48614991538</v>
      </c>
      <c r="BP52" s="74">
        <f t="shared" si="90"/>
        <v>932440.48614991538</v>
      </c>
      <c r="BQ52" s="74">
        <f t="shared" si="90"/>
        <v>932440.48614991538</v>
      </c>
      <c r="BR52" s="74"/>
      <c r="BS52" s="74" t="str">
        <f t="shared" si="90"/>
        <v/>
      </c>
      <c r="BT52" s="74">
        <f t="shared" si="90"/>
        <v>0</v>
      </c>
      <c r="BU52" s="74" t="str">
        <f t="shared" si="90"/>
        <v/>
      </c>
      <c r="BV52" s="74" t="str">
        <f t="shared" si="90"/>
        <v/>
      </c>
      <c r="BW52" s="165"/>
      <c r="BZ52" s="253" t="s">
        <v>313</v>
      </c>
    </row>
    <row r="53" spans="2:93" ht="30.75">
      <c r="B53" s="110" t="s">
        <v>239</v>
      </c>
      <c r="C53" s="125">
        <v>0</v>
      </c>
      <c r="D53" s="125">
        <v>0</v>
      </c>
      <c r="E53" s="125">
        <v>0</v>
      </c>
      <c r="F53" s="652" t="s">
        <v>580</v>
      </c>
      <c r="Z53" s="67" t="s">
        <v>161</v>
      </c>
      <c r="AA53" s="260"/>
      <c r="AB53" s="69">
        <f>E38/$D$16</f>
        <v>0</v>
      </c>
      <c r="AC53" s="198"/>
      <c r="AG53" s="58"/>
      <c r="AH53" s="143"/>
      <c r="AI53" s="61"/>
      <c r="AJ53" s="413"/>
      <c r="AK53" s="85"/>
      <c r="AL53" s="85"/>
      <c r="AM53" s="85"/>
      <c r="AN53" s="140"/>
      <c r="AO53" s="141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396"/>
      <c r="BB53" s="145"/>
      <c r="BC53" s="145"/>
      <c r="BD53" s="305"/>
      <c r="BE53" s="92" t="s">
        <v>292</v>
      </c>
      <c r="BF53" s="292"/>
      <c r="BG53" s="148">
        <f t="shared" ref="BG53:BQ53" si="91">((BG8=$D$10)*(BG34-BG37))*(BG8&lt;=$D$10)</f>
        <v>0</v>
      </c>
      <c r="BH53" s="148">
        <f t="shared" si="91"/>
        <v>0</v>
      </c>
      <c r="BI53" s="148">
        <f t="shared" si="91"/>
        <v>0</v>
      </c>
      <c r="BJ53" s="148">
        <f t="shared" si="91"/>
        <v>0</v>
      </c>
      <c r="BK53" s="148">
        <f t="shared" si="91"/>
        <v>0</v>
      </c>
      <c r="BL53" s="148">
        <f t="shared" si="91"/>
        <v>0</v>
      </c>
      <c r="BM53" s="148">
        <f t="shared" si="91"/>
        <v>0</v>
      </c>
      <c r="BN53" s="148">
        <f t="shared" si="91"/>
        <v>0</v>
      </c>
      <c r="BO53" s="148">
        <f t="shared" si="91"/>
        <v>0</v>
      </c>
      <c r="BP53" s="148">
        <f t="shared" si="91"/>
        <v>0</v>
      </c>
      <c r="BQ53" s="148">
        <f t="shared" si="91"/>
        <v>12908030.592925033</v>
      </c>
      <c r="BR53" s="84"/>
      <c r="BS53" s="84" t="str">
        <f t="shared" ref="BS53:BV53" si="92">IF(BS8&gt;_xlfn.SINGLE(Analysis_Period),"",(BS8=_xlfn.SINGLE(Analysis_Period))*(BS34-BS37))</f>
        <v/>
      </c>
      <c r="BT53" s="84" t="str">
        <f t="shared" si="92"/>
        <v/>
      </c>
      <c r="BU53" s="84" t="str">
        <f t="shared" si="92"/>
        <v/>
      </c>
      <c r="BV53" s="84" t="str">
        <f t="shared" si="92"/>
        <v/>
      </c>
      <c r="BW53" s="165"/>
      <c r="BZ53" s="253" t="s">
        <v>314</v>
      </c>
    </row>
    <row r="54" spans="2:93" ht="30.75">
      <c r="B54" s="110" t="s">
        <v>244</v>
      </c>
      <c r="C54" s="149">
        <v>0</v>
      </c>
      <c r="D54" s="149">
        <v>0</v>
      </c>
      <c r="E54" s="149">
        <v>0</v>
      </c>
      <c r="F54" s="652" t="s">
        <v>580</v>
      </c>
      <c r="Z54" s="67" t="s">
        <v>167</v>
      </c>
      <c r="AA54" s="260"/>
      <c r="AB54" s="69">
        <f>E39/$D$16</f>
        <v>0</v>
      </c>
      <c r="AC54" s="198"/>
      <c r="AG54" s="58"/>
      <c r="AH54" s="243"/>
      <c r="AI54" s="61"/>
      <c r="AJ54" s="413"/>
      <c r="AK54" s="85"/>
      <c r="AL54" s="85"/>
      <c r="AM54" s="85"/>
      <c r="AN54" s="140"/>
      <c r="AO54" s="141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396"/>
      <c r="BB54" s="145"/>
      <c r="BC54" s="145"/>
      <c r="BD54" s="305"/>
      <c r="BE54" s="103" t="s">
        <v>295</v>
      </c>
      <c r="BF54" s="292"/>
      <c r="BG54" s="74">
        <f>-BG51-BG52-BG53</f>
        <v>-9874903.9809999969</v>
      </c>
      <c r="BH54" s="74">
        <f t="shared" ref="BH54:BQ54" si="93">SUM(BH51:BH53)</f>
        <v>766273.45022191538</v>
      </c>
      <c r="BI54" s="74">
        <f t="shared" si="93"/>
        <v>766273.45022191538</v>
      </c>
      <c r="BJ54" s="74">
        <f t="shared" si="93"/>
        <v>766273.45022191538</v>
      </c>
      <c r="BK54" s="74">
        <f t="shared" si="93"/>
        <v>766273.45022191538</v>
      </c>
      <c r="BL54" s="74">
        <f t="shared" si="93"/>
        <v>766273.45022191538</v>
      </c>
      <c r="BM54" s="74">
        <f t="shared" si="93"/>
        <v>932440.48614991538</v>
      </c>
      <c r="BN54" s="74">
        <f t="shared" si="93"/>
        <v>932440.48614991538</v>
      </c>
      <c r="BO54" s="74">
        <f t="shared" si="93"/>
        <v>932440.48614991538</v>
      </c>
      <c r="BP54" s="74">
        <f t="shared" si="93"/>
        <v>932440.48614991538</v>
      </c>
      <c r="BQ54" s="74">
        <f t="shared" si="93"/>
        <v>13840471.079074947</v>
      </c>
      <c r="BR54" s="74"/>
      <c r="BS54" s="74" t="str">
        <f t="shared" ref="BS54:BV54" si="94">IF(BS8&gt;_xlfn.SINGLE(Analysis_Period),"",-BS51+BS52+BS53)</f>
        <v/>
      </c>
      <c r="BT54" s="74" t="str">
        <f t="shared" si="94"/>
        <v/>
      </c>
      <c r="BU54" s="74" t="str">
        <f t="shared" si="94"/>
        <v/>
      </c>
      <c r="BV54" s="74" t="str">
        <f t="shared" si="94"/>
        <v/>
      </c>
      <c r="BW54" s="165"/>
      <c r="BZ54" s="433" t="str">
        <f>IF(CB13="Equity Multiple", "LP EMx Check","LP IRR Check")</f>
        <v>LP IRR Check</v>
      </c>
    </row>
    <row r="55" spans="2:93" ht="16.5">
      <c r="B55" s="150"/>
      <c r="C55" s="124"/>
      <c r="D55" s="124"/>
      <c r="E55" s="125"/>
      <c r="F55" s="233"/>
      <c r="Z55" s="67" t="s">
        <v>173</v>
      </c>
      <c r="AA55" s="260"/>
      <c r="AB55" s="69">
        <f>E40/$D$16</f>
        <v>2</v>
      </c>
      <c r="AC55" s="198"/>
      <c r="AG55" s="165"/>
      <c r="AH55" s="165"/>
      <c r="AI55" s="165"/>
      <c r="AJ55" s="409"/>
      <c r="AK55" s="244"/>
      <c r="AL55" s="244"/>
      <c r="AM55" s="165"/>
      <c r="AN55" s="165"/>
      <c r="AO55" s="244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397"/>
      <c r="BB55" s="245"/>
      <c r="BC55" s="245"/>
      <c r="BD55" s="165"/>
      <c r="BE55" s="103"/>
      <c r="BF55" s="292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165"/>
      <c r="BZ55" s="253" t="s">
        <v>315</v>
      </c>
    </row>
    <row r="56" spans="2:93" ht="16.5">
      <c r="B56" s="165"/>
      <c r="C56" s="227"/>
      <c r="D56" s="227"/>
      <c r="E56" s="246"/>
      <c r="F56" s="233"/>
      <c r="Z56" s="106" t="s">
        <v>180</v>
      </c>
      <c r="AA56" s="260"/>
      <c r="AB56" s="153">
        <f>E41/$D$16</f>
        <v>0</v>
      </c>
      <c r="AC56" s="198"/>
      <c r="AG56" s="165"/>
      <c r="AH56" s="165"/>
      <c r="AI56" s="165"/>
      <c r="AJ56" s="414"/>
      <c r="AK56" s="247"/>
      <c r="AL56" s="247"/>
      <c r="AM56" s="165"/>
      <c r="AN56" s="165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398"/>
      <c r="BB56" s="247"/>
      <c r="BC56" s="247"/>
      <c r="BD56" s="165"/>
      <c r="BE56" s="103" t="s">
        <v>316</v>
      </c>
      <c r="BF56" s="292"/>
      <c r="BG56" s="108"/>
      <c r="BH56" s="108">
        <f>(BH8 &lt;= D10) * (BH28 / (SUM($BG$14:BH14) - SUM($BG$18:BH18)))</f>
        <v>7.7598065935251509E-2</v>
      </c>
      <c r="BI56" s="108">
        <f t="shared" ref="BI56:BQ56" si="95">(BI28-BI27)/($BG$14-$BG$18)</f>
        <v>7.7598065935251509E-2</v>
      </c>
      <c r="BJ56" s="108">
        <f t="shared" si="95"/>
        <v>7.7598065935251509E-2</v>
      </c>
      <c r="BK56" s="108">
        <f t="shared" si="95"/>
        <v>7.7598065935251509E-2</v>
      </c>
      <c r="BL56" s="108">
        <f t="shared" si="95"/>
        <v>7.7598065935251509E-2</v>
      </c>
      <c r="BM56" s="108">
        <f t="shared" si="95"/>
        <v>9.4425271166585098E-2</v>
      </c>
      <c r="BN56" s="108">
        <f t="shared" si="95"/>
        <v>9.4425271166585098E-2</v>
      </c>
      <c r="BO56" s="108">
        <f t="shared" si="95"/>
        <v>9.4425271166585098E-2</v>
      </c>
      <c r="BP56" s="108">
        <f t="shared" si="95"/>
        <v>9.4425271166585098E-2</v>
      </c>
      <c r="BQ56" s="108">
        <f t="shared" si="95"/>
        <v>9.4425271166585098E-2</v>
      </c>
      <c r="BR56" s="108"/>
      <c r="BS56" s="108" t="str">
        <f>IF(BS8&gt;_xlfn.SINGLE(Analysis_Period),"",BS28/(SUM($AX$13:BS14)-SUM($AX$17:BS18)))</f>
        <v/>
      </c>
      <c r="BT56" s="108" t="str">
        <f>IF(BT8&gt;_xlfn.SINGLE(Analysis_Period),"",BT28/(SUM($AX$13:BT14)-SUM($AX$17:BT18)))</f>
        <v/>
      </c>
      <c r="BU56" s="108" t="str">
        <f>IF(BU8&gt;_xlfn.SINGLE(Analysis_Period),"",BU28/(SUM($AX$13:BU14)-SUM($AX$17:BU18)))</f>
        <v/>
      </c>
      <c r="BV56" s="108" t="str">
        <f>IF(BV8&gt;_xlfn.SINGLE(Analysis_Period),"",BV28/(SUM($AX$13:BV14)-SUM($AX$17:BV18)))</f>
        <v/>
      </c>
      <c r="BW56" s="165"/>
      <c r="BZ56" s="253"/>
    </row>
    <row r="57" spans="2:93">
      <c r="B57" s="165"/>
      <c r="C57" s="227"/>
      <c r="D57" s="227"/>
      <c r="Z57" s="103"/>
      <c r="AA57" s="260"/>
      <c r="AB57" s="69"/>
      <c r="AC57" s="198"/>
      <c r="AG57" s="165"/>
      <c r="AH57" s="165"/>
      <c r="AI57" s="165"/>
      <c r="AJ57" s="400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381"/>
      <c r="BB57" s="165"/>
      <c r="BC57" s="165"/>
      <c r="BD57" s="165"/>
      <c r="BE57" s="92" t="s">
        <v>221</v>
      </c>
      <c r="BF57" s="292"/>
      <c r="BG57" s="108"/>
      <c r="BH57" s="108">
        <f>AVERAGE(BH56)</f>
        <v>7.7598065935251509E-2</v>
      </c>
      <c r="BI57" s="108">
        <f>AVERAGE(BH56:BI56)</f>
        <v>7.7598065935251509E-2</v>
      </c>
      <c r="BJ57" s="108">
        <f>AVERAGE(BH56:BJ56)</f>
        <v>7.7598065935251509E-2</v>
      </c>
      <c r="BK57" s="108">
        <f>AVERAGE(BH56:BK56)</f>
        <v>7.7598065935251509E-2</v>
      </c>
      <c r="BL57" s="108">
        <f>AVERAGE(BH56:BL56)</f>
        <v>7.7598065935251509E-2</v>
      </c>
      <c r="BM57" s="108">
        <f>AVERAGE(BH56:BM56)</f>
        <v>8.0402600140473776E-2</v>
      </c>
      <c r="BN57" s="108">
        <f>AVERAGE(BH56:BN56)</f>
        <v>8.2405838858489691E-2</v>
      </c>
      <c r="BO57" s="108">
        <f>AVERAGE(BH56:BO56)</f>
        <v>8.3908267897001607E-2</v>
      </c>
      <c r="BP57" s="108">
        <f>AVERAGE(BH56:BP56)</f>
        <v>8.5076823815844207E-2</v>
      </c>
      <c r="BQ57" s="108">
        <f>AVERAGE(BH56:BQ56)</f>
        <v>8.6011668550918297E-2</v>
      </c>
      <c r="BR57" s="108" t="str">
        <f>IF(BR8&gt;_xlfn.SINGLE(Analysis_Period),"",AVERAGE($AX$55:BR56))</f>
        <v/>
      </c>
      <c r="BS57" s="108" t="str">
        <f>IF(BS8&gt;_xlfn.SINGLE(Analysis_Period),"",AVERAGE($AX$55:BS56))</f>
        <v/>
      </c>
      <c r="BT57" s="108" t="str">
        <f>IF(BT8&gt;_xlfn.SINGLE(Analysis_Period),"",AVERAGE($AX$55:BT56))</f>
        <v/>
      </c>
      <c r="BU57" s="108" t="str">
        <f>IF(BU8&gt;_xlfn.SINGLE(Analysis_Period),"",AVERAGE($AX$55:BU56))</f>
        <v/>
      </c>
      <c r="BV57" s="108" t="str">
        <f>IF(BV8&gt;_xlfn.SINGLE(Analysis_Period),"",AVERAGE($AX$55:BV56))</f>
        <v/>
      </c>
      <c r="BW57" s="165"/>
      <c r="BZ57" s="253" t="s">
        <v>317</v>
      </c>
    </row>
    <row r="58" spans="2:93">
      <c r="B58" s="231"/>
      <c r="C58" s="231" t="s">
        <v>46</v>
      </c>
      <c r="D58" s="231" t="s">
        <v>129</v>
      </c>
      <c r="E58" s="248" t="s">
        <v>130</v>
      </c>
      <c r="F58" s="598" t="s">
        <v>47</v>
      </c>
      <c r="G58" s="249">
        <v>2</v>
      </c>
      <c r="H58" s="249">
        <v>3</v>
      </c>
      <c r="I58" s="249">
        <v>4</v>
      </c>
      <c r="J58" s="249">
        <v>5</v>
      </c>
      <c r="K58" s="249">
        <v>6</v>
      </c>
      <c r="L58" s="249">
        <v>7</v>
      </c>
      <c r="M58" s="249">
        <v>8</v>
      </c>
      <c r="N58" s="249">
        <v>9</v>
      </c>
      <c r="O58" s="249">
        <v>10</v>
      </c>
      <c r="P58" s="249">
        <v>11</v>
      </c>
      <c r="Q58" s="249">
        <v>12</v>
      </c>
      <c r="R58" s="249">
        <v>13</v>
      </c>
      <c r="S58" s="249">
        <v>14</v>
      </c>
      <c r="T58" s="249">
        <v>15</v>
      </c>
      <c r="Z58" s="67" t="s">
        <v>190</v>
      </c>
      <c r="AA58" s="260"/>
      <c r="AB58" s="69">
        <f>E43/$D$16</f>
        <v>0</v>
      </c>
      <c r="AC58" s="198"/>
      <c r="AG58" s="165"/>
      <c r="AH58" s="165"/>
      <c r="AI58" s="165"/>
      <c r="AJ58" s="400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381"/>
      <c r="BB58" s="165"/>
      <c r="BC58" s="165"/>
      <c r="BD58" s="165"/>
      <c r="BE58" s="103" t="s">
        <v>81</v>
      </c>
      <c r="BF58" s="291"/>
      <c r="BG58" s="108">
        <f>IRR(BG54:BV54)</f>
        <v>0.10298834508941335</v>
      </c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65"/>
      <c r="BZ58" s="253" t="s">
        <v>318</v>
      </c>
    </row>
    <row r="59" spans="2:93">
      <c r="B59" s="110" t="s">
        <v>263</v>
      </c>
      <c r="C59" s="124">
        <v>0</v>
      </c>
      <c r="D59" s="124">
        <v>0</v>
      </c>
      <c r="E59" s="124">
        <v>0</v>
      </c>
      <c r="F59" s="271"/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270"/>
      <c r="R59" s="270"/>
      <c r="S59" s="154"/>
      <c r="T59" s="154"/>
      <c r="Z59" s="67" t="s">
        <v>194</v>
      </c>
      <c r="AA59" s="260"/>
      <c r="AB59" s="69">
        <f>E44/$D$16</f>
        <v>0</v>
      </c>
      <c r="AC59" s="198"/>
      <c r="AG59" s="165"/>
      <c r="AI59" s="165"/>
      <c r="AJ59" s="400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381"/>
      <c r="BB59" s="165"/>
      <c r="BC59" s="165"/>
      <c r="BD59" s="165"/>
      <c r="BE59" s="103" t="s">
        <v>217</v>
      </c>
      <c r="BF59" s="292"/>
      <c r="BG59" s="139">
        <f>SUMIF(BG54:BV54,"&gt;0")/-SUMIF(BG54:BV54,"&lt;0")</f>
        <v>2.1672717340808938</v>
      </c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65"/>
      <c r="BZ59" s="253" t="s">
        <v>319</v>
      </c>
    </row>
    <row r="60" spans="2:93" ht="16.5">
      <c r="B60" s="110" t="s">
        <v>269</v>
      </c>
      <c r="C60" s="124">
        <v>0</v>
      </c>
      <c r="D60" s="124">
        <v>0</v>
      </c>
      <c r="E60" s="124">
        <v>0</v>
      </c>
      <c r="F60" s="272"/>
      <c r="G60" s="124">
        <v>0</v>
      </c>
      <c r="H60" s="124">
        <v>0</v>
      </c>
      <c r="I60" s="124">
        <v>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270"/>
      <c r="R60" s="270"/>
      <c r="S60" s="270"/>
      <c r="T60" s="270"/>
      <c r="U60" s="436" t="s">
        <v>582</v>
      </c>
      <c r="Z60" s="67" t="s">
        <v>200</v>
      </c>
      <c r="AA60" s="260"/>
      <c r="AB60" s="69">
        <f>E45/$D$16</f>
        <v>0</v>
      </c>
      <c r="AC60" s="198"/>
      <c r="AD60" s="233"/>
      <c r="AG60" s="165"/>
      <c r="AH60" s="165"/>
      <c r="AI60" s="165"/>
      <c r="AJ60" s="400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381"/>
      <c r="BB60" s="165"/>
      <c r="BC60" s="165"/>
      <c r="BD60" s="165"/>
      <c r="BE60" s="103"/>
      <c r="BF60" s="292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9"/>
      <c r="BT60" s="119"/>
      <c r="BU60" s="119"/>
      <c r="BV60" s="119"/>
      <c r="BW60" s="165"/>
      <c r="BZ60" s="253" t="s">
        <v>321</v>
      </c>
    </row>
    <row r="61" spans="2:93" ht="16.5">
      <c r="B61" s="110" t="s">
        <v>272</v>
      </c>
      <c r="C61" s="124">
        <v>0</v>
      </c>
      <c r="D61" s="124">
        <v>0</v>
      </c>
      <c r="E61" s="124">
        <v>0</v>
      </c>
      <c r="F61" s="273"/>
      <c r="G61" s="126">
        <v>0</v>
      </c>
      <c r="H61" s="126">
        <v>0</v>
      </c>
      <c r="I61" s="126"/>
      <c r="J61" s="126"/>
      <c r="K61" s="126"/>
      <c r="L61" s="126"/>
      <c r="M61" s="126"/>
      <c r="N61" s="126"/>
      <c r="O61" s="126"/>
      <c r="P61" s="126"/>
      <c r="Q61" s="270"/>
      <c r="R61" s="270"/>
      <c r="S61" s="270"/>
      <c r="T61" s="270"/>
      <c r="Z61" s="89" t="s">
        <v>207</v>
      </c>
      <c r="AA61" s="260"/>
      <c r="AB61" s="153">
        <f>AB56+(SUM(AB58:AB60))</f>
        <v>0</v>
      </c>
      <c r="AC61" s="198"/>
      <c r="AG61" s="165"/>
      <c r="AH61" s="165"/>
      <c r="AI61" s="165"/>
      <c r="AJ61" s="400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381"/>
      <c r="BB61" s="165"/>
      <c r="BC61" s="165"/>
      <c r="BD61" s="165"/>
      <c r="BE61" s="103" t="s">
        <v>322</v>
      </c>
      <c r="BF61" s="292"/>
      <c r="BG61" s="139"/>
      <c r="BH61" s="139">
        <f t="shared" ref="BH61:BQ61" si="96">BH23/BH26</f>
        <v>1.8557919314552906</v>
      </c>
      <c r="BI61" s="139">
        <f t="shared" si="96"/>
        <v>1.8557919314552906</v>
      </c>
      <c r="BJ61" s="139">
        <f t="shared" si="96"/>
        <v>1.8557919314552906</v>
      </c>
      <c r="BK61" s="139">
        <f t="shared" si="96"/>
        <v>1.8557919314552906</v>
      </c>
      <c r="BL61" s="139">
        <f t="shared" si="96"/>
        <v>1.8557919314552906</v>
      </c>
      <c r="BM61" s="139">
        <f t="shared" si="96"/>
        <v>2.0413711246008197</v>
      </c>
      <c r="BN61" s="139">
        <f t="shared" si="96"/>
        <v>2.0413711246008197</v>
      </c>
      <c r="BO61" s="139">
        <f t="shared" si="96"/>
        <v>2.0413711246008197</v>
      </c>
      <c r="BP61" s="139">
        <f t="shared" si="96"/>
        <v>2.0413711246008197</v>
      </c>
      <c r="BQ61" s="139">
        <f t="shared" si="96"/>
        <v>2.0413711246008197</v>
      </c>
      <c r="BR61" s="139" t="str">
        <f t="shared" ref="BR61:BV61" si="97">IFERROR(BR23/BR26,"")</f>
        <v/>
      </c>
      <c r="BS61" s="139" t="str">
        <f t="shared" si="97"/>
        <v/>
      </c>
      <c r="BT61" s="139" t="str">
        <f t="shared" si="97"/>
        <v/>
      </c>
      <c r="BU61" s="139" t="str">
        <f t="shared" si="97"/>
        <v/>
      </c>
      <c r="BV61" s="139" t="str">
        <f t="shared" si="97"/>
        <v/>
      </c>
      <c r="BW61" s="165"/>
      <c r="BZ61" s="253" t="s">
        <v>323</v>
      </c>
    </row>
    <row r="62" spans="2:93">
      <c r="B62" s="110" t="s">
        <v>276</v>
      </c>
      <c r="C62" s="126">
        <v>0</v>
      </c>
      <c r="D62" s="126">
        <v>0</v>
      </c>
      <c r="E62" s="126">
        <v>0</v>
      </c>
      <c r="F62" s="270"/>
      <c r="G62" s="126">
        <v>0</v>
      </c>
      <c r="H62" s="126">
        <v>0</v>
      </c>
      <c r="I62" s="126">
        <v>0</v>
      </c>
      <c r="J62" s="126"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v>0</v>
      </c>
      <c r="P62" s="126">
        <v>0</v>
      </c>
      <c r="Q62" s="270"/>
      <c r="R62" s="270"/>
      <c r="S62" s="270"/>
      <c r="T62" s="270"/>
      <c r="Z62" s="103"/>
      <c r="AA62" s="260"/>
      <c r="AB62" s="69"/>
      <c r="AC62" s="198"/>
      <c r="AG62" s="165"/>
      <c r="AH62" s="165"/>
      <c r="AI62" s="165"/>
      <c r="AJ62" s="400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381"/>
      <c r="BB62" s="165"/>
      <c r="BC62" s="165"/>
      <c r="BD62" s="165"/>
      <c r="BE62" s="103" t="s">
        <v>324</v>
      </c>
      <c r="BF62" s="292"/>
      <c r="BG62" s="108"/>
      <c r="BH62" s="108">
        <f t="shared" ref="BH62:BQ62" si="98">(BH23/BH37)</f>
        <v>0.10195670061123017</v>
      </c>
      <c r="BI62" s="108">
        <f t="shared" si="98"/>
        <v>0.10406534792647096</v>
      </c>
      <c r="BJ62" s="108">
        <f t="shared" si="98"/>
        <v>0.10634293505460232</v>
      </c>
      <c r="BK62" s="108">
        <f t="shared" si="98"/>
        <v>0.10880904271001546</v>
      </c>
      <c r="BL62" s="108">
        <f t="shared" si="98"/>
        <v>0.11148638188606903</v>
      </c>
      <c r="BM62" s="108">
        <f t="shared" si="98"/>
        <v>0.12584159051609606</v>
      </c>
      <c r="BN62" s="108">
        <f t="shared" si="98"/>
        <v>0.12934386595548703</v>
      </c>
      <c r="BO62" s="108">
        <f t="shared" si="98"/>
        <v>0.13318227006574512</v>
      </c>
      <c r="BP62" s="108">
        <f t="shared" si="98"/>
        <v>0.13740492246311056</v>
      </c>
      <c r="BQ62" s="108">
        <f t="shared" si="98"/>
        <v>0.14206956260667872</v>
      </c>
      <c r="BR62" s="108" t="str">
        <f t="shared" ref="BR62:BV62" si="99">IFERROR(BR23/BR37,"")</f>
        <v/>
      </c>
      <c r="BS62" s="108" t="str">
        <f t="shared" si="99"/>
        <v/>
      </c>
      <c r="BT62" s="108" t="str">
        <f t="shared" si="99"/>
        <v/>
      </c>
      <c r="BU62" s="108" t="str">
        <f t="shared" si="99"/>
        <v/>
      </c>
      <c r="BV62" s="108" t="str">
        <f t="shared" si="99"/>
        <v/>
      </c>
      <c r="BW62" s="165"/>
      <c r="BZ62" s="433" t="str">
        <f>IF(CB13="Equity Multiple", "GP EMx Check","GP IRR Check")</f>
        <v>GP IRR Check</v>
      </c>
    </row>
    <row r="63" spans="2:93" ht="16.5">
      <c r="B63" s="110" t="s">
        <v>190</v>
      </c>
      <c r="C63" s="124">
        <v>-24131.084275599998</v>
      </c>
      <c r="D63" s="124">
        <v>-24561.7</v>
      </c>
      <c r="E63" s="125">
        <v>0</v>
      </c>
      <c r="F63" s="125">
        <v>0</v>
      </c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Z63" s="67" t="s">
        <v>214</v>
      </c>
      <c r="AA63" s="260"/>
      <c r="AB63" s="69">
        <f t="shared" ref="AB63:AB70" si="100">E47/$D$16</f>
        <v>0</v>
      </c>
      <c r="AC63" s="198"/>
      <c r="AG63" s="165"/>
      <c r="AH63" s="165"/>
      <c r="AI63" s="165"/>
      <c r="AJ63" s="400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381"/>
      <c r="BB63" s="165"/>
      <c r="BC63" s="165"/>
      <c r="BD63" s="165"/>
      <c r="BE63" s="103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165"/>
      <c r="BZ63" s="253"/>
    </row>
    <row r="64" spans="2:93" ht="16.5">
      <c r="B64" s="110" t="s">
        <v>200</v>
      </c>
      <c r="C64" s="126">
        <v>0</v>
      </c>
      <c r="D64" s="126">
        <v>0</v>
      </c>
      <c r="E64" s="127">
        <v>0</v>
      </c>
      <c r="F64" s="127">
        <v>0</v>
      </c>
      <c r="G64" s="127">
        <v>0</v>
      </c>
      <c r="H64" s="127">
        <v>0</v>
      </c>
      <c r="I64" s="127">
        <v>0</v>
      </c>
      <c r="J64" s="127">
        <v>0</v>
      </c>
      <c r="K64" s="127">
        <v>0</v>
      </c>
      <c r="L64" s="127">
        <v>0</v>
      </c>
      <c r="M64" s="127">
        <v>0</v>
      </c>
      <c r="N64" s="127">
        <v>0</v>
      </c>
      <c r="O64" s="127">
        <v>0</v>
      </c>
      <c r="P64" s="127">
        <v>0</v>
      </c>
      <c r="Q64" s="127">
        <v>0</v>
      </c>
      <c r="R64" s="127">
        <v>0</v>
      </c>
      <c r="S64" s="127">
        <v>0</v>
      </c>
      <c r="T64" s="127">
        <v>0</v>
      </c>
      <c r="Z64" s="67" t="s">
        <v>218</v>
      </c>
      <c r="AA64" s="260"/>
      <c r="AB64" s="69">
        <f t="shared" si="100"/>
        <v>0</v>
      </c>
      <c r="AC64" s="198"/>
      <c r="AG64" s="165"/>
      <c r="AH64" s="165"/>
      <c r="AI64" s="165"/>
      <c r="AJ64" s="400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381"/>
      <c r="BB64" s="165"/>
      <c r="BC64" s="165"/>
      <c r="BD64" s="165"/>
      <c r="BE64" s="267" t="s">
        <v>325</v>
      </c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65"/>
      <c r="BZ64" s="253" t="str">
        <f>"Total Distributions ("&amp;BZ46&amp;")"</f>
        <v>Total Distributions (Tier 1 - Preferred Return + Return of Capital)</v>
      </c>
    </row>
    <row r="65" spans="2:97">
      <c r="B65" s="264" t="s">
        <v>326</v>
      </c>
      <c r="C65" s="94"/>
      <c r="D65" s="94"/>
      <c r="E65" s="274"/>
      <c r="F65" s="270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232"/>
      <c r="V65" s="232"/>
      <c r="Z65" s="67" t="s">
        <v>223</v>
      </c>
      <c r="AA65" s="260"/>
      <c r="AB65" s="69">
        <f t="shared" si="100"/>
        <v>0</v>
      </c>
      <c r="AC65" s="198"/>
      <c r="AG65" s="165"/>
      <c r="AH65" s="165"/>
      <c r="AI65" s="165"/>
      <c r="AJ65" s="400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381"/>
      <c r="BB65" s="165"/>
      <c r="BC65" s="165"/>
      <c r="BD65" s="165"/>
      <c r="BE65" s="268" t="s">
        <v>327</v>
      </c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165"/>
      <c r="BZ65" s="253" t="s">
        <v>328</v>
      </c>
    </row>
    <row r="66" spans="2:97">
      <c r="B66" s="110" t="s">
        <v>329</v>
      </c>
      <c r="C66" s="275"/>
      <c r="D66" s="270"/>
      <c r="E66" s="270"/>
      <c r="F66" s="270"/>
      <c r="G66" s="46">
        <v>0.1</v>
      </c>
      <c r="H66" s="46">
        <v>0.1</v>
      </c>
      <c r="I66" s="46">
        <v>0.1</v>
      </c>
      <c r="J66" s="46">
        <v>0.1</v>
      </c>
      <c r="K66" s="46">
        <v>0.1</v>
      </c>
      <c r="L66" s="46">
        <v>0.1</v>
      </c>
      <c r="M66" s="46">
        <v>0.1</v>
      </c>
      <c r="N66" s="46">
        <v>0.1</v>
      </c>
      <c r="O66" s="46">
        <v>0.1</v>
      </c>
      <c r="P66" s="46">
        <v>0.1</v>
      </c>
      <c r="Q66" s="46">
        <v>0.1</v>
      </c>
      <c r="R66" s="46">
        <v>0.1</v>
      </c>
      <c r="S66" s="46">
        <v>0.1</v>
      </c>
      <c r="T66" s="46">
        <v>0.1</v>
      </c>
      <c r="U66" s="250"/>
      <c r="V66" s="250"/>
      <c r="Z66" s="67" t="s">
        <v>225</v>
      </c>
      <c r="AA66" s="260"/>
      <c r="AB66" s="69">
        <f t="shared" si="100"/>
        <v>0</v>
      </c>
      <c r="AC66" s="198"/>
      <c r="AG66" s="165"/>
      <c r="AH66" s="165"/>
      <c r="AI66" s="165"/>
      <c r="AJ66" s="400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381"/>
      <c r="BB66" s="165"/>
      <c r="BC66" s="165"/>
      <c r="BD66" s="165"/>
      <c r="BE66" s="66" t="s">
        <v>330</v>
      </c>
      <c r="BF66" s="59"/>
      <c r="BG66" s="157">
        <f t="shared" ref="BG66:BV66" si="101">IF(BG$42="","",BG$7)</f>
        <v>0</v>
      </c>
      <c r="BH66" s="157">
        <f t="shared" ref="BH66:BQ66" si="102">BH8</f>
        <v>1</v>
      </c>
      <c r="BI66" s="157">
        <f t="shared" si="102"/>
        <v>2</v>
      </c>
      <c r="BJ66" s="157">
        <f t="shared" si="102"/>
        <v>3</v>
      </c>
      <c r="BK66" s="157">
        <f t="shared" si="102"/>
        <v>4</v>
      </c>
      <c r="BL66" s="157">
        <f t="shared" si="102"/>
        <v>5</v>
      </c>
      <c r="BM66" s="157">
        <f t="shared" si="102"/>
        <v>6</v>
      </c>
      <c r="BN66" s="157">
        <f t="shared" si="102"/>
        <v>7</v>
      </c>
      <c r="BO66" s="157">
        <f t="shared" si="102"/>
        <v>8</v>
      </c>
      <c r="BP66" s="157">
        <f t="shared" si="102"/>
        <v>9</v>
      </c>
      <c r="BQ66" s="157">
        <f t="shared" si="102"/>
        <v>10</v>
      </c>
      <c r="BR66" s="65" t="str">
        <f t="shared" si="101"/>
        <v/>
      </c>
      <c r="BS66" s="65" t="str">
        <f t="shared" si="101"/>
        <v/>
      </c>
      <c r="BT66" s="65" t="str">
        <f t="shared" si="101"/>
        <v/>
      </c>
      <c r="BU66" s="65" t="str">
        <f t="shared" si="101"/>
        <v/>
      </c>
      <c r="BV66" s="65" t="str">
        <f t="shared" si="101"/>
        <v/>
      </c>
      <c r="BW66" s="165"/>
    </row>
    <row r="67" spans="2:97" ht="15.75">
      <c r="B67" s="110" t="s">
        <v>331</v>
      </c>
      <c r="C67" s="275"/>
      <c r="D67" s="270"/>
      <c r="E67" s="270"/>
      <c r="F67" s="270"/>
      <c r="G67" s="46">
        <v>0</v>
      </c>
      <c r="H67" s="46">
        <v>0</v>
      </c>
      <c r="I67" s="46">
        <v>0</v>
      </c>
      <c r="J67" s="46">
        <v>0</v>
      </c>
      <c r="K67" s="46">
        <v>0.1</v>
      </c>
      <c r="L67" s="46">
        <v>0</v>
      </c>
      <c r="M67" s="46">
        <v>0</v>
      </c>
      <c r="N67" s="46">
        <v>0</v>
      </c>
      <c r="O67" s="46">
        <v>0</v>
      </c>
      <c r="P67" s="46">
        <v>0.1</v>
      </c>
      <c r="Q67" s="46">
        <v>0</v>
      </c>
      <c r="R67" s="46">
        <v>0</v>
      </c>
      <c r="S67" s="46">
        <v>0</v>
      </c>
      <c r="T67" s="46">
        <v>0</v>
      </c>
      <c r="U67" s="250"/>
      <c r="V67" s="250"/>
      <c r="Z67" s="67" t="s">
        <v>231</v>
      </c>
      <c r="AA67" s="260"/>
      <c r="AB67" s="69">
        <f t="shared" si="100"/>
        <v>0</v>
      </c>
      <c r="AC67" s="198"/>
      <c r="AG67" s="165"/>
      <c r="AH67" s="165"/>
      <c r="AI67" s="165"/>
      <c r="AJ67" s="400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381"/>
      <c r="BB67" s="165"/>
      <c r="BC67" s="165"/>
      <c r="BD67" s="165"/>
      <c r="BE67" s="103" t="s">
        <v>4</v>
      </c>
      <c r="BF67" s="59"/>
      <c r="BG67" s="59"/>
      <c r="BH67" s="136" t="str">
        <f t="shared" ref="BH67:BV67" si="103">IF(BH66="","",IFERROR(IRR(BH68:BH83),""))</f>
        <v/>
      </c>
      <c r="BI67" s="136" t="str">
        <f t="shared" si="103"/>
        <v/>
      </c>
      <c r="BJ67" s="136" t="str">
        <f t="shared" si="103"/>
        <v/>
      </c>
      <c r="BK67" s="136" t="str">
        <f t="shared" si="103"/>
        <v/>
      </c>
      <c r="BL67" s="136" t="str">
        <f t="shared" si="103"/>
        <v/>
      </c>
      <c r="BM67" s="136" t="str">
        <f t="shared" si="103"/>
        <v/>
      </c>
      <c r="BN67" s="136" t="str">
        <f t="shared" si="103"/>
        <v/>
      </c>
      <c r="BO67" s="136" t="str">
        <f t="shared" si="103"/>
        <v/>
      </c>
      <c r="BP67" s="136" t="str">
        <f t="shared" si="103"/>
        <v/>
      </c>
      <c r="BQ67" s="136" t="str">
        <f t="shared" si="103"/>
        <v/>
      </c>
      <c r="BR67" s="136" t="str">
        <f t="shared" si="103"/>
        <v/>
      </c>
      <c r="BS67" s="136" t="str">
        <f t="shared" si="103"/>
        <v/>
      </c>
      <c r="BT67" s="136" t="str">
        <f t="shared" si="103"/>
        <v/>
      </c>
      <c r="BU67" s="136" t="str">
        <f t="shared" si="103"/>
        <v/>
      </c>
      <c r="BV67" s="136" t="str">
        <f t="shared" si="103"/>
        <v/>
      </c>
      <c r="BW67" s="165"/>
      <c r="BZ67" s="431" t="s">
        <v>332</v>
      </c>
      <c r="CA67" s="240"/>
      <c r="CB67" s="240"/>
      <c r="CC67" s="240"/>
      <c r="CD67" s="344" t="str">
        <f t="shared" ref="CD67:CS67" si="104">CD47</f>
        <v>Year 0</v>
      </c>
      <c r="CE67" s="344" t="str">
        <f t="shared" si="104"/>
        <v>Year 1</v>
      </c>
      <c r="CF67" s="344" t="str">
        <f t="shared" si="104"/>
        <v>Year 2</v>
      </c>
      <c r="CG67" s="344" t="str">
        <f t="shared" si="104"/>
        <v>Year 3</v>
      </c>
      <c r="CH67" s="344" t="str">
        <f t="shared" si="104"/>
        <v>Year 4</v>
      </c>
      <c r="CI67" s="344" t="str">
        <f t="shared" si="104"/>
        <v>Year 5</v>
      </c>
      <c r="CJ67" s="344" t="str">
        <f t="shared" si="104"/>
        <v>Year 6</v>
      </c>
      <c r="CK67" s="344" t="str">
        <f t="shared" si="104"/>
        <v>Year 7</v>
      </c>
      <c r="CL67" s="344" t="str">
        <f t="shared" si="104"/>
        <v>Year 8</v>
      </c>
      <c r="CM67" s="344" t="str">
        <f t="shared" si="104"/>
        <v>Year 9</v>
      </c>
      <c r="CN67" s="344" t="str">
        <f t="shared" si="104"/>
        <v>Year 10</v>
      </c>
      <c r="CO67" s="344" t="str">
        <f t="shared" si="104"/>
        <v> </v>
      </c>
      <c r="CP67" s="344" t="str">
        <f t="shared" si="104"/>
        <v> </v>
      </c>
      <c r="CQ67" s="344" t="str">
        <f t="shared" si="104"/>
        <v> </v>
      </c>
      <c r="CR67" s="344" t="str">
        <f t="shared" si="104"/>
        <v> </v>
      </c>
      <c r="CS67" s="344" t="str">
        <f t="shared" si="104"/>
        <v> </v>
      </c>
    </row>
    <row r="68" spans="2:97">
      <c r="B68" s="110" t="s">
        <v>333</v>
      </c>
      <c r="C68" s="275"/>
      <c r="D68" s="270"/>
      <c r="E68" s="270"/>
      <c r="F68" s="270"/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46">
        <v>0</v>
      </c>
      <c r="Q68" s="46">
        <v>0</v>
      </c>
      <c r="R68" s="46">
        <v>0</v>
      </c>
      <c r="S68" s="46">
        <v>0</v>
      </c>
      <c r="T68" s="46">
        <v>0</v>
      </c>
      <c r="U68" s="250"/>
      <c r="V68" s="250"/>
      <c r="Z68" s="67" t="s">
        <v>236</v>
      </c>
      <c r="AA68" s="260"/>
      <c r="AB68" s="69">
        <f t="shared" si="100"/>
        <v>6.8000000000000005E-2</v>
      </c>
      <c r="AC68" s="198"/>
      <c r="AG68" s="165"/>
      <c r="AH68" s="165"/>
      <c r="AI68" s="165"/>
      <c r="AJ68" s="400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381"/>
      <c r="BB68" s="165"/>
      <c r="BC68" s="165"/>
      <c r="BD68" s="165"/>
      <c r="BE68" s="256">
        <f>BG66</f>
        <v>0</v>
      </c>
      <c r="BF68" s="56"/>
      <c r="BG68" s="73">
        <f t="shared" ref="BG68:BG78" si="105">$BG$43</f>
        <v>-26325437.079999998</v>
      </c>
      <c r="BH68" s="71"/>
      <c r="BI68" s="71" t="str">
        <f t="shared" ref="BI68:BV83" si="106">IF(OR(BI$65="",$AU68=""),"",(BI$65&lt;=$AU68)*(-BI$13+BI$24)+(BI$65=$AU68)*BI$33)</f>
        <v/>
      </c>
      <c r="BJ68" s="71" t="str">
        <f t="shared" si="106"/>
        <v/>
      </c>
      <c r="BK68" s="71" t="str">
        <f t="shared" si="106"/>
        <v/>
      </c>
      <c r="BL68" s="71" t="str">
        <f t="shared" si="106"/>
        <v/>
      </c>
      <c r="BM68" s="71" t="str">
        <f t="shared" si="106"/>
        <v/>
      </c>
      <c r="BN68" s="71" t="str">
        <f t="shared" si="106"/>
        <v/>
      </c>
      <c r="BO68" s="71" t="str">
        <f t="shared" si="106"/>
        <v/>
      </c>
      <c r="BP68" s="71" t="str">
        <f t="shared" si="106"/>
        <v/>
      </c>
      <c r="BQ68" s="71" t="str">
        <f t="shared" si="106"/>
        <v/>
      </c>
      <c r="BR68" s="71" t="str">
        <f t="shared" si="106"/>
        <v/>
      </c>
      <c r="BS68" s="71" t="str">
        <f t="shared" si="106"/>
        <v/>
      </c>
      <c r="BT68" s="71" t="str">
        <f t="shared" si="106"/>
        <v/>
      </c>
      <c r="BU68" s="71" t="str">
        <f t="shared" si="106"/>
        <v/>
      </c>
      <c r="BV68" s="71" t="str">
        <f t="shared" si="106"/>
        <v/>
      </c>
      <c r="BW68" s="165"/>
      <c r="BZ68" s="428" t="s">
        <v>305</v>
      </c>
      <c r="CA68" s="251" t="str">
        <f>CA18</f>
        <v> </v>
      </c>
    </row>
    <row r="69" spans="2:97">
      <c r="B69" s="110" t="s">
        <v>334</v>
      </c>
      <c r="C69" s="275"/>
      <c r="D69" s="270"/>
      <c r="E69" s="270"/>
      <c r="F69" s="270"/>
      <c r="G69" s="46">
        <v>0.03</v>
      </c>
      <c r="H69" s="46">
        <v>0.03</v>
      </c>
      <c r="I69" s="46">
        <v>0.03</v>
      </c>
      <c r="J69" s="46">
        <v>0.03</v>
      </c>
      <c r="K69" s="46">
        <v>0.03</v>
      </c>
      <c r="L69" s="46">
        <v>0.03</v>
      </c>
      <c r="M69" s="46">
        <v>0.03</v>
      </c>
      <c r="N69" s="46">
        <v>0.03</v>
      </c>
      <c r="O69" s="46">
        <v>0.03</v>
      </c>
      <c r="P69" s="46">
        <v>0.03</v>
      </c>
      <c r="Q69" s="46">
        <v>0.03</v>
      </c>
      <c r="R69" s="46">
        <v>0.03</v>
      </c>
      <c r="S69" s="46">
        <v>0.03</v>
      </c>
      <c r="T69" s="46">
        <v>0.03</v>
      </c>
      <c r="U69" s="250"/>
      <c r="V69" s="250"/>
      <c r="Z69" s="67" t="s">
        <v>239</v>
      </c>
      <c r="AA69" s="260"/>
      <c r="AB69" s="69">
        <f t="shared" si="100"/>
        <v>0</v>
      </c>
      <c r="AC69" s="198"/>
      <c r="AG69" s="165"/>
      <c r="AH69" s="165"/>
      <c r="AI69" s="165"/>
      <c r="AJ69" s="400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381"/>
      <c r="BB69" s="165"/>
      <c r="BC69" s="165"/>
      <c r="BD69" s="165"/>
      <c r="BE69" s="256">
        <f>BH66</f>
        <v>1</v>
      </c>
      <c r="BF69" s="136">
        <f>IF(BE69="","",IRR(BG69:BV69))</f>
        <v>1.4780740929969838E-2</v>
      </c>
      <c r="BG69" s="73">
        <f t="shared" si="105"/>
        <v>-26325437.079999998</v>
      </c>
      <c r="BH69" s="73">
        <f>(BH66&lt;&gt;"") * (BE69&lt;&gt;"") * ((BH66&lt;=BE69)*(-BH14+BH25) + (BH66=BE69)*BH34)</f>
        <v>26714546.545347694</v>
      </c>
      <c r="BI69" s="73"/>
      <c r="BJ69" s="73"/>
      <c r="BK69" s="73"/>
      <c r="BL69" s="73"/>
      <c r="BM69" s="73"/>
      <c r="BN69" s="73"/>
      <c r="BO69" s="73"/>
      <c r="BP69" s="73"/>
      <c r="BQ69" s="73"/>
      <c r="BR69" s="73" t="str">
        <f t="shared" si="106"/>
        <v/>
      </c>
      <c r="BS69" s="73" t="str">
        <f t="shared" si="106"/>
        <v/>
      </c>
      <c r="BT69" s="73" t="str">
        <f t="shared" si="106"/>
        <v/>
      </c>
      <c r="BU69" s="73" t="str">
        <f t="shared" si="106"/>
        <v/>
      </c>
      <c r="BV69" s="73" t="str">
        <f t="shared" si="106"/>
        <v/>
      </c>
      <c r="BW69" s="165"/>
      <c r="BZ69" s="422" t="s">
        <v>306</v>
      </c>
      <c r="CA69" s="216"/>
    </row>
    <row r="70" spans="2:97">
      <c r="B70" s="110" t="s">
        <v>335</v>
      </c>
      <c r="C70" s="275"/>
      <c r="D70" s="270"/>
      <c r="E70" s="270"/>
      <c r="F70" s="270"/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>
        <v>0</v>
      </c>
      <c r="Q70" s="46">
        <v>0</v>
      </c>
      <c r="R70" s="46">
        <v>0</v>
      </c>
      <c r="S70" s="46">
        <v>0</v>
      </c>
      <c r="T70" s="46">
        <v>0</v>
      </c>
      <c r="U70" s="250"/>
      <c r="V70" s="250"/>
      <c r="Z70" s="67" t="s">
        <v>244</v>
      </c>
      <c r="AA70" s="260"/>
      <c r="AB70" s="69">
        <f t="shared" si="100"/>
        <v>0</v>
      </c>
      <c r="AC70" s="198"/>
      <c r="AG70" s="165"/>
      <c r="AH70" s="165"/>
      <c r="AI70" s="165"/>
      <c r="AJ70" s="400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381"/>
      <c r="BB70" s="165"/>
      <c r="BC70" s="165"/>
      <c r="BD70" s="165"/>
      <c r="BE70" s="256">
        <f>BI66</f>
        <v>2</v>
      </c>
      <c r="BF70" s="136">
        <f t="shared" ref="BF70:BF83" si="107">IF(BE70="","",IRR(BG70:BV70))</f>
        <v>3.580724862074125E-2</v>
      </c>
      <c r="BG70" s="73">
        <f t="shared" si="105"/>
        <v>-26325437.079999998</v>
      </c>
      <c r="BH70" s="73">
        <f t="shared" ref="BH70:BQ78" si="108">(BH$66&lt;&gt;"") * ($BE70&lt;&gt;"") * ((BH$66&lt;=$BE70)*(-BH$14+BH$25) + (BH$66=$BE70)*BH$34)</f>
        <v>1661670.35928</v>
      </c>
      <c r="BI70" s="73">
        <f t="shared" si="108"/>
        <v>26523303.215683054</v>
      </c>
      <c r="BJ70" s="73">
        <f>(BJ$66&lt;&gt;"") * ($BE$70&lt;&gt;"") * ((BJ$66&lt;=$BE$70)*(-BJ$14+BJ$25) + (BJ$66=$BE$70)*BJ$34)</f>
        <v>0</v>
      </c>
      <c r="BK70" s="73" t="str">
        <f t="shared" ref="BK70:BQ71" si="109">IF(OR(BK$65="",$AU70=""),"",(BK$65&lt;=$AU70)*(-BK$13+BK$24)+(BK$65=$AU70)*BK$33)</f>
        <v/>
      </c>
      <c r="BL70" s="73" t="str">
        <f t="shared" si="109"/>
        <v/>
      </c>
      <c r="BM70" s="73" t="str">
        <f t="shared" si="109"/>
        <v/>
      </c>
      <c r="BN70" s="73" t="str">
        <f t="shared" si="109"/>
        <v/>
      </c>
      <c r="BO70" s="73" t="str">
        <f t="shared" si="109"/>
        <v/>
      </c>
      <c r="BP70" s="73" t="str">
        <f t="shared" si="109"/>
        <v/>
      </c>
      <c r="BQ70" s="73" t="str">
        <f t="shared" si="109"/>
        <v/>
      </c>
      <c r="BR70" s="73" t="str">
        <f t="shared" si="106"/>
        <v/>
      </c>
      <c r="BS70" s="73" t="str">
        <f t="shared" si="106"/>
        <v/>
      </c>
      <c r="BT70" s="73" t="str">
        <f t="shared" si="106"/>
        <v/>
      </c>
      <c r="BU70" s="73" t="str">
        <f t="shared" si="106"/>
        <v/>
      </c>
      <c r="BV70" s="73" t="str">
        <f t="shared" si="106"/>
        <v/>
      </c>
      <c r="BW70" s="165"/>
      <c r="BZ70" s="422" t="s">
        <v>336</v>
      </c>
      <c r="CA70" s="216"/>
    </row>
    <row r="71" spans="2:97">
      <c r="B71" s="110" t="s">
        <v>337</v>
      </c>
      <c r="C71" s="275"/>
      <c r="D71" s="270"/>
      <c r="E71" s="270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250"/>
      <c r="V71" s="250"/>
      <c r="Z71" s="103" t="s">
        <v>224</v>
      </c>
      <c r="AA71" s="260"/>
      <c r="AB71" s="69">
        <f>SUM(AB63:AB70)</f>
        <v>6.8000000000000005E-2</v>
      </c>
      <c r="AC71" s="198"/>
      <c r="AG71" s="165"/>
      <c r="AH71" s="165"/>
      <c r="AI71" s="165"/>
      <c r="AJ71" s="400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381"/>
      <c r="BB71" s="165"/>
      <c r="BC71" s="165"/>
      <c r="BD71" s="165"/>
      <c r="BE71" s="256">
        <f>BJ66</f>
        <v>3</v>
      </c>
      <c r="BF71" s="136">
        <f t="shared" si="107"/>
        <v>4.307658397880898E-2</v>
      </c>
      <c r="BG71" s="73">
        <f t="shared" si="105"/>
        <v>-26325437.079999998</v>
      </c>
      <c r="BH71" s="73">
        <f t="shared" si="108"/>
        <v>1661670.35928</v>
      </c>
      <c r="BI71" s="73">
        <f t="shared" si="108"/>
        <v>1661670.35928</v>
      </c>
      <c r="BJ71" s="73">
        <f t="shared" si="108"/>
        <v>26334957.512225457</v>
      </c>
      <c r="BK71" s="73" t="str">
        <f t="shared" si="109"/>
        <v/>
      </c>
      <c r="BL71" s="73" t="str">
        <f t="shared" si="109"/>
        <v/>
      </c>
      <c r="BM71" s="73" t="str">
        <f t="shared" si="109"/>
        <v/>
      </c>
      <c r="BN71" s="73" t="str">
        <f t="shared" si="109"/>
        <v/>
      </c>
      <c r="BO71" s="73" t="str">
        <f t="shared" si="109"/>
        <v/>
      </c>
      <c r="BP71" s="73" t="str">
        <f t="shared" si="109"/>
        <v/>
      </c>
      <c r="BQ71" s="73" t="str">
        <f t="shared" si="109"/>
        <v/>
      </c>
      <c r="BR71" s="73" t="str">
        <f t="shared" si="106"/>
        <v/>
      </c>
      <c r="BS71" s="73" t="str">
        <f t="shared" si="106"/>
        <v/>
      </c>
      <c r="BT71" s="73" t="str">
        <f t="shared" si="106"/>
        <v/>
      </c>
      <c r="BU71" s="73" t="str">
        <f t="shared" si="106"/>
        <v/>
      </c>
      <c r="BV71" s="73" t="str">
        <f t="shared" si="106"/>
        <v/>
      </c>
      <c r="BW71" s="165"/>
      <c r="BZ71" s="422" t="s">
        <v>311</v>
      </c>
      <c r="CA71" s="216"/>
    </row>
    <row r="72" spans="2:97"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32"/>
      <c r="V72" s="232"/>
      <c r="Z72" s="103"/>
      <c r="AA72" s="260"/>
      <c r="AB72" s="69"/>
      <c r="AC72" s="198"/>
      <c r="AG72" s="165"/>
      <c r="AH72" s="165"/>
      <c r="AI72" s="165"/>
      <c r="AJ72" s="400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381"/>
      <c r="BB72" s="165"/>
      <c r="BC72" s="165"/>
      <c r="BD72" s="165"/>
      <c r="BE72" s="256">
        <f>BK66</f>
        <v>4</v>
      </c>
      <c r="BF72" s="136">
        <f t="shared" si="107"/>
        <v>4.6848525719384471E-2</v>
      </c>
      <c r="BG72" s="73">
        <f t="shared" si="105"/>
        <v>-26325437.079999998</v>
      </c>
      <c r="BH72" s="73">
        <f t="shared" si="108"/>
        <v>1661670.35928</v>
      </c>
      <c r="BI72" s="73">
        <f t="shared" si="108"/>
        <v>1661670.35928</v>
      </c>
      <c r="BJ72" s="73">
        <f t="shared" si="108"/>
        <v>1661670.35928</v>
      </c>
      <c r="BK72" s="73">
        <f t="shared" si="108"/>
        <v>26149444.074985262</v>
      </c>
      <c r="BL72" s="73">
        <f t="shared" si="108"/>
        <v>0</v>
      </c>
      <c r="BM72" s="73">
        <f t="shared" si="108"/>
        <v>0</v>
      </c>
      <c r="BN72" s="73">
        <f t="shared" si="108"/>
        <v>0</v>
      </c>
      <c r="BO72" s="73">
        <f t="shared" si="108"/>
        <v>0</v>
      </c>
      <c r="BP72" s="73">
        <f t="shared" si="108"/>
        <v>0</v>
      </c>
      <c r="BQ72" s="73">
        <f t="shared" si="108"/>
        <v>0</v>
      </c>
      <c r="BR72" s="73" t="str">
        <f t="shared" si="106"/>
        <v/>
      </c>
      <c r="BS72" s="73" t="str">
        <f t="shared" si="106"/>
        <v/>
      </c>
      <c r="BT72" s="73" t="str">
        <f t="shared" si="106"/>
        <v/>
      </c>
      <c r="BU72" s="73" t="str">
        <f t="shared" si="106"/>
        <v/>
      </c>
      <c r="BV72" s="73" t="str">
        <f t="shared" si="106"/>
        <v/>
      </c>
      <c r="BW72" s="165"/>
      <c r="BZ72" s="422" t="s">
        <v>338</v>
      </c>
      <c r="CA72" s="216"/>
    </row>
    <row r="73" spans="2:97">
      <c r="Z73" s="106" t="s">
        <v>227</v>
      </c>
      <c r="AA73" s="260"/>
      <c r="AB73" s="158">
        <f>AB61-AB71</f>
        <v>-6.8000000000000005E-2</v>
      </c>
      <c r="AC73" s="198"/>
      <c r="AG73" s="165"/>
      <c r="AH73" s="165"/>
      <c r="AI73" s="165"/>
      <c r="AJ73" s="400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381"/>
      <c r="BB73" s="165"/>
      <c r="BC73" s="165"/>
      <c r="BD73" s="165"/>
      <c r="BE73" s="256">
        <f>BL66</f>
        <v>5</v>
      </c>
      <c r="BF73" s="136">
        <f t="shared" si="107"/>
        <v>4.920903070412197E-2</v>
      </c>
      <c r="BG73" s="73">
        <f t="shared" si="105"/>
        <v>-26325437.079999998</v>
      </c>
      <c r="BH73" s="73">
        <f t="shared" si="108"/>
        <v>1661670.35928</v>
      </c>
      <c r="BI73" s="73">
        <f t="shared" si="108"/>
        <v>1661670.35928</v>
      </c>
      <c r="BJ73" s="73">
        <f t="shared" si="108"/>
        <v>1661670.35928</v>
      </c>
      <c r="BK73" s="73">
        <f t="shared" si="108"/>
        <v>1661670.35928</v>
      </c>
      <c r="BL73" s="73">
        <f t="shared" si="108"/>
        <v>25966699.495017312</v>
      </c>
      <c r="BM73" s="73">
        <f t="shared" si="108"/>
        <v>0</v>
      </c>
      <c r="BN73" s="73">
        <f t="shared" si="108"/>
        <v>0</v>
      </c>
      <c r="BO73" s="73">
        <f t="shared" si="108"/>
        <v>0</v>
      </c>
      <c r="BP73" s="73">
        <f t="shared" si="108"/>
        <v>0</v>
      </c>
      <c r="BQ73" s="73">
        <f t="shared" si="108"/>
        <v>0</v>
      </c>
      <c r="BR73" s="73" t="str">
        <f t="shared" si="106"/>
        <v/>
      </c>
      <c r="BS73" s="73" t="str">
        <f t="shared" si="106"/>
        <v/>
      </c>
      <c r="BT73" s="73" t="str">
        <f t="shared" si="106"/>
        <v/>
      </c>
      <c r="BU73" s="73" t="str">
        <f t="shared" si="106"/>
        <v/>
      </c>
      <c r="BV73" s="73" t="str">
        <f t="shared" si="106"/>
        <v/>
      </c>
      <c r="BW73" s="165"/>
      <c r="BZ73" s="422" t="str">
        <f>"Distributions to LP "&amp;BZ67</f>
        <v>Distributions to LP Tier 2</v>
      </c>
      <c r="CA73" s="216"/>
    </row>
    <row r="74" spans="2:97"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Z74" s="103"/>
      <c r="AA74" s="260"/>
      <c r="AB74" s="69"/>
      <c r="AC74" s="198"/>
      <c r="AG74" s="165"/>
      <c r="AH74" s="165"/>
      <c r="AI74" s="165"/>
      <c r="AJ74" s="400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381"/>
      <c r="BB74" s="165"/>
      <c r="BC74" s="165"/>
      <c r="BD74" s="165"/>
      <c r="BE74" s="256">
        <f>BM66</f>
        <v>6</v>
      </c>
      <c r="BF74" s="136">
        <f t="shared" si="107"/>
        <v>6.5153477449569452E-2</v>
      </c>
      <c r="BG74" s="73">
        <f t="shared" si="105"/>
        <v>-26325437.079999998</v>
      </c>
      <c r="BH74" s="73">
        <f t="shared" si="108"/>
        <v>1661670.35928</v>
      </c>
      <c r="BI74" s="73">
        <f t="shared" si="108"/>
        <v>1661670.35928</v>
      </c>
      <c r="BJ74" s="73">
        <f t="shared" si="108"/>
        <v>1661670.35928</v>
      </c>
      <c r="BK74" s="73">
        <f t="shared" si="108"/>
        <v>1661670.35928</v>
      </c>
      <c r="BL74" s="73">
        <f t="shared" si="108"/>
        <v>1661670.35928</v>
      </c>
      <c r="BM74" s="73">
        <f t="shared" si="108"/>
        <v>28365328.466375999</v>
      </c>
      <c r="BN74" s="73">
        <f t="shared" si="108"/>
        <v>0</v>
      </c>
      <c r="BO74" s="73">
        <f t="shared" si="108"/>
        <v>0</v>
      </c>
      <c r="BP74" s="73">
        <f t="shared" si="108"/>
        <v>0</v>
      </c>
      <c r="BQ74" s="73">
        <f t="shared" si="108"/>
        <v>0</v>
      </c>
      <c r="BR74" s="73" t="str">
        <f t="shared" si="106"/>
        <v/>
      </c>
      <c r="BS74" s="73" t="str">
        <f t="shared" si="106"/>
        <v/>
      </c>
      <c r="BT74" s="73" t="str">
        <f t="shared" si="106"/>
        <v/>
      </c>
      <c r="BU74" s="73" t="str">
        <f t="shared" si="106"/>
        <v/>
      </c>
      <c r="BV74" s="73" t="str">
        <f t="shared" si="106"/>
        <v/>
      </c>
      <c r="BW74" s="165"/>
      <c r="BZ74" s="422" t="s">
        <v>314</v>
      </c>
      <c r="CA74" s="216"/>
    </row>
    <row r="75" spans="2:97"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232"/>
      <c r="V75" s="232"/>
      <c r="Z75" s="67" t="s">
        <v>263</v>
      </c>
      <c r="AA75" s="260"/>
      <c r="AB75" s="159">
        <f>E59/$D$16</f>
        <v>0</v>
      </c>
      <c r="AC75" s="198"/>
      <c r="AG75" s="165"/>
      <c r="AH75" s="165"/>
      <c r="AI75" s="165"/>
      <c r="AJ75" s="400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381"/>
      <c r="BB75" s="165"/>
      <c r="BC75" s="165"/>
      <c r="BD75" s="165"/>
      <c r="BE75" s="256">
        <f>BN66</f>
        <v>7</v>
      </c>
      <c r="BF75" s="136">
        <f t="shared" si="107"/>
        <v>6.4726245553071937E-2</v>
      </c>
      <c r="BG75" s="73">
        <f t="shared" si="105"/>
        <v>-26325437.079999998</v>
      </c>
      <c r="BH75" s="73">
        <f t="shared" si="108"/>
        <v>1661670.35928</v>
      </c>
      <c r="BI75" s="73">
        <f t="shared" si="108"/>
        <v>1661670.35928</v>
      </c>
      <c r="BJ75" s="73">
        <f t="shared" si="108"/>
        <v>1661670.35928</v>
      </c>
      <c r="BK75" s="73">
        <f t="shared" si="108"/>
        <v>1661670.35928</v>
      </c>
      <c r="BL75" s="73">
        <f t="shared" si="108"/>
        <v>1661670.35928</v>
      </c>
      <c r="BM75" s="73">
        <f t="shared" si="108"/>
        <v>1827837.395208</v>
      </c>
      <c r="BN75" s="73">
        <f t="shared" si="108"/>
        <v>28170199.855558585</v>
      </c>
      <c r="BO75" s="73">
        <f t="shared" si="108"/>
        <v>0</v>
      </c>
      <c r="BP75" s="73">
        <f t="shared" si="108"/>
        <v>0</v>
      </c>
      <c r="BQ75" s="73">
        <f t="shared" si="108"/>
        <v>0</v>
      </c>
      <c r="BR75" s="73" t="str">
        <f t="shared" si="106"/>
        <v/>
      </c>
      <c r="BS75" s="73" t="str">
        <f t="shared" si="106"/>
        <v/>
      </c>
      <c r="BT75" s="73" t="str">
        <f t="shared" si="106"/>
        <v/>
      </c>
      <c r="BU75" s="73" t="str">
        <f t="shared" si="106"/>
        <v/>
      </c>
      <c r="BV75" s="73" t="str">
        <f t="shared" si="106"/>
        <v/>
      </c>
      <c r="BW75" s="165"/>
      <c r="BZ75" s="429" t="str">
        <f>CA68</f>
        <v> </v>
      </c>
      <c r="CA75" s="216"/>
    </row>
    <row r="76" spans="2:97"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Z76" s="67" t="s">
        <v>269</v>
      </c>
      <c r="AA76" s="260"/>
      <c r="AB76" s="159">
        <f>E60/$D$16</f>
        <v>0</v>
      </c>
      <c r="AC76" s="198"/>
      <c r="AG76" s="165"/>
      <c r="AH76" s="165"/>
      <c r="AI76" s="165"/>
      <c r="AJ76" s="400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381"/>
      <c r="BB76" s="165"/>
      <c r="BC76" s="165"/>
      <c r="BD76" s="165"/>
      <c r="BE76" s="256">
        <f>BO66</f>
        <v>8</v>
      </c>
      <c r="BF76" s="136">
        <f t="shared" si="107"/>
        <v>6.4464805201356778E-2</v>
      </c>
      <c r="BG76" s="73">
        <f t="shared" si="105"/>
        <v>-26325437.079999998</v>
      </c>
      <c r="BH76" s="73">
        <f t="shared" si="108"/>
        <v>1661670.35928</v>
      </c>
      <c r="BI76" s="73">
        <f t="shared" si="108"/>
        <v>1661670.35928</v>
      </c>
      <c r="BJ76" s="73">
        <f t="shared" si="108"/>
        <v>1661670.35928</v>
      </c>
      <c r="BK76" s="73">
        <f t="shared" si="108"/>
        <v>1661670.35928</v>
      </c>
      <c r="BL76" s="73">
        <f t="shared" si="108"/>
        <v>1661670.35928</v>
      </c>
      <c r="BM76" s="73">
        <f t="shared" si="108"/>
        <v>1827837.395208</v>
      </c>
      <c r="BN76" s="73">
        <f t="shared" si="108"/>
        <v>1827837.395208</v>
      </c>
      <c r="BO76" s="73">
        <f t="shared" si="108"/>
        <v>27977919.837599825</v>
      </c>
      <c r="BP76" s="73">
        <f t="shared" si="108"/>
        <v>0</v>
      </c>
      <c r="BQ76" s="73">
        <f t="shared" si="108"/>
        <v>0</v>
      </c>
      <c r="BR76" s="73" t="str">
        <f t="shared" si="106"/>
        <v/>
      </c>
      <c r="BS76" s="73" t="str">
        <f t="shared" si="106"/>
        <v/>
      </c>
      <c r="BT76" s="73" t="str">
        <f t="shared" si="106"/>
        <v/>
      </c>
      <c r="BU76" s="73" t="str">
        <f t="shared" si="106"/>
        <v/>
      </c>
      <c r="BV76" s="73" t="str">
        <f t="shared" si="106"/>
        <v/>
      </c>
      <c r="BW76" s="165"/>
      <c r="BZ76" s="430" t="s">
        <v>158</v>
      </c>
      <c r="CA76" s="252" t="s">
        <v>158</v>
      </c>
    </row>
    <row r="77" spans="2:97"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Z77" s="67" t="s">
        <v>272</v>
      </c>
      <c r="AA77" s="260"/>
      <c r="AB77" s="115">
        <f>E61/$D$16</f>
        <v>0</v>
      </c>
      <c r="AC77" s="198"/>
      <c r="AG77" s="165"/>
      <c r="AH77" s="165"/>
      <c r="AI77" s="165"/>
      <c r="AJ77" s="400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381"/>
      <c r="BB77" s="165"/>
      <c r="BC77" s="165"/>
      <c r="BD77" s="165"/>
      <c r="BE77" s="256">
        <f>BP66</f>
        <v>9</v>
      </c>
      <c r="BF77" s="136">
        <f t="shared" si="107"/>
        <v>6.4311155676273213E-2</v>
      </c>
      <c r="BG77" s="73">
        <f t="shared" si="105"/>
        <v>-26325437.079999998</v>
      </c>
      <c r="BH77" s="73">
        <f t="shared" si="108"/>
        <v>1661670.35928</v>
      </c>
      <c r="BI77" s="73">
        <f t="shared" si="108"/>
        <v>1661670.35928</v>
      </c>
      <c r="BJ77" s="73">
        <f t="shared" si="108"/>
        <v>1661670.35928</v>
      </c>
      <c r="BK77" s="73">
        <f t="shared" si="108"/>
        <v>1661670.35928</v>
      </c>
      <c r="BL77" s="73">
        <f t="shared" si="108"/>
        <v>1661670.35928</v>
      </c>
      <c r="BM77" s="73">
        <f t="shared" si="108"/>
        <v>1827837.395208</v>
      </c>
      <c r="BN77" s="73">
        <f t="shared" si="108"/>
        <v>1827837.395208</v>
      </c>
      <c r="BO77" s="73">
        <f t="shared" si="108"/>
        <v>1827837.395208</v>
      </c>
      <c r="BP77" s="73">
        <f t="shared" si="108"/>
        <v>27788426.486568</v>
      </c>
      <c r="BQ77" s="73">
        <f t="shared" si="108"/>
        <v>0</v>
      </c>
      <c r="BR77" s="73" t="str">
        <f t="shared" si="106"/>
        <v/>
      </c>
      <c r="BS77" s="73" t="str">
        <f t="shared" si="106"/>
        <v/>
      </c>
      <c r="BT77" s="73" t="str">
        <f t="shared" si="106"/>
        <v/>
      </c>
      <c r="BU77" s="73" t="str">
        <f t="shared" si="106"/>
        <v/>
      </c>
      <c r="BV77" s="73" t="str">
        <f t="shared" si="106"/>
        <v/>
      </c>
      <c r="BW77" s="165"/>
      <c r="BZ77" s="422" t="s">
        <v>315</v>
      </c>
      <c r="CA77" s="216"/>
    </row>
    <row r="78" spans="2:97">
      <c r="U78" s="164"/>
      <c r="V78" s="164"/>
      <c r="Z78" s="67" t="s">
        <v>276</v>
      </c>
      <c r="AA78" s="260"/>
      <c r="AB78" s="159">
        <f>E62/$D$16</f>
        <v>0</v>
      </c>
      <c r="AC78" s="198"/>
      <c r="AG78" s="165"/>
      <c r="AH78" s="165"/>
      <c r="AI78" s="165"/>
      <c r="AJ78" s="400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381"/>
      <c r="BB78" s="165"/>
      <c r="BC78" s="165"/>
      <c r="BD78" s="165"/>
      <c r="BE78" s="256">
        <f>BQ66</f>
        <v>10</v>
      </c>
      <c r="BF78" s="136">
        <f t="shared" si="107"/>
        <v>6.4230703684228674E-2</v>
      </c>
      <c r="BG78" s="73">
        <f t="shared" si="105"/>
        <v>-26325437.079999998</v>
      </c>
      <c r="BH78" s="73">
        <f t="shared" si="108"/>
        <v>1661670.35928</v>
      </c>
      <c r="BI78" s="73">
        <f t="shared" si="108"/>
        <v>1661670.35928</v>
      </c>
      <c r="BJ78" s="73">
        <f t="shared" si="108"/>
        <v>1661670.35928</v>
      </c>
      <c r="BK78" s="73">
        <f t="shared" si="108"/>
        <v>1661670.35928</v>
      </c>
      <c r="BL78" s="73">
        <f t="shared" si="108"/>
        <v>1661670.35928</v>
      </c>
      <c r="BM78" s="73">
        <f t="shared" si="108"/>
        <v>1827837.395208</v>
      </c>
      <c r="BN78" s="73">
        <f t="shared" si="108"/>
        <v>1827837.395208</v>
      </c>
      <c r="BO78" s="73">
        <f t="shared" si="108"/>
        <v>1827837.395208</v>
      </c>
      <c r="BP78" s="73">
        <f t="shared" si="108"/>
        <v>1827837.395208</v>
      </c>
      <c r="BQ78" s="137">
        <f t="shared" si="108"/>
        <v>27601659.658572603</v>
      </c>
      <c r="BR78" s="73" t="str">
        <f t="shared" si="106"/>
        <v/>
      </c>
      <c r="BS78" s="73" t="str">
        <f t="shared" si="106"/>
        <v/>
      </c>
      <c r="BT78" s="73" t="str">
        <f t="shared" si="106"/>
        <v/>
      </c>
      <c r="BU78" s="73" t="str">
        <f t="shared" si="106"/>
        <v/>
      </c>
      <c r="BV78" s="73" t="str">
        <f t="shared" si="106"/>
        <v/>
      </c>
      <c r="BW78" s="165"/>
      <c r="BZ78" s="422" t="s">
        <v>321</v>
      </c>
      <c r="CA78" s="216"/>
    </row>
    <row r="79" spans="2:97">
      <c r="Z79" s="103" t="s">
        <v>233</v>
      </c>
      <c r="AA79" s="260"/>
      <c r="AB79" s="69">
        <f>SUM(AB75:AB78)</f>
        <v>0</v>
      </c>
      <c r="AC79" s="198"/>
      <c r="AG79" s="165"/>
      <c r="AH79" s="165"/>
      <c r="AI79" s="165"/>
      <c r="AJ79" s="400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381"/>
      <c r="BB79" s="165"/>
      <c r="BC79" s="165"/>
      <c r="BD79" s="165"/>
      <c r="BE79" s="256" t="str">
        <f>BR66</f>
        <v/>
      </c>
      <c r="BF79" s="136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165"/>
      <c r="BZ79" s="422" t="str">
        <f>"Total Distributions ("&amp;BZ67&amp;")"</f>
        <v>Total Distributions (Tier 2)</v>
      </c>
      <c r="CA79" s="216"/>
    </row>
    <row r="80" spans="2:97" ht="15.75">
      <c r="B80" s="172"/>
      <c r="C80" s="173" t="s">
        <v>1</v>
      </c>
      <c r="D80" s="176"/>
      <c r="E80" s="173" t="s">
        <v>1</v>
      </c>
      <c r="G80" s="332"/>
      <c r="H80" s="332"/>
      <c r="I80" s="332"/>
      <c r="J80" s="332" t="s">
        <v>1</v>
      </c>
      <c r="K80" s="332" t="s">
        <v>1</v>
      </c>
      <c r="L80" s="332" t="s">
        <v>1</v>
      </c>
      <c r="M80" s="332" t="s">
        <v>1</v>
      </c>
      <c r="N80" s="332" t="s">
        <v>1</v>
      </c>
      <c r="O80" s="332" t="s">
        <v>1</v>
      </c>
      <c r="P80" s="173" t="s">
        <v>1</v>
      </c>
      <c r="Z80" s="103"/>
      <c r="AA80" s="260"/>
      <c r="AB80" s="69"/>
      <c r="AC80" s="198"/>
      <c r="AG80" s="165"/>
      <c r="AH80" s="165"/>
      <c r="AI80" s="165"/>
      <c r="AJ80" s="400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381"/>
      <c r="BB80" s="165"/>
      <c r="BC80" s="165"/>
      <c r="BD80" s="165"/>
      <c r="BE80" s="256" t="str">
        <f>BS66</f>
        <v/>
      </c>
      <c r="BF80" s="136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165"/>
      <c r="BZ80" s="422" t="s">
        <v>328</v>
      </c>
      <c r="CA80" s="216"/>
    </row>
    <row r="81" spans="2:97" ht="15.75">
      <c r="B81" s="333"/>
      <c r="C81" s="332" t="s">
        <v>1</v>
      </c>
      <c r="D81" s="178"/>
      <c r="E81" s="332" t="s">
        <v>7</v>
      </c>
      <c r="F81" s="332"/>
      <c r="G81" s="332"/>
      <c r="H81" s="332"/>
      <c r="I81" s="332"/>
      <c r="J81" s="332" t="s">
        <v>1</v>
      </c>
      <c r="K81" s="332" t="s">
        <v>1</v>
      </c>
      <c r="L81" s="332" t="s">
        <v>1</v>
      </c>
      <c r="M81" s="332" t="s">
        <v>1</v>
      </c>
      <c r="N81" s="332" t="s">
        <v>1</v>
      </c>
      <c r="O81" s="332" t="s">
        <v>1</v>
      </c>
      <c r="P81" s="332" t="s">
        <v>1</v>
      </c>
      <c r="Z81" s="106" t="s">
        <v>237</v>
      </c>
      <c r="AA81" s="260"/>
      <c r="AB81" s="158">
        <f>AB73-AB79</f>
        <v>-6.8000000000000005E-2</v>
      </c>
      <c r="AC81" s="198"/>
      <c r="AG81" s="165"/>
      <c r="AH81" s="165"/>
      <c r="AI81" s="165"/>
      <c r="AJ81" s="400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381"/>
      <c r="BB81" s="165"/>
      <c r="BC81" s="165"/>
      <c r="BD81" s="165"/>
      <c r="BE81" s="256" t="str">
        <f>BT66</f>
        <v/>
      </c>
      <c r="BF81" s="136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165"/>
      <c r="BZ81" s="422"/>
      <c r="CA81" s="216"/>
    </row>
    <row r="82" spans="2:97" ht="15.75">
      <c r="Z82" s="260"/>
      <c r="AA82" s="260"/>
      <c r="AB82" s="260"/>
      <c r="AC82" s="198"/>
      <c r="AG82" s="165"/>
      <c r="AH82" s="165"/>
      <c r="AI82" s="165"/>
      <c r="AJ82" s="400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381"/>
      <c r="BB82" s="165"/>
      <c r="BC82" s="165"/>
      <c r="BD82" s="165"/>
      <c r="BE82" s="256" t="str">
        <f>BU66</f>
        <v/>
      </c>
      <c r="BF82" s="136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165"/>
      <c r="BZ82" s="431" t="s">
        <v>339</v>
      </c>
      <c r="CA82" s="240"/>
      <c r="CB82" s="240"/>
      <c r="CC82" s="240"/>
      <c r="CD82" s="344" t="str">
        <f t="shared" ref="CD82:CN82" si="110">CD67</f>
        <v>Year 0</v>
      </c>
      <c r="CE82" s="344" t="str">
        <f t="shared" si="110"/>
        <v>Year 1</v>
      </c>
      <c r="CF82" s="344" t="str">
        <f t="shared" si="110"/>
        <v>Year 2</v>
      </c>
      <c r="CG82" s="344" t="str">
        <f t="shared" si="110"/>
        <v>Year 3</v>
      </c>
      <c r="CH82" s="344" t="str">
        <f t="shared" si="110"/>
        <v>Year 4</v>
      </c>
      <c r="CI82" s="344" t="str">
        <f t="shared" si="110"/>
        <v>Year 5</v>
      </c>
      <c r="CJ82" s="344" t="str">
        <f t="shared" si="110"/>
        <v>Year 6</v>
      </c>
      <c r="CK82" s="344" t="str">
        <f t="shared" si="110"/>
        <v>Year 7</v>
      </c>
      <c r="CL82" s="344" t="str">
        <f t="shared" si="110"/>
        <v>Year 8</v>
      </c>
      <c r="CM82" s="344" t="str">
        <f t="shared" si="110"/>
        <v>Year 9</v>
      </c>
      <c r="CN82" s="344" t="str">
        <f t="shared" si="110"/>
        <v>Year 10</v>
      </c>
      <c r="CO82" s="200" t="s">
        <v>1</v>
      </c>
      <c r="CP82" s="242" t="str">
        <f>CP$20</f>
        <v> </v>
      </c>
      <c r="CQ82" s="242" t="str">
        <f>CQ$20</f>
        <v> </v>
      </c>
      <c r="CR82" s="242" t="str">
        <f>CR$20</f>
        <v> </v>
      </c>
      <c r="CS82" s="242" t="str">
        <f>CS$20</f>
        <v> </v>
      </c>
    </row>
    <row r="83" spans="2:97"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Z83" s="253"/>
      <c r="AA83" s="253"/>
      <c r="AB83" s="253"/>
      <c r="AG83" s="165"/>
      <c r="AH83" s="165"/>
      <c r="AI83" s="165"/>
      <c r="AJ83" s="400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381"/>
      <c r="BB83" s="165"/>
      <c r="BC83" s="165"/>
      <c r="BD83" s="165"/>
      <c r="BE83" s="256" t="str">
        <f>BV66</f>
        <v/>
      </c>
      <c r="BF83" s="136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165"/>
      <c r="BZ83" s="428" t="s">
        <v>305</v>
      </c>
      <c r="CA83" s="251" t="str">
        <f>CA19</f>
        <v> </v>
      </c>
    </row>
    <row r="84" spans="2:97">
      <c r="B84" s="334" t="s">
        <v>340</v>
      </c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Z84" s="253"/>
      <c r="AA84" s="253"/>
      <c r="AB84" s="253"/>
      <c r="AG84" s="165"/>
      <c r="AH84" s="165"/>
      <c r="AI84" s="165"/>
      <c r="AJ84" s="400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381"/>
      <c r="BB84" s="165"/>
      <c r="BC84" s="165"/>
      <c r="BD84" s="165"/>
      <c r="BE84" s="254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65"/>
      <c r="BZ84" s="422" t="s">
        <v>306</v>
      </c>
      <c r="CA84" s="216"/>
    </row>
    <row r="85" spans="2:97"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164"/>
      <c r="V85" s="164"/>
      <c r="Z85" s="253"/>
      <c r="AA85" s="253"/>
      <c r="AB85" s="253"/>
      <c r="AG85" s="165"/>
      <c r="AH85" s="165"/>
      <c r="AI85" s="165"/>
      <c r="AJ85" s="400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381"/>
      <c r="BB85" s="165"/>
      <c r="BC85" s="165"/>
      <c r="BD85" s="165"/>
      <c r="BE85" s="268" t="s">
        <v>341</v>
      </c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165"/>
      <c r="BZ85" s="422" t="s">
        <v>342</v>
      </c>
      <c r="CA85" s="216"/>
    </row>
    <row r="86" spans="2:97">
      <c r="B86" s="334" t="s">
        <v>343</v>
      </c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225"/>
      <c r="P86" s="225"/>
      <c r="Q86" s="225"/>
      <c r="R86" s="225"/>
      <c r="S86" s="225"/>
      <c r="T86" s="225"/>
      <c r="U86" s="164"/>
      <c r="V86" s="164"/>
      <c r="AG86" s="165"/>
      <c r="AH86" s="165"/>
      <c r="AI86" s="165"/>
      <c r="AJ86" s="400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381"/>
      <c r="BB86" s="165"/>
      <c r="BC86" s="165"/>
      <c r="BD86" s="165"/>
      <c r="BE86" s="66" t="s">
        <v>330</v>
      </c>
      <c r="BF86" s="59"/>
      <c r="BG86" s="65">
        <f t="shared" ref="BG86:BV86" si="111">IF(BG$42="","",BG$7)</f>
        <v>0</v>
      </c>
      <c r="BH86" s="65">
        <f t="shared" ref="BH86:BQ86" si="112">BH8</f>
        <v>1</v>
      </c>
      <c r="BI86" s="65">
        <f t="shared" si="112"/>
        <v>2</v>
      </c>
      <c r="BJ86" s="65">
        <f t="shared" si="112"/>
        <v>3</v>
      </c>
      <c r="BK86" s="65">
        <f t="shared" si="112"/>
        <v>4</v>
      </c>
      <c r="BL86" s="65">
        <f t="shared" si="112"/>
        <v>5</v>
      </c>
      <c r="BM86" s="65">
        <f t="shared" si="112"/>
        <v>6</v>
      </c>
      <c r="BN86" s="65">
        <f t="shared" si="112"/>
        <v>7</v>
      </c>
      <c r="BO86" s="65">
        <f t="shared" si="112"/>
        <v>8</v>
      </c>
      <c r="BP86" s="65">
        <f t="shared" si="112"/>
        <v>9</v>
      </c>
      <c r="BQ86" s="65">
        <f t="shared" si="112"/>
        <v>10</v>
      </c>
      <c r="BR86" s="65" t="str">
        <f t="shared" si="111"/>
        <v/>
      </c>
      <c r="BS86" s="65" t="str">
        <f t="shared" si="111"/>
        <v/>
      </c>
      <c r="BT86" s="65" t="str">
        <f t="shared" si="111"/>
        <v/>
      </c>
      <c r="BU86" s="65" t="str">
        <f t="shared" si="111"/>
        <v/>
      </c>
      <c r="BV86" s="65" t="str">
        <f t="shared" si="111"/>
        <v/>
      </c>
      <c r="BW86" s="165"/>
      <c r="BZ86" s="422" t="s">
        <v>311</v>
      </c>
      <c r="CA86" s="216"/>
    </row>
    <row r="87" spans="2:97" ht="33">
      <c r="B87" s="342" t="s">
        <v>344</v>
      </c>
      <c r="C87" s="343" t="s">
        <v>345</v>
      </c>
      <c r="D87" s="342" t="s">
        <v>346</v>
      </c>
      <c r="E87" s="342" t="s">
        <v>88</v>
      </c>
      <c r="F87" s="55" t="s">
        <v>347</v>
      </c>
      <c r="G87" s="342" t="s">
        <v>348</v>
      </c>
      <c r="H87" s="55" t="s">
        <v>349</v>
      </c>
      <c r="I87" s="342" t="s">
        <v>350</v>
      </c>
      <c r="J87" s="342" t="s">
        <v>351</v>
      </c>
      <c r="K87" s="342" t="s">
        <v>352</v>
      </c>
      <c r="L87" s="342" t="s">
        <v>353</v>
      </c>
      <c r="M87" s="342" t="s">
        <v>354</v>
      </c>
      <c r="N87" s="342" t="s">
        <v>355</v>
      </c>
      <c r="O87" s="342" t="s">
        <v>356</v>
      </c>
      <c r="P87" s="342" t="s">
        <v>357</v>
      </c>
      <c r="Q87" s="342" t="s">
        <v>358</v>
      </c>
      <c r="R87" s="343" t="s">
        <v>359</v>
      </c>
      <c r="S87" s="225"/>
      <c r="T87" s="225"/>
      <c r="U87" s="164"/>
      <c r="V87" s="164"/>
      <c r="AG87" s="165"/>
      <c r="AH87" s="165"/>
      <c r="AI87" s="165"/>
      <c r="AJ87" s="400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381"/>
      <c r="BB87" s="165"/>
      <c r="BC87" s="165"/>
      <c r="BD87" s="165"/>
      <c r="BE87" s="103" t="s">
        <v>4</v>
      </c>
      <c r="BF87" s="59"/>
      <c r="BG87" s="59"/>
      <c r="BH87" s="136" t="str">
        <f t="shared" ref="BH87:BV87" si="113">IF(BH86="","",IFERROR(IRR(BH88:BH103),""))</f>
        <v/>
      </c>
      <c r="BI87" s="136" t="str">
        <f t="shared" si="113"/>
        <v/>
      </c>
      <c r="BJ87" s="136" t="str">
        <f t="shared" si="113"/>
        <v/>
      </c>
      <c r="BK87" s="136" t="str">
        <f t="shared" si="113"/>
        <v/>
      </c>
      <c r="BL87" s="136" t="str">
        <f t="shared" si="113"/>
        <v/>
      </c>
      <c r="BM87" s="136" t="str">
        <f t="shared" si="113"/>
        <v/>
      </c>
      <c r="BN87" s="136" t="str">
        <f t="shared" si="113"/>
        <v/>
      </c>
      <c r="BO87" s="136" t="str">
        <f t="shared" si="113"/>
        <v/>
      </c>
      <c r="BP87" s="136" t="str">
        <f t="shared" si="113"/>
        <v/>
      </c>
      <c r="BQ87" s="136" t="str">
        <f t="shared" si="113"/>
        <v/>
      </c>
      <c r="BR87" s="136" t="str">
        <f t="shared" si="113"/>
        <v/>
      </c>
      <c r="BS87" s="136" t="str">
        <f t="shared" si="113"/>
        <v/>
      </c>
      <c r="BT87" s="136" t="str">
        <f t="shared" si="113"/>
        <v/>
      </c>
      <c r="BU87" s="136" t="str">
        <f t="shared" si="113"/>
        <v/>
      </c>
      <c r="BV87" s="136" t="str">
        <f t="shared" si="113"/>
        <v/>
      </c>
      <c r="BW87" s="165"/>
      <c r="BZ87" s="422" t="s">
        <v>338</v>
      </c>
      <c r="CA87" s="216"/>
    </row>
    <row r="88" spans="2:97">
      <c r="B88" s="225">
        <v>1</v>
      </c>
      <c r="C88" s="225" t="s">
        <v>360</v>
      </c>
      <c r="D88" s="225" t="s">
        <v>361</v>
      </c>
      <c r="E88" s="225" t="s">
        <v>583</v>
      </c>
      <c r="F88" s="335">
        <v>53766.5</v>
      </c>
      <c r="G88" s="441">
        <f>F88*12</f>
        <v>645198</v>
      </c>
      <c r="H88" s="335">
        <v>65183.166666666701</v>
      </c>
      <c r="I88" s="441">
        <f>H88*12</f>
        <v>782198.00000000047</v>
      </c>
      <c r="J88" s="335">
        <v>65183.166666666664</v>
      </c>
      <c r="K88" s="336">
        <f>J88*12</f>
        <v>782198</v>
      </c>
      <c r="L88" s="337">
        <v>45839</v>
      </c>
      <c r="M88" s="338">
        <v>49856</v>
      </c>
      <c r="N88" s="339">
        <v>120</v>
      </c>
      <c r="O88" s="225" t="s">
        <v>363</v>
      </c>
      <c r="P88" s="335">
        <f>J88</f>
        <v>65183.166666666664</v>
      </c>
      <c r="Q88" s="340">
        <v>20000</v>
      </c>
      <c r="R88" s="225"/>
      <c r="S88" s="225"/>
      <c r="T88" s="225"/>
      <c r="U88" s="164"/>
      <c r="V88" s="164"/>
      <c r="AG88" s="165"/>
      <c r="AH88" s="165"/>
      <c r="AI88" s="165"/>
      <c r="AJ88" s="400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381"/>
      <c r="BB88" s="165"/>
      <c r="BC88" s="165"/>
      <c r="BD88" s="165"/>
      <c r="BE88" s="256">
        <f>BG86</f>
        <v>0</v>
      </c>
      <c r="BF88" s="56"/>
      <c r="BG88" s="73">
        <f t="shared" ref="BG88:BG98" si="114">$BG$18-$BG$14</f>
        <v>-9874903.9809999969</v>
      </c>
      <c r="BH88" s="71" t="str">
        <f t="shared" ref="BH88:BV103" si="115">IF(OR(BH$65="",$AU88=""),"",(BH$65&lt;=$AU88)*(-BH$13+BH$17+BH$26)+(BH$65=$AU88)*(BH$33-BH$36))</f>
        <v/>
      </c>
      <c r="BI88" s="71" t="str">
        <f t="shared" si="115"/>
        <v/>
      </c>
      <c r="BJ88" s="71" t="str">
        <f t="shared" si="115"/>
        <v/>
      </c>
      <c r="BK88" s="71" t="str">
        <f t="shared" si="115"/>
        <v/>
      </c>
      <c r="BL88" s="71" t="str">
        <f t="shared" si="115"/>
        <v/>
      </c>
      <c r="BM88" s="71" t="str">
        <f t="shared" si="115"/>
        <v/>
      </c>
      <c r="BN88" s="71" t="str">
        <f t="shared" si="115"/>
        <v/>
      </c>
      <c r="BO88" s="71" t="str">
        <f t="shared" si="115"/>
        <v/>
      </c>
      <c r="BP88" s="71" t="str">
        <f t="shared" si="115"/>
        <v/>
      </c>
      <c r="BQ88" s="71" t="str">
        <f t="shared" si="115"/>
        <v/>
      </c>
      <c r="BR88" s="71" t="str">
        <f t="shared" si="115"/>
        <v/>
      </c>
      <c r="BS88" s="71" t="str">
        <f t="shared" si="115"/>
        <v/>
      </c>
      <c r="BT88" s="71" t="str">
        <f t="shared" si="115"/>
        <v/>
      </c>
      <c r="BU88" s="71" t="str">
        <f t="shared" si="115"/>
        <v/>
      </c>
      <c r="BV88" s="71" t="str">
        <f t="shared" si="115"/>
        <v/>
      </c>
      <c r="BW88" s="165"/>
      <c r="BZ88" s="422" t="str">
        <f>"Distributions to LP "&amp;BZ82</f>
        <v>Distributions to LP Tier 3</v>
      </c>
      <c r="CA88" s="216"/>
    </row>
    <row r="89" spans="2:97" ht="15.75" customHeight="1">
      <c r="B89" s="225">
        <v>2</v>
      </c>
      <c r="C89" s="225" t="s">
        <v>360</v>
      </c>
      <c r="D89" s="225" t="s">
        <v>364</v>
      </c>
      <c r="E89" s="225" t="s">
        <v>583</v>
      </c>
      <c r="F89" s="335">
        <v>26883.1</v>
      </c>
      <c r="G89" s="441">
        <f t="shared" ref="G89:G91" si="116">F89*12</f>
        <v>322597.19999999995</v>
      </c>
      <c r="H89" s="335">
        <v>26883.1</v>
      </c>
      <c r="I89" s="441">
        <f t="shared" ref="I89:I91" si="117">H89*12</f>
        <v>322597.19999999995</v>
      </c>
      <c r="J89" s="335">
        <v>26883.1</v>
      </c>
      <c r="K89" s="336">
        <f>J89*12</f>
        <v>322597.19999999995</v>
      </c>
      <c r="L89" s="337">
        <v>45839</v>
      </c>
      <c r="M89" s="338">
        <v>49856</v>
      </c>
      <c r="N89" s="339">
        <v>120</v>
      </c>
      <c r="O89" s="225" t="s">
        <v>363</v>
      </c>
      <c r="P89" s="335">
        <f>J89</f>
        <v>26883.1</v>
      </c>
      <c r="Q89" s="340">
        <v>10000</v>
      </c>
      <c r="R89" s="225"/>
      <c r="S89" s="225"/>
      <c r="T89" s="225"/>
      <c r="AG89" s="165"/>
      <c r="AH89" s="165"/>
      <c r="AI89" s="165"/>
      <c r="AJ89" s="400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381"/>
      <c r="BB89" s="165"/>
      <c r="BC89" s="165"/>
      <c r="BD89" s="165"/>
      <c r="BE89" s="256">
        <f>BH86</f>
        <v>1</v>
      </c>
      <c r="BF89" s="136">
        <f t="shared" ref="BF89:BF103" si="118">IF(BE89="","",IRR(BG89:BV89))</f>
        <v>-3.5803760801340512E-2</v>
      </c>
      <c r="BG89" s="73">
        <f t="shared" si="114"/>
        <v>-9874903.9809999969</v>
      </c>
      <c r="BH89" s="73">
        <f>(BH$86&lt;&gt;"") * ($BE89&lt;&gt;"") * ((BH$86&lt;=$BE89)*(-$BH$14+$BH$13+$BH$28) + (BH$86=$BE89)*($BH$34-$BH$37))</f>
        <v>9521345.280928066</v>
      </c>
      <c r="BI89" s="73">
        <f>($BH$86&lt;&gt;"") * ($BE$89&lt;&gt;"") * ((BI86&lt;=$BE$89)*(-$BH$50+$BH28) + (BI86=$BE$89)*$BH$54)</f>
        <v>0</v>
      </c>
      <c r="BJ89" s="73">
        <f>($BH$86&lt;&gt;"") * ($BE$89&lt;&gt;"") * ((BJ86&lt;=$BE$89)*(-$BH$50+$BH28) + (BJ86=$BE$89)*$BH$54)</f>
        <v>0</v>
      </c>
      <c r="BK89" s="73">
        <f>($BH$86&lt;&gt;"") * ($BE$89&lt;&gt;"") * ((BK86&lt;=$BE$89)*(-$BH$50+$BH28) + (BK86=$BE$89)*$BH$54)</f>
        <v>0</v>
      </c>
      <c r="BL89" s="73">
        <f>($BH$86&lt;&gt;"") * ($BE$89&lt;&gt;"") * ((BL86&lt;=$BE$89)*(-$BH$50+$BH28) + (BL86=$BE$89)*$BH$54)</f>
        <v>0</v>
      </c>
      <c r="BM89" s="73" t="str">
        <f t="shared" si="115"/>
        <v/>
      </c>
      <c r="BN89" s="73" t="str">
        <f t="shared" si="115"/>
        <v/>
      </c>
      <c r="BO89" s="73" t="str">
        <f t="shared" si="115"/>
        <v/>
      </c>
      <c r="BP89" s="73" t="str">
        <f t="shared" si="115"/>
        <v/>
      </c>
      <c r="BQ89" s="73" t="str">
        <f t="shared" si="115"/>
        <v/>
      </c>
      <c r="BR89" s="73" t="str">
        <f t="shared" si="115"/>
        <v/>
      </c>
      <c r="BS89" s="73" t="str">
        <f t="shared" si="115"/>
        <v/>
      </c>
      <c r="BT89" s="73" t="str">
        <f t="shared" si="115"/>
        <v/>
      </c>
      <c r="BU89" s="73" t="str">
        <f t="shared" si="115"/>
        <v/>
      </c>
      <c r="BV89" s="73" t="str">
        <f t="shared" si="115"/>
        <v/>
      </c>
      <c r="BW89" s="165"/>
      <c r="BZ89" s="422" t="s">
        <v>314</v>
      </c>
      <c r="CA89" s="216"/>
    </row>
    <row r="90" spans="2:97">
      <c r="B90" s="225">
        <v>3</v>
      </c>
      <c r="C90" s="225" t="s">
        <v>360</v>
      </c>
      <c r="D90" s="225" t="s">
        <v>365</v>
      </c>
      <c r="E90" s="225" t="s">
        <v>583</v>
      </c>
      <c r="F90" s="335">
        <v>21507.1</v>
      </c>
      <c r="G90" s="441">
        <f t="shared" si="116"/>
        <v>258085.19999999998</v>
      </c>
      <c r="H90" s="335">
        <v>21507.1</v>
      </c>
      <c r="I90" s="441">
        <f t="shared" si="117"/>
        <v>258085.19999999998</v>
      </c>
      <c r="J90" s="335">
        <v>21507.1</v>
      </c>
      <c r="K90" s="336">
        <f>J90*12</f>
        <v>258085.19999999998</v>
      </c>
      <c r="L90" s="337">
        <v>45839</v>
      </c>
      <c r="M90" s="338">
        <v>49856</v>
      </c>
      <c r="N90" s="339">
        <v>120</v>
      </c>
      <c r="O90" s="225" t="s">
        <v>363</v>
      </c>
      <c r="P90" s="335">
        <f>J90</f>
        <v>21507.1</v>
      </c>
      <c r="Q90" s="340">
        <v>8000</v>
      </c>
      <c r="R90" s="225"/>
      <c r="S90" s="225"/>
      <c r="T90" s="225"/>
      <c r="AG90" s="165"/>
      <c r="AH90" s="165"/>
      <c r="AI90" s="165"/>
      <c r="AJ90" s="400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381"/>
      <c r="BB90" s="165"/>
      <c r="BC90" s="165"/>
      <c r="BD90" s="165"/>
      <c r="BE90" s="256">
        <f>BI86</f>
        <v>2</v>
      </c>
      <c r="BF90" s="136">
        <f t="shared" si="118"/>
        <v>2.8635958930481653E-2</v>
      </c>
      <c r="BG90" s="73">
        <f t="shared" si="114"/>
        <v>-9874903.9809999969</v>
      </c>
      <c r="BH90" s="73">
        <f t="shared" ref="BH89:BH98" si="119">(BH$86&lt;&gt;"") * ($BE90&lt;&gt;"") * ((BH$86&lt;=$BE90)*(-$BH$14+$BH$13+$BH$28) + (BH$86=$BE90)*($BH$34-$BH$37))</f>
        <v>766273.45022191538</v>
      </c>
      <c r="BI90" s="73">
        <f t="shared" ref="BI90:BI98" si="120">(BI$86&lt;&gt;"") * ($BE90&lt;&gt;"") * ((BI$86&lt;=$BE90)*(-$BI$14+$BI$13+$BI$28) + (BI$86=$BE90)*($BI$34-$BI$37))</f>
        <v>9660339.8458461128</v>
      </c>
      <c r="BJ90" s="73" t="str">
        <f>IF(OR(BJ$65="",$AU90=""),"",(BJ$65&lt;=$AU90)*(-BJ$13+BJ$17+BJ$26)+(BJ$65=$AU90)*(BJ$33-BJ$36))</f>
        <v/>
      </c>
      <c r="BK90" s="73" t="str">
        <f>IF(OR(BK$65="",$AU90=""),"",(BK$65&lt;=$AU90)*(-BK$13+BK$17+BK$26)+(BK$65=$AU90)*(BK$33-BK$36))</f>
        <v/>
      </c>
      <c r="BL90" s="73" t="str">
        <f>IF(OR(BL$65="",$AU90=""),"",(BL$65&lt;=$AU90)*(-BL$13+BL$17+BL$26)+(BL$65=$AU90)*(BL$33-BL$36))</f>
        <v/>
      </c>
      <c r="BM90" s="73" t="str">
        <f t="shared" si="115"/>
        <v/>
      </c>
      <c r="BN90" s="73" t="str">
        <f t="shared" si="115"/>
        <v/>
      </c>
      <c r="BO90" s="73" t="str">
        <f t="shared" si="115"/>
        <v/>
      </c>
      <c r="BP90" s="73" t="str">
        <f t="shared" si="115"/>
        <v/>
      </c>
      <c r="BQ90" s="73" t="str">
        <f t="shared" si="115"/>
        <v/>
      </c>
      <c r="BR90" s="73" t="str">
        <f t="shared" si="115"/>
        <v/>
      </c>
      <c r="BS90" s="73" t="str">
        <f t="shared" si="115"/>
        <v/>
      </c>
      <c r="BT90" s="73" t="str">
        <f t="shared" si="115"/>
        <v/>
      </c>
      <c r="BU90" s="73" t="str">
        <f t="shared" si="115"/>
        <v/>
      </c>
      <c r="BV90" s="73" t="str">
        <f t="shared" si="115"/>
        <v/>
      </c>
      <c r="BW90" s="165"/>
      <c r="BZ90" s="429" t="str">
        <f>CA83</f>
        <v> </v>
      </c>
      <c r="CA90" s="216"/>
    </row>
    <row r="91" spans="2:97">
      <c r="B91" s="225">
        <v>4</v>
      </c>
      <c r="C91" s="225" t="s">
        <v>360</v>
      </c>
      <c r="D91" s="225" t="s">
        <v>366</v>
      </c>
      <c r="E91" s="225" t="s">
        <v>583</v>
      </c>
      <c r="F91" s="335">
        <v>32260</v>
      </c>
      <c r="G91" s="441">
        <f t="shared" si="116"/>
        <v>387120</v>
      </c>
      <c r="H91" s="335">
        <v>32260</v>
      </c>
      <c r="I91" s="441">
        <f t="shared" si="117"/>
        <v>387120</v>
      </c>
      <c r="J91" s="335">
        <v>32260</v>
      </c>
      <c r="K91" s="335">
        <f>J91*12</f>
        <v>387120</v>
      </c>
      <c r="L91" s="337">
        <v>45839</v>
      </c>
      <c r="M91" s="338">
        <v>49856</v>
      </c>
      <c r="N91" s="339">
        <v>120</v>
      </c>
      <c r="O91" s="225" t="s">
        <v>363</v>
      </c>
      <c r="P91" s="335">
        <f>J91</f>
        <v>32260</v>
      </c>
      <c r="Q91" s="340">
        <v>12000</v>
      </c>
      <c r="R91" s="225"/>
      <c r="S91" s="225"/>
      <c r="T91" s="225"/>
      <c r="AG91" s="165"/>
      <c r="AH91" s="165"/>
      <c r="AI91" s="165"/>
      <c r="AJ91" s="400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381"/>
      <c r="BB91" s="165"/>
      <c r="BC91" s="165"/>
      <c r="BD91" s="165"/>
      <c r="BE91" s="256">
        <f>BJ86</f>
        <v>3</v>
      </c>
      <c r="BF91" s="136">
        <f t="shared" si="118"/>
        <v>5.1053687858097607E-2</v>
      </c>
      <c r="BG91" s="73">
        <f t="shared" si="114"/>
        <v>-9874903.9809999969</v>
      </c>
      <c r="BH91" s="73">
        <f t="shared" si="119"/>
        <v>766273.45022191538</v>
      </c>
      <c r="BI91" s="73">
        <f t="shared" si="120"/>
        <v>766273.45022191538</v>
      </c>
      <c r="BJ91" s="73">
        <f>(BJ$86&lt;&gt;"") * ($BE91&lt;&gt;"") * ((BJ$86&lt;=$BE91)*(-$BJ$14+$BJ$13+$BJ$28) + (BJ$86=$BE91)*($BJ$34-$BJ$37))</f>
        <v>9813977.592628805</v>
      </c>
      <c r="BK91" s="73" t="str">
        <f>IF(OR(BK$65="",$AU91=""),"",(BK$65&lt;=$AU91)*(-BK$13+BK$17+BK$26)+(BK$65=$AU91)*(BK$33-BK$36))</f>
        <v/>
      </c>
      <c r="BL91" s="73" t="str">
        <f>IF(OR(BL$65="",$AU91=""),"",(BL$65&lt;=$AU91)*(-BL$13+BL$17+BL$26)+(BL$65=$AU91)*(BL$33-BL$36))</f>
        <v/>
      </c>
      <c r="BM91" s="73" t="str">
        <f t="shared" si="115"/>
        <v/>
      </c>
      <c r="BN91" s="73" t="str">
        <f t="shared" si="115"/>
        <v/>
      </c>
      <c r="BO91" s="73" t="str">
        <f t="shared" si="115"/>
        <v/>
      </c>
      <c r="BP91" s="73" t="str">
        <f t="shared" si="115"/>
        <v/>
      </c>
      <c r="BQ91" s="73" t="str">
        <f t="shared" si="115"/>
        <v/>
      </c>
      <c r="BR91" s="73" t="str">
        <f t="shared" si="115"/>
        <v/>
      </c>
      <c r="BS91" s="73" t="str">
        <f t="shared" si="115"/>
        <v/>
      </c>
      <c r="BT91" s="73" t="str">
        <f t="shared" si="115"/>
        <v/>
      </c>
      <c r="BU91" s="73" t="str">
        <f t="shared" si="115"/>
        <v/>
      </c>
      <c r="BV91" s="73" t="str">
        <f t="shared" si="115"/>
        <v/>
      </c>
      <c r="BW91" s="165"/>
      <c r="BZ91" s="430" t="s">
        <v>158</v>
      </c>
      <c r="CA91" s="252" t="s">
        <v>158</v>
      </c>
    </row>
    <row r="92" spans="2:97">
      <c r="B92" s="225"/>
      <c r="C92" s="225"/>
      <c r="D92" s="225"/>
      <c r="E92" s="225"/>
      <c r="L92" s="337"/>
      <c r="M92" s="338"/>
      <c r="N92" s="339"/>
      <c r="O92" s="225"/>
      <c r="P92" s="335"/>
      <c r="Q92" s="225"/>
      <c r="R92" s="225"/>
      <c r="S92" s="225"/>
      <c r="T92" s="225"/>
      <c r="AG92" s="165"/>
      <c r="AH92" s="165"/>
      <c r="AI92" s="165"/>
      <c r="AJ92" s="400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381"/>
      <c r="BB92" s="165"/>
      <c r="BC92" s="165"/>
      <c r="BD92" s="165"/>
      <c r="BE92" s="256">
        <f>BK86</f>
        <v>4</v>
      </c>
      <c r="BF92" s="136">
        <f t="shared" si="118"/>
        <v>6.2407432269926399E-2</v>
      </c>
      <c r="BG92" s="73">
        <f t="shared" si="114"/>
        <v>-9874903.9809999969</v>
      </c>
      <c r="BH92" s="73">
        <f t="shared" si="119"/>
        <v>766273.45022191538</v>
      </c>
      <c r="BI92" s="73">
        <f t="shared" si="120"/>
        <v>766273.45022191538</v>
      </c>
      <c r="BJ92" s="73">
        <f t="shared" ref="BJ92:BJ98" si="121">(BJ$86&lt;&gt;"") * ($BE92&lt;&gt;"") * ((BJ$86&lt;=$BE92)*(-$BJ$14+$BJ$13+$BJ$28) + (BJ$86=$BE92)*($BJ$34-$BJ$38))</f>
        <v>766273.45022191538</v>
      </c>
      <c r="BK92" s="73">
        <f t="shared" ref="BK92:BK98" si="122">(BK$86&lt;&gt;"") * ($BE92&lt;&gt;"") * ((BK$86&lt;=$BE92)*(-$BK$14+$BK$13+$BK$28) + (BK$86=$BE92)*($BK$34-$BK$37))</f>
        <v>9982610.914911896</v>
      </c>
      <c r="BL92" s="73" t="str">
        <f>IF(OR(BL$65="",$AU92=""),"",(BL$65&lt;=$AU92)*(-BL$13+BL$17+BL$26)+(BL$65=$AU92)*(BL$33-BL$36))</f>
        <v/>
      </c>
      <c r="BM92" s="73" t="str">
        <f t="shared" si="115"/>
        <v/>
      </c>
      <c r="BN92" s="73" t="str">
        <f t="shared" si="115"/>
        <v/>
      </c>
      <c r="BO92" s="73" t="str">
        <f t="shared" si="115"/>
        <v/>
      </c>
      <c r="BP92" s="73" t="str">
        <f t="shared" si="115"/>
        <v/>
      </c>
      <c r="BQ92" s="73" t="str">
        <f t="shared" si="115"/>
        <v/>
      </c>
      <c r="BR92" s="73" t="str">
        <f t="shared" si="115"/>
        <v/>
      </c>
      <c r="BS92" s="73" t="str">
        <f t="shared" si="115"/>
        <v/>
      </c>
      <c r="BT92" s="73" t="str">
        <f t="shared" si="115"/>
        <v/>
      </c>
      <c r="BU92" s="73" t="str">
        <f t="shared" si="115"/>
        <v/>
      </c>
      <c r="BV92" s="73" t="str">
        <f t="shared" si="115"/>
        <v/>
      </c>
      <c r="BW92" s="165"/>
      <c r="BZ92" s="422" t="s">
        <v>315</v>
      </c>
      <c r="CA92" s="216"/>
    </row>
    <row r="93" spans="2:97">
      <c r="B93" s="442" t="s">
        <v>212</v>
      </c>
      <c r="C93" s="443"/>
      <c r="D93" s="443"/>
      <c r="E93" s="443"/>
      <c r="F93" s="443"/>
      <c r="G93" s="443"/>
      <c r="H93" s="443"/>
      <c r="I93" s="443"/>
      <c r="J93" s="444">
        <f>SUM(J88:J91)</f>
        <v>145833.36666666667</v>
      </c>
      <c r="K93" s="445">
        <f>SUM(K88:K91)</f>
        <v>1750000.4</v>
      </c>
      <c r="L93" s="443"/>
      <c r="M93" s="443"/>
      <c r="N93" s="443"/>
      <c r="O93" s="225"/>
      <c r="P93" s="225"/>
      <c r="Q93" s="225"/>
      <c r="R93" s="225"/>
      <c r="S93" s="225"/>
      <c r="T93" s="225"/>
      <c r="AG93" s="165"/>
      <c r="AH93" s="165"/>
      <c r="AI93" s="165"/>
      <c r="AJ93" s="400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381"/>
      <c r="BB93" s="165"/>
      <c r="BC93" s="165"/>
      <c r="BD93" s="165"/>
      <c r="BE93" s="256">
        <f>BL86</f>
        <v>5</v>
      </c>
      <c r="BF93" s="136">
        <f t="shared" si="118"/>
        <v>6.922834440333947E-2</v>
      </c>
      <c r="BG93" s="73">
        <f t="shared" si="114"/>
        <v>-9874903.9809999969</v>
      </c>
      <c r="BH93" s="73">
        <f t="shared" si="119"/>
        <v>766273.45022191538</v>
      </c>
      <c r="BI93" s="73">
        <f t="shared" si="120"/>
        <v>766273.45022191538</v>
      </c>
      <c r="BJ93" s="73">
        <f t="shared" si="121"/>
        <v>766273.45022191538</v>
      </c>
      <c r="BK93" s="73">
        <f t="shared" si="122"/>
        <v>766273.45022191538</v>
      </c>
      <c r="BL93" s="73">
        <f>(BL$86&lt;&gt;"") * ($BE93&lt;&gt;"") * ((BL$86&lt;=$BE93)*(-$BL$14+$BL$13+$BL$28) + (BL$86=$BE93)*($BL$34-$BL$37))</f>
        <v>10166609.015599161</v>
      </c>
      <c r="BM93" s="73" t="str">
        <f t="shared" si="115"/>
        <v/>
      </c>
      <c r="BN93" s="73" t="str">
        <f t="shared" si="115"/>
        <v/>
      </c>
      <c r="BO93" s="73" t="str">
        <f t="shared" si="115"/>
        <v/>
      </c>
      <c r="BP93" s="73" t="str">
        <f t="shared" si="115"/>
        <v/>
      </c>
      <c r="BQ93" s="73" t="str">
        <f t="shared" si="115"/>
        <v/>
      </c>
      <c r="BR93" s="73" t="str">
        <f t="shared" si="115"/>
        <v/>
      </c>
      <c r="BS93" s="73" t="str">
        <f t="shared" si="115"/>
        <v/>
      </c>
      <c r="BT93" s="73" t="str">
        <f t="shared" si="115"/>
        <v/>
      </c>
      <c r="BU93" s="73" t="str">
        <f t="shared" si="115"/>
        <v/>
      </c>
      <c r="BV93" s="73" t="str">
        <f t="shared" si="115"/>
        <v/>
      </c>
      <c r="BW93" s="165"/>
      <c r="BZ93" s="422" t="s">
        <v>321</v>
      </c>
      <c r="CA93" s="216"/>
    </row>
    <row r="94" spans="2:97"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AG94" s="165"/>
      <c r="AH94" s="165"/>
      <c r="AI94" s="165"/>
      <c r="AJ94" s="400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381"/>
      <c r="BB94" s="165"/>
      <c r="BC94" s="165"/>
      <c r="BD94" s="165"/>
      <c r="BE94" s="256">
        <f>BM86</f>
        <v>6</v>
      </c>
      <c r="BF94" s="136">
        <f t="shared" si="118"/>
        <v>0.10728491945784557</v>
      </c>
      <c r="BG94" s="73">
        <f t="shared" si="114"/>
        <v>-9874903.9809999969</v>
      </c>
      <c r="BH94" s="73">
        <f t="shared" si="119"/>
        <v>766273.45022191538</v>
      </c>
      <c r="BI94" s="73">
        <f t="shared" si="120"/>
        <v>766273.45022191538</v>
      </c>
      <c r="BJ94" s="73">
        <f t="shared" si="121"/>
        <v>766273.45022191538</v>
      </c>
      <c r="BK94" s="73">
        <f t="shared" si="122"/>
        <v>766273.45022191538</v>
      </c>
      <c r="BL94" s="73">
        <f>(BL$86&lt;&gt;"") * ($BE94&lt;&gt;"") * ((BL$86&lt;=$BE94)*(-$BL$14+$BL$13+$BL$28) + (BL$86=$BE94)*($BL$34-$BL$38))</f>
        <v>766273.45022191538</v>
      </c>
      <c r="BM94" s="73">
        <f>(BM$86&lt;&gt;"") * ($BE94&lt;&gt;"") * ((BM$86&lt;=$BE94)*(-$BM$14+$BM$13+$BM$28) + (BM$86=$BE94)*($BM$34-$BM$37))</f>
        <v>12945024.58727921</v>
      </c>
      <c r="BN94" s="73" t="str">
        <f t="shared" si="115"/>
        <v/>
      </c>
      <c r="BO94" s="73" t="str">
        <f t="shared" si="115"/>
        <v/>
      </c>
      <c r="BP94" s="73" t="str">
        <f t="shared" si="115"/>
        <v/>
      </c>
      <c r="BQ94" s="73" t="str">
        <f t="shared" si="115"/>
        <v/>
      </c>
      <c r="BR94" s="73" t="str">
        <f t="shared" si="115"/>
        <v/>
      </c>
      <c r="BS94" s="73" t="str">
        <f t="shared" si="115"/>
        <v/>
      </c>
      <c r="BT94" s="73" t="str">
        <f t="shared" si="115"/>
        <v/>
      </c>
      <c r="BU94" s="73" t="str">
        <f t="shared" si="115"/>
        <v/>
      </c>
      <c r="BV94" s="73" t="str">
        <f t="shared" si="115"/>
        <v/>
      </c>
      <c r="BW94" s="165"/>
      <c r="BZ94" s="422" t="str">
        <f>"Total Distributions ("&amp;BZ82&amp;")"</f>
        <v>Total Distributions (Tier 3)</v>
      </c>
      <c r="CA94" s="216"/>
    </row>
    <row r="95" spans="2:97">
      <c r="B95" s="341" t="s">
        <v>367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AG95" s="165"/>
      <c r="AH95" s="165"/>
      <c r="AI95" s="165"/>
      <c r="AJ95" s="400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381"/>
      <c r="BB95" s="165"/>
      <c r="BC95" s="165"/>
      <c r="BD95" s="165"/>
      <c r="BE95" s="256">
        <f>BN86</f>
        <v>7</v>
      </c>
      <c r="BF95" s="136">
        <f t="shared" si="118"/>
        <v>0.10576287868680856</v>
      </c>
      <c r="BG95" s="73">
        <f t="shared" si="114"/>
        <v>-9874903.9809999969</v>
      </c>
      <c r="BH95" s="73">
        <f t="shared" si="119"/>
        <v>766273.45022191538</v>
      </c>
      <c r="BI95" s="73">
        <f t="shared" si="120"/>
        <v>766273.45022191538</v>
      </c>
      <c r="BJ95" s="73">
        <f t="shared" si="121"/>
        <v>766273.45022191538</v>
      </c>
      <c r="BK95" s="73">
        <f t="shared" si="122"/>
        <v>766273.45022191538</v>
      </c>
      <c r="BL95" s="73">
        <f>(BL$86&lt;&gt;"") * ($BE95&lt;&gt;"") * ((BL$86&lt;=$BE95)*(-$BL$14+$BL$13+$BL$28) + (BL$86=$BE95)*($BL$34-$BL$38))</f>
        <v>766273.45022191538</v>
      </c>
      <c r="BM95" s="73">
        <f>(BM$86&lt;&gt;"") * ($BE95&lt;&gt;"") * ((BM$86&lt;=$BE95)*(-$BM$14+$BM$13+$BM$28) + (BM$86=$BE95)*($BM$34-$BM$38))</f>
        <v>932440.48614991538</v>
      </c>
      <c r="BN95" s="73">
        <f>(BN$86&lt;&gt;"") * ($BE95&lt;&gt;"") * ((BN$86&lt;=$BE95)*(-$BN$14+$BN$13+$BN$28) + (BN$86=$BE95)*($BN$34-$BN$37))</f>
        <v>13143190.428926297</v>
      </c>
      <c r="BO95" s="73" t="str">
        <f t="shared" si="115"/>
        <v/>
      </c>
      <c r="BP95" s="73" t="str">
        <f t="shared" si="115"/>
        <v/>
      </c>
      <c r="BQ95" s="73" t="str">
        <f t="shared" si="115"/>
        <v/>
      </c>
      <c r="BR95" s="73" t="str">
        <f t="shared" si="115"/>
        <v/>
      </c>
      <c r="BS95" s="73" t="str">
        <f t="shared" si="115"/>
        <v/>
      </c>
      <c r="BT95" s="73" t="str">
        <f t="shared" si="115"/>
        <v/>
      </c>
      <c r="BU95" s="73" t="str">
        <f t="shared" si="115"/>
        <v/>
      </c>
      <c r="BV95" s="73" t="str">
        <f t="shared" si="115"/>
        <v/>
      </c>
      <c r="BW95" s="165"/>
      <c r="BZ95" s="422" t="s">
        <v>328</v>
      </c>
      <c r="CA95" s="216"/>
    </row>
    <row r="96" spans="2:97">
      <c r="B96" s="341" t="s">
        <v>368</v>
      </c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AG96" s="165"/>
      <c r="AH96" s="165"/>
      <c r="AI96" s="165"/>
      <c r="AJ96" s="400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381"/>
      <c r="BB96" s="165"/>
      <c r="BC96" s="165"/>
      <c r="BD96" s="165"/>
      <c r="BE96" s="256">
        <f>BO86</f>
        <v>8</v>
      </c>
      <c r="BF96" s="136">
        <f t="shared" si="118"/>
        <v>0.10462087882924065</v>
      </c>
      <c r="BG96" s="73">
        <f t="shared" si="114"/>
        <v>-9874903.9809999969</v>
      </c>
      <c r="BH96" s="73">
        <f t="shared" si="119"/>
        <v>766273.45022191538</v>
      </c>
      <c r="BI96" s="73">
        <f t="shared" si="120"/>
        <v>766273.45022191538</v>
      </c>
      <c r="BJ96" s="73">
        <f t="shared" si="121"/>
        <v>766273.45022191538</v>
      </c>
      <c r="BK96" s="73">
        <f t="shared" si="122"/>
        <v>766273.45022191538</v>
      </c>
      <c r="BL96" s="73">
        <f>(BL$86&lt;&gt;"") * ($BE96&lt;&gt;"") * ((BL$86&lt;=$BE96)*(-$BL$14+$BL$13+$BL$28) + (BL$86=$BE96)*($BL$34-$BL$38))</f>
        <v>766273.45022191538</v>
      </c>
      <c r="BM96" s="73">
        <f>(BM$86&lt;&gt;"") * ($BE96&lt;&gt;"") * ((BM$86&lt;=$BE96)*(-$BM$14+$BM$13+$BM$28) + (BM$86=$BE96)*($BM$34-$BM$38))</f>
        <v>932440.48614991538</v>
      </c>
      <c r="BN96" s="73">
        <f>(BN$86&lt;&gt;"") * ($BE96&lt;&gt;"") * ((BN$86&lt;=$BE96)*(-$BN$14+$BN$13+$BN$28) + (BN$86=$BE96)*($BN$34-$BN$38))</f>
        <v>932440.48614991538</v>
      </c>
      <c r="BO96" s="73">
        <f>(BO$86&lt;&gt;"") * ($BE96&lt;&gt;"") * ((BO$86&lt;=$BE96)*(-$BO$14+$BO$13+$BO$28) + (BO$86=$BE96)*($BO$34-$BO$37))</f>
        <v>13358193.14871675</v>
      </c>
      <c r="BP96" s="73" t="str">
        <f t="shared" si="115"/>
        <v/>
      </c>
      <c r="BQ96" s="73" t="str">
        <f t="shared" si="115"/>
        <v/>
      </c>
      <c r="BR96" s="73" t="str">
        <f t="shared" si="115"/>
        <v/>
      </c>
      <c r="BS96" s="73" t="str">
        <f t="shared" si="115"/>
        <v/>
      </c>
      <c r="BT96" s="73" t="str">
        <f t="shared" si="115"/>
        <v/>
      </c>
      <c r="BU96" s="73" t="str">
        <f t="shared" si="115"/>
        <v/>
      </c>
      <c r="BV96" s="73" t="str">
        <f t="shared" si="115"/>
        <v/>
      </c>
      <c r="BW96" s="165"/>
      <c r="BZ96" s="422"/>
      <c r="CA96" s="216"/>
    </row>
    <row r="97" spans="1:97" ht="15.75">
      <c r="B97" s="341" t="s">
        <v>369</v>
      </c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AG97" s="165"/>
      <c r="AH97" s="165"/>
      <c r="AI97" s="165"/>
      <c r="AJ97" s="400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381"/>
      <c r="BB97" s="165"/>
      <c r="BC97" s="165"/>
      <c r="BD97" s="165"/>
      <c r="BE97" s="256">
        <f>BP86</f>
        <v>9</v>
      </c>
      <c r="BF97" s="136">
        <f t="shared" si="118"/>
        <v>0.10372268345458235</v>
      </c>
      <c r="BG97" s="73">
        <f t="shared" si="114"/>
        <v>-9874903.9809999969</v>
      </c>
      <c r="BH97" s="73">
        <f t="shared" si="119"/>
        <v>766273.45022191538</v>
      </c>
      <c r="BI97" s="73">
        <f t="shared" si="120"/>
        <v>766273.45022191538</v>
      </c>
      <c r="BJ97" s="73">
        <f t="shared" si="121"/>
        <v>766273.45022191538</v>
      </c>
      <c r="BK97" s="73">
        <f t="shared" si="122"/>
        <v>766273.45022191538</v>
      </c>
      <c r="BL97" s="73">
        <f>(BL$86&lt;&gt;"") * ($BE97&lt;&gt;"") * ((BL$86&lt;=$BE97)*(-$BL$14+$BL$13+$BL$28) + (BL$86=$BE97)*($BL$34-$BL$38))</f>
        <v>766273.45022191538</v>
      </c>
      <c r="BM97" s="73">
        <f>(BM$86&lt;&gt;"") * ($BE97&lt;&gt;"") * ((BM$86&lt;=$BE97)*(-$BM$14+$BM$13+$BM$28) + (BM$86=$BE97)*($BM$34-$BM$38))</f>
        <v>932440.48614991538</v>
      </c>
      <c r="BN97" s="73">
        <f>(BN$86&lt;&gt;"") * ($BE97&lt;&gt;"") * ((BN$86&lt;=$BE97)*(-$BN$14+$BN$13+$BN$28) + (BN$86=$BE97)*($BN$34-$BN$38))</f>
        <v>932440.48614991538</v>
      </c>
      <c r="BO97" s="73">
        <f>(BO$86&lt;&gt;"") * ($BE97&lt;&gt;"") * ((BO$86&lt;=$BE97)*(-$BO$14+$BO$13+$BO$28) + (BO$86=$BE97)*($BO$34-$BO$38))</f>
        <v>932440.48614991538</v>
      </c>
      <c r="BP97" s="73">
        <f>(BP$86&lt;&gt;"") * ($BE97&lt;&gt;"") * ((BP$86&lt;=$BE97)*(-$BP$14+$BP$13+$BP$28) + (BP$86=$BE97)*($BP$34-$BP$37))</f>
        <v>13590468.341403369</v>
      </c>
      <c r="BQ97" s="73" t="str">
        <f t="shared" si="115"/>
        <v/>
      </c>
      <c r="BR97" s="73" t="str">
        <f t="shared" si="115"/>
        <v/>
      </c>
      <c r="BS97" s="73" t="str">
        <f t="shared" si="115"/>
        <v/>
      </c>
      <c r="BT97" s="73" t="str">
        <f t="shared" si="115"/>
        <v/>
      </c>
      <c r="BU97" s="73" t="str">
        <f t="shared" si="115"/>
        <v/>
      </c>
      <c r="BV97" s="73" t="str">
        <f t="shared" si="115"/>
        <v/>
      </c>
      <c r="BW97" s="165"/>
      <c r="BZ97" s="431" t="s">
        <v>370</v>
      </c>
      <c r="CA97" s="240"/>
      <c r="CB97" s="240"/>
      <c r="CC97" s="240"/>
      <c r="CD97" s="240" t="s">
        <v>46</v>
      </c>
      <c r="CE97" s="200" t="s">
        <v>47</v>
      </c>
      <c r="CF97" s="200" t="s">
        <v>48</v>
      </c>
      <c r="CG97" s="200" t="s">
        <v>49</v>
      </c>
      <c r="CH97" s="200" t="s">
        <v>50</v>
      </c>
      <c r="CI97" s="200" t="s">
        <v>51</v>
      </c>
      <c r="CJ97" s="200" t="s">
        <v>52</v>
      </c>
      <c r="CK97" s="200" t="s">
        <v>53</v>
      </c>
      <c r="CL97" s="200" t="s">
        <v>54</v>
      </c>
      <c r="CM97" s="200" t="s">
        <v>55</v>
      </c>
      <c r="CN97" s="200" t="s">
        <v>56</v>
      </c>
      <c r="CO97" s="200" t="s">
        <v>1</v>
      </c>
      <c r="CP97" s="242" t="str">
        <f>CP$20</f>
        <v> </v>
      </c>
      <c r="CQ97" s="242" t="str">
        <f>CQ$20</f>
        <v> </v>
      </c>
      <c r="CR97" s="242" t="str">
        <f>CR$20</f>
        <v> </v>
      </c>
      <c r="CS97" s="242" t="str">
        <f>CS$20</f>
        <v> </v>
      </c>
    </row>
    <row r="98" spans="1:97">
      <c r="B98" s="341" t="s">
        <v>371</v>
      </c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AG98" s="165"/>
      <c r="AH98" s="165"/>
      <c r="AI98" s="165"/>
      <c r="AJ98" s="400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381"/>
      <c r="BB98" s="165"/>
      <c r="BC98" s="165"/>
      <c r="BD98" s="165"/>
      <c r="BE98" s="256">
        <f>BQ86</f>
        <v>10</v>
      </c>
      <c r="BF98" s="136">
        <f>IF(BE98="","",IRR(BG98:BV98))</f>
        <v>0.10298834508941335</v>
      </c>
      <c r="BG98" s="73">
        <f t="shared" si="114"/>
        <v>-9874903.9809999969</v>
      </c>
      <c r="BH98" s="73">
        <f t="shared" si="119"/>
        <v>766273.45022191538</v>
      </c>
      <c r="BI98" s="73">
        <f t="shared" si="120"/>
        <v>766273.45022191538</v>
      </c>
      <c r="BJ98" s="73">
        <f t="shared" si="121"/>
        <v>766273.45022191538</v>
      </c>
      <c r="BK98" s="73">
        <f t="shared" si="122"/>
        <v>766273.45022191538</v>
      </c>
      <c r="BL98" s="73">
        <f>(BL$86&lt;&gt;"") * ($BE98&lt;&gt;"") * ((BL$86&lt;=$BE98)*(-$BL$14+$BL$13+$BL$28) + (BL$86=$BE98)*($BL$34-$BL$38))</f>
        <v>766273.45022191538</v>
      </c>
      <c r="BM98" s="73">
        <f>(BM$86&lt;&gt;"") * ($BE98&lt;&gt;"") * ((BM$86&lt;=$BE98)*(-$BM$14+$BM$13+$BM$28) + (BM$86=$BE98)*($BM$34-$BM$38))</f>
        <v>932440.48614991538</v>
      </c>
      <c r="BN98" s="73">
        <f>(BN$86&lt;&gt;"") * ($BE98&lt;&gt;"") * ((BN$86&lt;=$BE98)*(-$BN$14+$BN$13+$BN$28) + (BN$86=$BE98)*($BN$34-$BN$38))</f>
        <v>932440.48614991538</v>
      </c>
      <c r="BO98" s="73">
        <f>(BO$86&lt;&gt;"") * ($BE98&lt;&gt;"") * ((BO$86&lt;=$BE98)*(-$BO$14+$BO$13+$BO$28) + (BO$86=$BE98)*($BO$34-$BO$38))</f>
        <v>932440.48614991538</v>
      </c>
      <c r="BP98" s="73">
        <f>(BP$86&lt;&gt;"") * ($BE98&lt;&gt;"") * ((BP$86&lt;=$BE98)*(-$BP$14+$BP$13+$BP$28) + (BP$86=$BE98)*($BP$34-$BP$38))</f>
        <v>932440.48614991538</v>
      </c>
      <c r="BQ98" s="73">
        <f>(BQ$86&lt;&gt;"") * ($BE98&lt;&gt;"") * ((BQ$86&lt;=$BE98)*(-$BQ$14+$BQ$13+$BQ$28) + (BQ$86=$BE98)*($BQ$34-$BQ$37))</f>
        <v>13840471.079074947</v>
      </c>
      <c r="BR98" s="73" t="str">
        <f t="shared" si="115"/>
        <v/>
      </c>
      <c r="BS98" s="73" t="str">
        <f t="shared" si="115"/>
        <v/>
      </c>
      <c r="BT98" s="73" t="str">
        <f t="shared" si="115"/>
        <v/>
      </c>
      <c r="BU98" s="73" t="str">
        <f t="shared" si="115"/>
        <v/>
      </c>
      <c r="BV98" s="73" t="str">
        <f t="shared" si="115"/>
        <v/>
      </c>
      <c r="BW98" s="165"/>
      <c r="BZ98" s="253" t="s">
        <v>372</v>
      </c>
      <c r="CA98" s="55" t="str">
        <f>CA83</f>
        <v> </v>
      </c>
    </row>
    <row r="99" spans="1:97"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AG99" s="165"/>
      <c r="AH99" s="165"/>
      <c r="AI99" s="165"/>
      <c r="AJ99" s="400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381"/>
      <c r="BB99" s="165"/>
      <c r="BC99" s="165"/>
      <c r="BD99" s="165"/>
      <c r="BE99" s="256" t="str">
        <f>BR86</f>
        <v/>
      </c>
      <c r="BF99" s="136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165"/>
      <c r="BZ99" s="253" t="s">
        <v>315</v>
      </c>
      <c r="CD99" s="55" t="str">
        <f t="shared" ref="CD99:CS99" si="123">IF(CD84="","",CD95*$I$18)</f>
        <v/>
      </c>
      <c r="CE99" s="55" t="str">
        <f t="shared" si="123"/>
        <v/>
      </c>
      <c r="CF99" s="55" t="str">
        <f t="shared" si="123"/>
        <v/>
      </c>
      <c r="CG99" s="55" t="str">
        <f t="shared" si="123"/>
        <v/>
      </c>
      <c r="CH99" s="55" t="str">
        <f t="shared" si="123"/>
        <v/>
      </c>
      <c r="CI99" s="55" t="str">
        <f t="shared" si="123"/>
        <v/>
      </c>
      <c r="CJ99" s="55" t="str">
        <f t="shared" si="123"/>
        <v/>
      </c>
      <c r="CK99" s="55" t="str">
        <f t="shared" si="123"/>
        <v/>
      </c>
      <c r="CL99" s="55" t="str">
        <f t="shared" si="123"/>
        <v/>
      </c>
      <c r="CM99" s="55" t="str">
        <f t="shared" si="123"/>
        <v/>
      </c>
      <c r="CN99" s="55" t="str">
        <f t="shared" si="123"/>
        <v/>
      </c>
      <c r="CO99" s="55" t="str">
        <f t="shared" si="123"/>
        <v/>
      </c>
      <c r="CP99" s="55" t="str">
        <f t="shared" si="123"/>
        <v/>
      </c>
      <c r="CQ99" s="55" t="str">
        <f t="shared" si="123"/>
        <v/>
      </c>
      <c r="CR99" s="55" t="str">
        <f t="shared" si="123"/>
        <v/>
      </c>
      <c r="CS99" s="55" t="str">
        <f t="shared" si="123"/>
        <v/>
      </c>
    </row>
    <row r="100" spans="1:97">
      <c r="A100" s="329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AG100" s="165"/>
      <c r="AH100" s="165"/>
      <c r="AI100" s="165"/>
      <c r="AJ100" s="400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381"/>
      <c r="BB100" s="165"/>
      <c r="BC100" s="165"/>
      <c r="BD100" s="165"/>
      <c r="BE100" s="256" t="str">
        <f>BS86</f>
        <v/>
      </c>
      <c r="BF100" s="136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165"/>
      <c r="BZ100" s="253" t="s">
        <v>321</v>
      </c>
      <c r="CD100" s="55" t="str">
        <f t="shared" ref="CD100:CS100" si="124">IF(CD99="","",CD95-CD99)</f>
        <v/>
      </c>
      <c r="CE100" s="55" t="str">
        <f t="shared" si="124"/>
        <v/>
      </c>
      <c r="CF100" s="55" t="str">
        <f t="shared" si="124"/>
        <v/>
      </c>
      <c r="CG100" s="55" t="str">
        <f t="shared" si="124"/>
        <v/>
      </c>
      <c r="CH100" s="55" t="str">
        <f t="shared" si="124"/>
        <v/>
      </c>
      <c r="CI100" s="55" t="str">
        <f t="shared" si="124"/>
        <v/>
      </c>
      <c r="CJ100" s="55" t="str">
        <f t="shared" si="124"/>
        <v/>
      </c>
      <c r="CK100" s="55" t="str">
        <f t="shared" si="124"/>
        <v/>
      </c>
      <c r="CL100" s="55" t="str">
        <f t="shared" si="124"/>
        <v/>
      </c>
      <c r="CM100" s="55" t="str">
        <f t="shared" si="124"/>
        <v/>
      </c>
      <c r="CN100" s="55" t="str">
        <f t="shared" si="124"/>
        <v/>
      </c>
      <c r="CO100" s="55" t="str">
        <f t="shared" si="124"/>
        <v/>
      </c>
      <c r="CP100" s="55" t="str">
        <f t="shared" si="124"/>
        <v/>
      </c>
      <c r="CQ100" s="55" t="str">
        <f t="shared" si="124"/>
        <v/>
      </c>
      <c r="CR100" s="55" t="str">
        <f t="shared" si="124"/>
        <v/>
      </c>
      <c r="CS100" s="55" t="str">
        <f t="shared" si="124"/>
        <v/>
      </c>
    </row>
    <row r="101" spans="1:97">
      <c r="A101" s="329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AG101" s="165"/>
      <c r="AH101" s="165"/>
      <c r="AI101" s="165"/>
      <c r="AJ101" s="400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381"/>
      <c r="BB101" s="165"/>
      <c r="BC101" s="165"/>
      <c r="BD101" s="165"/>
      <c r="BE101" s="256" t="str">
        <f>BT86</f>
        <v/>
      </c>
      <c r="BF101" s="136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165"/>
      <c r="BZ101" s="253" t="str">
        <f>"Total Distributions ("&amp;BZ97&amp;")"</f>
        <v>Total Distributions (Tier 4)</v>
      </c>
      <c r="CD101" s="55" t="str">
        <f t="shared" ref="CD101:CS101" si="125">IF(CD99="","",CD99+CD100)</f>
        <v/>
      </c>
      <c r="CE101" s="55" t="str">
        <f t="shared" si="125"/>
        <v/>
      </c>
      <c r="CF101" s="55" t="str">
        <f t="shared" si="125"/>
        <v/>
      </c>
      <c r="CG101" s="55" t="str">
        <f t="shared" si="125"/>
        <v/>
      </c>
      <c r="CH101" s="55" t="str">
        <f t="shared" si="125"/>
        <v/>
      </c>
      <c r="CI101" s="55" t="str">
        <f t="shared" si="125"/>
        <v/>
      </c>
      <c r="CJ101" s="55" t="str">
        <f t="shared" si="125"/>
        <v/>
      </c>
      <c r="CK101" s="55" t="str">
        <f t="shared" si="125"/>
        <v/>
      </c>
      <c r="CL101" s="55" t="str">
        <f t="shared" si="125"/>
        <v/>
      </c>
      <c r="CM101" s="55" t="str">
        <f t="shared" si="125"/>
        <v/>
      </c>
      <c r="CN101" s="55" t="str">
        <f t="shared" si="125"/>
        <v/>
      </c>
      <c r="CO101" s="55" t="str">
        <f t="shared" si="125"/>
        <v/>
      </c>
      <c r="CP101" s="55" t="str">
        <f t="shared" si="125"/>
        <v/>
      </c>
      <c r="CQ101" s="55" t="str">
        <f t="shared" si="125"/>
        <v/>
      </c>
      <c r="CR101" s="55" t="str">
        <f t="shared" si="125"/>
        <v/>
      </c>
      <c r="CS101" s="55" t="str">
        <f t="shared" si="125"/>
        <v/>
      </c>
    </row>
    <row r="102" spans="1:97">
      <c r="A102" s="329"/>
      <c r="AG102" s="165"/>
      <c r="AH102" s="165"/>
      <c r="AI102" s="165"/>
      <c r="AJ102" s="400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381"/>
      <c r="BB102" s="165"/>
      <c r="BC102" s="165"/>
      <c r="BD102" s="165"/>
      <c r="BE102" s="256" t="str">
        <f>BU86</f>
        <v/>
      </c>
      <c r="BF102" s="136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165"/>
      <c r="BZ102" s="253" t="s">
        <v>328</v>
      </c>
      <c r="CD102" s="55" t="str">
        <f t="shared" ref="CD102:CS102" si="126">IF(CD99="","",CD95-CD101)</f>
        <v/>
      </c>
      <c r="CE102" s="55" t="str">
        <f t="shared" si="126"/>
        <v/>
      </c>
      <c r="CF102" s="55" t="str">
        <f t="shared" si="126"/>
        <v/>
      </c>
      <c r="CG102" s="55" t="str">
        <f t="shared" si="126"/>
        <v/>
      </c>
      <c r="CH102" s="55" t="str">
        <f t="shared" si="126"/>
        <v/>
      </c>
      <c r="CI102" s="55" t="str">
        <f t="shared" si="126"/>
        <v/>
      </c>
      <c r="CJ102" s="55" t="str">
        <f t="shared" si="126"/>
        <v/>
      </c>
      <c r="CK102" s="55" t="str">
        <f t="shared" si="126"/>
        <v/>
      </c>
      <c r="CL102" s="55" t="str">
        <f t="shared" si="126"/>
        <v/>
      </c>
      <c r="CM102" s="55" t="str">
        <f t="shared" si="126"/>
        <v/>
      </c>
      <c r="CN102" s="55" t="str">
        <f t="shared" si="126"/>
        <v/>
      </c>
      <c r="CO102" s="55" t="str">
        <f t="shared" si="126"/>
        <v/>
      </c>
      <c r="CP102" s="55" t="str">
        <f t="shared" si="126"/>
        <v/>
      </c>
      <c r="CQ102" s="55" t="str">
        <f t="shared" si="126"/>
        <v/>
      </c>
      <c r="CR102" s="55" t="str">
        <f t="shared" si="126"/>
        <v/>
      </c>
      <c r="CS102" s="55" t="str">
        <f t="shared" si="126"/>
        <v/>
      </c>
    </row>
    <row r="103" spans="1:97">
      <c r="A103" s="329"/>
      <c r="AG103" s="165"/>
      <c r="AH103" s="165"/>
      <c r="AI103" s="165"/>
      <c r="AJ103" s="400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381"/>
      <c r="BB103" s="165"/>
      <c r="BC103" s="165"/>
      <c r="BD103" s="165"/>
      <c r="BE103" s="256" t="str">
        <f>BV86</f>
        <v/>
      </c>
      <c r="BF103" s="136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165"/>
      <c r="BZ103" s="253"/>
    </row>
    <row r="104" spans="1:97">
      <c r="A104" s="329"/>
      <c r="AG104" s="165"/>
      <c r="AH104" s="165"/>
      <c r="AI104" s="165"/>
      <c r="AJ104" s="400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381"/>
      <c r="BB104" s="165"/>
      <c r="BC104" s="165"/>
      <c r="BD104" s="165"/>
      <c r="BE104" s="165" t="s">
        <v>373</v>
      </c>
      <c r="BF104" s="165"/>
      <c r="BG104" s="165"/>
      <c r="BH104" s="165"/>
      <c r="BI104" s="165"/>
      <c r="BJ104" s="165"/>
      <c r="BK104" s="165"/>
      <c r="BL104" s="165"/>
      <c r="BM104" s="165"/>
      <c r="BN104" s="165"/>
      <c r="BO104" s="165"/>
      <c r="BP104" s="165"/>
      <c r="BQ104" s="165"/>
      <c r="BR104" s="165"/>
      <c r="BS104" s="165"/>
      <c r="BT104" s="165"/>
      <c r="BU104" s="165"/>
      <c r="BV104" s="165"/>
      <c r="BW104" s="165"/>
      <c r="BZ104" s="253"/>
    </row>
    <row r="105" spans="1:97" ht="15" customHeight="1"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</row>
    <row r="106" spans="1:97" ht="15" customHeight="1">
      <c r="B106" s="449" t="s">
        <v>243</v>
      </c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</row>
    <row r="107" spans="1:97" ht="15" customHeight="1">
      <c r="B107" s="449" t="s">
        <v>374</v>
      </c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</row>
    <row r="108" spans="1:97" ht="15" customHeight="1"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</row>
    <row r="109" spans="1:97" ht="15" customHeight="1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</row>
    <row r="110" spans="1:97" ht="15" customHeight="1">
      <c r="A110" s="449"/>
      <c r="B110" s="466" t="s">
        <v>22</v>
      </c>
      <c r="C110" s="452" t="s">
        <v>1</v>
      </c>
      <c r="D110" s="449"/>
      <c r="E110" s="449"/>
      <c r="F110" s="449"/>
      <c r="G110" s="449"/>
      <c r="H110" s="449"/>
      <c r="I110" s="449"/>
      <c r="J110" s="449" t="s">
        <v>1</v>
      </c>
      <c r="K110" s="449" t="s">
        <v>1</v>
      </c>
      <c r="L110" s="449" t="s">
        <v>1</v>
      </c>
      <c r="M110" s="467" t="s">
        <v>1</v>
      </c>
      <c r="N110" s="449" t="s">
        <v>1</v>
      </c>
      <c r="O110" s="449" t="s">
        <v>1</v>
      </c>
      <c r="P110" s="449" t="s">
        <v>1</v>
      </c>
      <c r="Q110" s="449"/>
      <c r="R110" s="449"/>
      <c r="S110" s="449"/>
      <c r="T110" s="449"/>
      <c r="U110" s="449"/>
    </row>
    <row r="111" spans="1:97" ht="15" customHeight="1">
      <c r="A111" s="449"/>
      <c r="B111" s="468" t="s">
        <v>3</v>
      </c>
      <c r="C111" s="469" t="s">
        <v>1</v>
      </c>
      <c r="D111" s="470" t="s">
        <v>4</v>
      </c>
      <c r="E111" s="469" t="s">
        <v>1</v>
      </c>
      <c r="F111" s="471"/>
      <c r="G111" s="469"/>
      <c r="H111" s="469"/>
      <c r="I111" s="469"/>
      <c r="J111" s="469" t="s">
        <v>1</v>
      </c>
      <c r="K111" s="469" t="s">
        <v>1</v>
      </c>
      <c r="L111" s="469" t="s">
        <v>1</v>
      </c>
      <c r="M111" s="469" t="s">
        <v>1</v>
      </c>
      <c r="N111" s="469" t="s">
        <v>1</v>
      </c>
      <c r="O111" s="471" t="s">
        <v>1</v>
      </c>
      <c r="P111" s="471" t="s">
        <v>1</v>
      </c>
      <c r="Q111" s="471"/>
      <c r="R111" s="471"/>
      <c r="S111" s="471"/>
      <c r="T111" s="471"/>
      <c r="U111" s="449"/>
    </row>
    <row r="112" spans="1:97" ht="15" customHeight="1">
      <c r="A112" s="449"/>
      <c r="B112" s="472" t="s">
        <v>5</v>
      </c>
      <c r="C112" s="467" t="s">
        <v>1</v>
      </c>
      <c r="D112" s="473"/>
      <c r="E112" s="467" t="s">
        <v>7</v>
      </c>
      <c r="F112" s="467"/>
      <c r="G112" s="467"/>
      <c r="H112" s="467"/>
      <c r="I112" s="467"/>
      <c r="J112" s="467" t="s">
        <v>1</v>
      </c>
      <c r="K112" s="467" t="s">
        <v>1</v>
      </c>
      <c r="L112" s="467" t="s">
        <v>1</v>
      </c>
      <c r="M112" s="467" t="s">
        <v>1</v>
      </c>
      <c r="N112" s="467" t="s">
        <v>1</v>
      </c>
      <c r="O112" s="449" t="s">
        <v>1</v>
      </c>
      <c r="P112" s="449" t="s">
        <v>1</v>
      </c>
      <c r="Q112" s="474"/>
      <c r="R112" s="474"/>
      <c r="S112" s="474"/>
      <c r="T112" s="474"/>
      <c r="U112" s="449"/>
    </row>
    <row r="113" spans="1:21" ht="15" customHeight="1">
      <c r="A113" s="449"/>
      <c r="B113" s="449" t="s">
        <v>1</v>
      </c>
      <c r="C113" s="449" t="s">
        <v>1</v>
      </c>
      <c r="D113" s="449"/>
      <c r="E113" s="449"/>
      <c r="F113" s="449"/>
      <c r="G113" s="449"/>
      <c r="H113" s="449"/>
      <c r="I113" s="449"/>
      <c r="J113" s="449" t="s">
        <v>1</v>
      </c>
      <c r="K113" s="449" t="s">
        <v>1</v>
      </c>
      <c r="L113" s="449" t="s">
        <v>1</v>
      </c>
      <c r="M113" s="467" t="s">
        <v>1</v>
      </c>
      <c r="N113" s="449" t="s">
        <v>1</v>
      </c>
      <c r="O113" s="449" t="s">
        <v>1</v>
      </c>
      <c r="P113" s="449" t="s">
        <v>1</v>
      </c>
      <c r="Q113" s="474"/>
      <c r="R113" s="474"/>
      <c r="S113" s="474"/>
      <c r="T113" s="474"/>
      <c r="U113" s="449"/>
    </row>
    <row r="114" spans="1:21" ht="15" customHeight="1">
      <c r="A114" s="449"/>
      <c r="B114" s="475" t="s">
        <v>8</v>
      </c>
      <c r="C114" s="476" t="s">
        <v>9</v>
      </c>
      <c r="D114" s="476" t="s">
        <v>10</v>
      </c>
      <c r="E114" s="449"/>
      <c r="F114" s="475"/>
      <c r="G114" s="449"/>
      <c r="H114" s="449"/>
      <c r="I114" s="449"/>
      <c r="J114" s="449" t="s">
        <v>1</v>
      </c>
      <c r="K114" s="449" t="s">
        <v>1</v>
      </c>
      <c r="L114" s="449" t="s">
        <v>1</v>
      </c>
      <c r="M114" s="467" t="s">
        <v>1</v>
      </c>
      <c r="N114" s="449" t="s">
        <v>1</v>
      </c>
      <c r="O114" s="449" t="s">
        <v>1</v>
      </c>
      <c r="P114" s="449" t="s">
        <v>1</v>
      </c>
      <c r="Q114" s="474"/>
      <c r="R114" s="474"/>
      <c r="S114" s="474"/>
      <c r="T114" s="474"/>
      <c r="U114" s="449"/>
    </row>
    <row r="115" spans="1:21" ht="15" customHeight="1">
      <c r="A115" s="449"/>
      <c r="B115" s="449" t="s">
        <v>11</v>
      </c>
      <c r="C115" s="477">
        <v>0.05</v>
      </c>
      <c r="D115" s="478">
        <f>(D20*(1-D29))*C115</f>
        <v>447372.69499999995</v>
      </c>
      <c r="E115" s="449" t="s">
        <v>1</v>
      </c>
      <c r="F115" s="449" t="s">
        <v>1</v>
      </c>
      <c r="G115" s="479" t="s">
        <v>1</v>
      </c>
      <c r="H115" s="449" t="s">
        <v>1</v>
      </c>
      <c r="I115" s="449" t="s">
        <v>1</v>
      </c>
      <c r="J115" s="449" t="s">
        <v>1</v>
      </c>
      <c r="K115" s="480"/>
      <c r="L115" s="481"/>
      <c r="M115" s="449" t="s">
        <v>1</v>
      </c>
      <c r="N115" s="449" t="s">
        <v>1</v>
      </c>
      <c r="O115" s="449" t="s">
        <v>1</v>
      </c>
      <c r="P115" s="449" t="s">
        <v>1</v>
      </c>
      <c r="Q115" s="474"/>
      <c r="R115" s="474"/>
      <c r="S115" s="474"/>
      <c r="T115" s="474"/>
      <c r="U115" s="449"/>
    </row>
    <row r="116" spans="1:21" ht="15" customHeight="1">
      <c r="A116" s="449"/>
      <c r="B116" s="449" t="s">
        <v>14</v>
      </c>
      <c r="C116" s="482">
        <v>0.95</v>
      </c>
      <c r="D116" s="483">
        <f>(D20*(1-D29))*C116</f>
        <v>8500081.2049999982</v>
      </c>
      <c r="E116" s="484"/>
      <c r="F116" s="449" t="s">
        <v>1</v>
      </c>
      <c r="G116" s="479" t="s">
        <v>1</v>
      </c>
      <c r="H116" s="449" t="s">
        <v>1</v>
      </c>
      <c r="I116" s="449" t="s">
        <v>1</v>
      </c>
      <c r="J116" s="449" t="s">
        <v>1</v>
      </c>
      <c r="K116" s="480"/>
      <c r="L116" s="485"/>
      <c r="M116" s="449" t="s">
        <v>1</v>
      </c>
      <c r="N116" s="449" t="s">
        <v>1</v>
      </c>
      <c r="O116" s="449" t="s">
        <v>1</v>
      </c>
      <c r="P116" s="449" t="s">
        <v>1</v>
      </c>
      <c r="Q116" s="449"/>
      <c r="R116" s="449"/>
      <c r="S116" s="449"/>
      <c r="T116" s="449"/>
      <c r="U116" s="449"/>
    </row>
    <row r="117" spans="1:21" ht="15" customHeight="1" thickBot="1">
      <c r="A117" s="449"/>
      <c r="B117" s="449" t="s">
        <v>17</v>
      </c>
      <c r="C117" s="449" t="s">
        <v>1</v>
      </c>
      <c r="D117" s="486">
        <f>SUM(D115:D116)</f>
        <v>8947453.8999999985</v>
      </c>
      <c r="E117" s="484"/>
      <c r="F117" s="449"/>
      <c r="G117" s="487"/>
      <c r="H117" s="449" t="s">
        <v>1</v>
      </c>
      <c r="I117" s="449" t="s">
        <v>1</v>
      </c>
      <c r="J117" s="449" t="s">
        <v>1</v>
      </c>
      <c r="K117" s="480"/>
      <c r="L117" s="485"/>
      <c r="M117" s="449" t="s">
        <v>1</v>
      </c>
      <c r="N117" s="449" t="s">
        <v>1</v>
      </c>
      <c r="O117" s="449" t="s">
        <v>1</v>
      </c>
      <c r="P117" s="449" t="s">
        <v>1</v>
      </c>
      <c r="Q117" s="449"/>
      <c r="R117" s="449"/>
      <c r="S117" s="449"/>
      <c r="T117" s="449"/>
      <c r="U117" s="449"/>
    </row>
    <row r="118" spans="1:21" ht="15" customHeight="1" thickTop="1">
      <c r="A118" s="449"/>
      <c r="B118" s="449" t="s">
        <v>1</v>
      </c>
      <c r="C118" s="449" t="s">
        <v>1</v>
      </c>
      <c r="D118" s="473" t="s">
        <v>1</v>
      </c>
      <c r="E118" s="449" t="s">
        <v>1</v>
      </c>
      <c r="F118" s="449" t="s">
        <v>1</v>
      </c>
      <c r="G118" s="479" t="s">
        <v>1</v>
      </c>
      <c r="H118" s="449" t="s">
        <v>1</v>
      </c>
      <c r="I118" s="449" t="s">
        <v>1</v>
      </c>
      <c r="J118" s="449" t="s">
        <v>1</v>
      </c>
      <c r="K118" s="449" t="s">
        <v>1</v>
      </c>
      <c r="L118" s="449" t="s">
        <v>1</v>
      </c>
      <c r="M118" s="449" t="s">
        <v>1</v>
      </c>
      <c r="N118" s="449" t="s">
        <v>1</v>
      </c>
      <c r="O118" s="449" t="s">
        <v>1</v>
      </c>
      <c r="P118" s="449" t="s">
        <v>1</v>
      </c>
      <c r="Q118" s="449"/>
      <c r="R118" s="449"/>
      <c r="S118" s="449"/>
      <c r="T118" s="449"/>
      <c r="U118" s="449"/>
    </row>
    <row r="119" spans="1:21" ht="27" customHeight="1">
      <c r="A119" s="449"/>
      <c r="B119" s="488" t="s">
        <v>19</v>
      </c>
      <c r="C119" s="488" t="s">
        <v>4</v>
      </c>
      <c r="D119" s="449" t="s">
        <v>1</v>
      </c>
      <c r="E119" s="449" t="s">
        <v>1</v>
      </c>
      <c r="F119" s="489" t="s">
        <v>20</v>
      </c>
      <c r="G119" s="489"/>
      <c r="H119" s="490" t="s">
        <v>21</v>
      </c>
      <c r="I119" s="490"/>
      <c r="J119" s="449" t="s">
        <v>1</v>
      </c>
      <c r="K119" s="449" t="s">
        <v>1</v>
      </c>
      <c r="L119" s="449" t="s">
        <v>1</v>
      </c>
      <c r="M119" s="449" t="s">
        <v>1</v>
      </c>
      <c r="N119" s="449" t="s">
        <v>1</v>
      </c>
      <c r="O119" s="449" t="s">
        <v>1</v>
      </c>
      <c r="P119" s="449" t="s">
        <v>1</v>
      </c>
      <c r="Q119" s="449"/>
      <c r="R119" s="449"/>
      <c r="S119" s="449"/>
      <c r="T119" s="449"/>
      <c r="U119" s="449"/>
    </row>
    <row r="120" spans="1:21" ht="15" customHeight="1">
      <c r="A120" s="449"/>
      <c r="B120" s="466" t="s">
        <v>22</v>
      </c>
      <c r="C120" s="449" t="s">
        <v>1</v>
      </c>
      <c r="D120" s="449" t="s">
        <v>1</v>
      </c>
      <c r="E120" s="449" t="s">
        <v>1</v>
      </c>
      <c r="F120" s="489"/>
      <c r="G120" s="489"/>
      <c r="H120" s="476" t="s">
        <v>23</v>
      </c>
      <c r="I120" s="476" t="s">
        <v>24</v>
      </c>
      <c r="J120" s="476" t="s">
        <v>25</v>
      </c>
      <c r="K120" s="449" t="s">
        <v>1</v>
      </c>
      <c r="L120" s="449" t="s">
        <v>1</v>
      </c>
      <c r="M120" s="449" t="s">
        <v>1</v>
      </c>
      <c r="N120" s="449" t="s">
        <v>1</v>
      </c>
      <c r="O120" s="449" t="s">
        <v>1</v>
      </c>
      <c r="P120" s="449" t="s">
        <v>1</v>
      </c>
      <c r="Q120" s="449"/>
      <c r="R120" s="449"/>
      <c r="S120" s="449"/>
      <c r="T120" s="449"/>
      <c r="U120" s="449"/>
    </row>
    <row r="121" spans="1:21" ht="15" customHeight="1">
      <c r="A121" s="449"/>
      <c r="B121" s="449" t="s">
        <v>26</v>
      </c>
      <c r="C121" s="491" t="s">
        <v>27</v>
      </c>
      <c r="D121" s="490" t="s">
        <v>4</v>
      </c>
      <c r="E121" s="473" t="s">
        <v>28</v>
      </c>
      <c r="F121" s="492" t="s">
        <v>29</v>
      </c>
      <c r="G121" s="492" t="s">
        <v>1</v>
      </c>
      <c r="H121" s="477">
        <f>C115</f>
        <v>0.05</v>
      </c>
      <c r="I121" s="493">
        <f>1-H121</f>
        <v>0.95</v>
      </c>
      <c r="J121" s="488" t="s">
        <v>30</v>
      </c>
      <c r="K121" s="488"/>
      <c r="L121" s="488"/>
      <c r="M121" s="488"/>
      <c r="N121" s="488"/>
      <c r="O121" s="449" t="s">
        <v>1</v>
      </c>
      <c r="P121" s="449" t="s">
        <v>1</v>
      </c>
      <c r="Q121" s="449"/>
      <c r="R121" s="449"/>
      <c r="S121" s="449"/>
      <c r="T121" s="449"/>
      <c r="U121" s="449"/>
    </row>
    <row r="122" spans="1:21" ht="15" customHeight="1">
      <c r="A122" s="449"/>
      <c r="B122" s="449" t="s">
        <v>31</v>
      </c>
      <c r="C122" s="494" t="s">
        <v>32</v>
      </c>
      <c r="D122" s="495">
        <v>0.08</v>
      </c>
      <c r="E122" s="473" t="s">
        <v>34</v>
      </c>
      <c r="F122" s="477">
        <v>0.2</v>
      </c>
      <c r="G122" s="449" t="s">
        <v>1</v>
      </c>
      <c r="H122" s="496">
        <f>1-($CA$9*(1-F122))</f>
        <v>0.24</v>
      </c>
      <c r="I122" s="493">
        <f>1-H122</f>
        <v>0.76</v>
      </c>
      <c r="J122" s="488" t="s">
        <v>35</v>
      </c>
      <c r="K122" s="488"/>
      <c r="L122" s="488"/>
      <c r="M122" s="488"/>
      <c r="N122" s="488"/>
      <c r="O122" s="449"/>
      <c r="P122" s="449"/>
      <c r="Q122" s="449"/>
      <c r="R122" s="449"/>
      <c r="S122" s="449"/>
      <c r="T122" s="449"/>
      <c r="U122" s="449"/>
    </row>
    <row r="123" spans="1:21" ht="15" customHeight="1">
      <c r="A123" s="449"/>
      <c r="B123" s="449" t="s">
        <v>36</v>
      </c>
      <c r="C123" s="494" t="s">
        <v>37</v>
      </c>
      <c r="D123" s="495">
        <v>0.12</v>
      </c>
      <c r="E123" s="473" t="s">
        <v>39</v>
      </c>
      <c r="F123" s="477">
        <v>0.3</v>
      </c>
      <c r="G123" s="449" t="s">
        <v>1</v>
      </c>
      <c r="H123" s="496">
        <f>1-($CA$9*(1-F123))</f>
        <v>0.33500000000000008</v>
      </c>
      <c r="I123" s="493">
        <f>1-H123</f>
        <v>0.66499999999999992</v>
      </c>
      <c r="J123" s="488" t="s">
        <v>40</v>
      </c>
      <c r="K123" s="488"/>
      <c r="L123" s="488"/>
      <c r="M123" s="488"/>
      <c r="N123" s="488"/>
      <c r="O123" s="449"/>
      <c r="P123" s="449"/>
      <c r="Q123" s="449"/>
      <c r="R123" s="449"/>
      <c r="S123" s="449"/>
      <c r="T123" s="449"/>
      <c r="U123" s="449"/>
    </row>
    <row r="124" spans="1:21" ht="15" customHeight="1">
      <c r="A124" s="449"/>
      <c r="B124" s="449" t="s">
        <v>41</v>
      </c>
      <c r="C124" s="494" t="s">
        <v>42</v>
      </c>
      <c r="D124" s="495">
        <v>0.15</v>
      </c>
      <c r="E124" s="473" t="s">
        <v>1</v>
      </c>
      <c r="F124" s="477">
        <v>0.4</v>
      </c>
      <c r="G124" s="449" t="s">
        <v>1</v>
      </c>
      <c r="H124" s="496">
        <f>1-($CA$9*(1-F124))</f>
        <v>0.43000000000000005</v>
      </c>
      <c r="I124" s="493">
        <f>1-H124</f>
        <v>0.56999999999999995</v>
      </c>
      <c r="J124" s="488" t="s">
        <v>44</v>
      </c>
      <c r="K124" s="488"/>
      <c r="L124" s="488"/>
      <c r="M124" s="488"/>
      <c r="N124" s="488"/>
      <c r="O124" s="449"/>
      <c r="P124" s="449"/>
      <c r="Q124" s="449"/>
      <c r="R124" s="449"/>
      <c r="S124" s="449"/>
      <c r="T124" s="449"/>
      <c r="U124" s="449"/>
    </row>
    <row r="125" spans="1:21" ht="15" customHeight="1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</row>
    <row r="126" spans="1:21" ht="15" customHeight="1">
      <c r="A126" s="449"/>
      <c r="B126" s="466" t="s">
        <v>379</v>
      </c>
      <c r="C126" s="479">
        <v>114000</v>
      </c>
      <c r="D126" s="497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</row>
    <row r="127" spans="1:21" ht="15" customHeight="1">
      <c r="A127" s="449"/>
      <c r="B127" s="498" t="s">
        <v>77</v>
      </c>
      <c r="C127" s="479">
        <v>367627</v>
      </c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</row>
    <row r="128" spans="1:21" ht="15" customHeight="1">
      <c r="A128" s="449"/>
      <c r="B128" s="499"/>
      <c r="C128" s="499"/>
      <c r="D128" s="500"/>
      <c r="E128" s="500"/>
      <c r="F128" s="501"/>
      <c r="G128" s="501"/>
      <c r="H128" s="502"/>
      <c r="I128" s="500"/>
      <c r="J128" s="502"/>
      <c r="K128" s="500"/>
      <c r="L128" s="500"/>
      <c r="M128" s="500"/>
      <c r="N128" s="500"/>
      <c r="O128" s="500"/>
      <c r="P128" s="500"/>
      <c r="Q128" s="449"/>
      <c r="R128" s="449"/>
      <c r="S128" s="449"/>
      <c r="T128" s="449"/>
      <c r="U128" s="449"/>
    </row>
    <row r="129" spans="1:21" ht="15" customHeight="1">
      <c r="A129" s="449"/>
      <c r="B129" s="503"/>
      <c r="C129" s="500"/>
      <c r="D129" s="500"/>
      <c r="E129" s="500"/>
      <c r="F129" s="501"/>
      <c r="G129" s="501"/>
      <c r="H129" s="504"/>
      <c r="I129" s="500"/>
      <c r="J129" s="504"/>
      <c r="K129" s="504"/>
      <c r="L129" s="500"/>
      <c r="M129" s="500"/>
      <c r="N129" s="500"/>
      <c r="O129" s="500"/>
      <c r="P129" s="500"/>
      <c r="Q129" s="449"/>
      <c r="R129" s="449"/>
      <c r="S129" s="449"/>
      <c r="T129" s="449"/>
      <c r="U129" s="449"/>
    </row>
    <row r="130" spans="1:21" ht="15" customHeight="1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</row>
    <row r="131" spans="1:21" ht="15" customHeight="1">
      <c r="A131" s="449"/>
      <c r="B131" s="505" t="s">
        <v>281</v>
      </c>
      <c r="C131" s="505"/>
      <c r="D131" s="505" t="s">
        <v>11</v>
      </c>
      <c r="E131" s="505"/>
      <c r="F131" s="505" t="s">
        <v>297</v>
      </c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</row>
    <row r="132" spans="1:21" ht="15" customHeight="1">
      <c r="B132" s="475" t="s">
        <v>4</v>
      </c>
      <c r="C132" s="476"/>
      <c r="D132" s="482">
        <v>1.2206999999999999</v>
      </c>
      <c r="E132" s="493"/>
      <c r="F132" s="493">
        <v>6.0100000000000001E-2</v>
      </c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</row>
    <row r="133" spans="1:21" ht="15" customHeight="1">
      <c r="B133" s="449" t="s">
        <v>286</v>
      </c>
      <c r="C133" s="477"/>
      <c r="D133" s="506">
        <v>2351464</v>
      </c>
      <c r="E133" s="506"/>
      <c r="F133" s="506">
        <v>16032900</v>
      </c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</row>
    <row r="134" spans="1:21" ht="15" customHeight="1">
      <c r="B134" s="449" t="s">
        <v>287</v>
      </c>
      <c r="C134" s="482"/>
      <c r="D134" s="506">
        <v>539446</v>
      </c>
      <c r="E134" s="506"/>
      <c r="F134" s="506">
        <v>10249467</v>
      </c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</row>
    <row r="135" spans="1:21" ht="15" customHeight="1">
      <c r="B135" s="449" t="s">
        <v>289</v>
      </c>
      <c r="C135" s="449"/>
      <c r="D135" s="506">
        <v>1812018</v>
      </c>
      <c r="E135" s="506"/>
      <c r="F135" s="506">
        <v>5783433</v>
      </c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</row>
    <row r="136" spans="1:21" ht="15" customHeight="1">
      <c r="B136" s="449" t="s">
        <v>27</v>
      </c>
      <c r="C136" s="449"/>
      <c r="D136" s="506" t="s">
        <v>380</v>
      </c>
      <c r="E136" s="449"/>
      <c r="F136" s="507" t="s">
        <v>380</v>
      </c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</row>
    <row r="137" spans="1:21" ht="15" customHeight="1"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</row>
    <row r="138" spans="1:21" ht="15" customHeight="1"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</row>
  </sheetData>
  <mergeCells count="9">
    <mergeCell ref="CH17:CL17"/>
    <mergeCell ref="Z28:AB28"/>
    <mergeCell ref="Z37:AB37"/>
    <mergeCell ref="B3:D3"/>
    <mergeCell ref="CD12:CE13"/>
    <mergeCell ref="CF12:CG12"/>
    <mergeCell ref="CH14:CL14"/>
    <mergeCell ref="CH15:CL15"/>
    <mergeCell ref="CH16:CL16"/>
  </mergeCells>
  <conditionalFormatting sqref="D16">
    <cfRule type="expression" dxfId="19" priority="3" stopIfTrue="1">
      <formula>$C4&lt;&gt;""</formula>
    </cfRule>
  </conditionalFormatting>
  <conditionalFormatting sqref="D17">
    <cfRule type="expression" dxfId="18" priority="6" stopIfTrue="1">
      <formula>$C8&lt;&gt;""</formula>
    </cfRule>
  </conditionalFormatting>
  <conditionalFormatting sqref="D18:D19">
    <cfRule type="expression" dxfId="17" priority="4" stopIfTrue="1">
      <formula>$C10&lt;&gt;""</formula>
    </cfRule>
  </conditionalFormatting>
  <conditionalFormatting sqref="D24:D26 D29">
    <cfRule type="expression" dxfId="16" priority="1" stopIfTrue="1">
      <formula>$C25&lt;&gt;""</formula>
    </cfRule>
  </conditionalFormatting>
  <conditionalFormatting sqref="D27:D28">
    <cfRule type="expression" dxfId="15" priority="5" stopIfTrue="1">
      <formula>$C29&lt;&gt;""</formula>
    </cfRule>
  </conditionalFormatting>
  <conditionalFormatting sqref="D30">
    <cfRule type="expression" dxfId="14" priority="2" stopIfTrue="1">
      <formula>#REF!&lt;&gt;""</formula>
    </cfRule>
  </conditionalFormatting>
  <dataValidations count="6">
    <dataValidation type="list" allowBlank="1" showInputMessage="1" showErrorMessage="1" sqref="AG9" xr:uid="{E408556F-BFA2-4E41-A80B-6F3E071403CE}">
      <formula1>"Simple, Detailed"</formula1>
    </dataValidation>
    <dataValidation type="whole" allowBlank="1" showInputMessage="1" showErrorMessage="1" errorTitle="Invalid Year" error="Mininum of 1 year._x000a_Maximum of 15 years." sqref="D10" xr:uid="{46E2E5C8-2C67-4A80-B973-D317C74E6147}">
      <formula1>1</formula1>
      <formula2>15</formula2>
    </dataValidation>
    <dataValidation type="list" allowBlank="1" showInputMessage="1" showErrorMessage="1" sqref="D7" xr:uid="{41DF7914-8582-4FCF-9C73-6AAD59D9E4BA}">
      <formula1>"Manual Input,DCF Value,Cap Year 1 NOI,Replacement Cost"</formula1>
    </dataValidation>
    <dataValidation type="decimal" operator="greaterThan" allowBlank="1" showInputMessage="1" showErrorMessage="1" sqref="D15" xr:uid="{55258E79-9886-4453-87D5-A0EE39A27F91}">
      <formula1>0</formula1>
    </dataValidation>
    <dataValidation type="list" allowBlank="1" showInputMessage="1" showErrorMessage="1" sqref="I3 D9" xr:uid="{D1072C0B-3EFF-4D0A-A110-CDF79E77B38C}">
      <formula1>"SF,M2"</formula1>
    </dataValidation>
    <dataValidation type="list" allowBlank="1" showInputMessage="1" showErrorMessage="1" errorTitle="Invalid Entry" error="Enter a value lesser than or equal to 15 years (max length available in this model)" sqref="D11" xr:uid="{6C60B120-A965-46C7-8D19-9C4CE880070B}">
      <formula1>"T12,Forward 12"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6EA6-364F-47D1-8387-355D9CADD389}">
  <dimension ref="A1:DP175"/>
  <sheetViews>
    <sheetView topLeftCell="AH6" workbookViewId="0">
      <selection activeCell="AO84" sqref="AO84"/>
    </sheetView>
  </sheetViews>
  <sheetFormatPr defaultColWidth="10.7109375" defaultRowHeight="16.5" customHeight="1"/>
  <cols>
    <col min="1" max="1" width="3.5703125" style="55" customWidth="1"/>
    <col min="2" max="2" width="31.7109375" style="55" bestFit="1" customWidth="1"/>
    <col min="3" max="3" width="17" style="55" customWidth="1"/>
    <col min="4" max="4" width="14.7109375" style="55" bestFit="1" customWidth="1"/>
    <col min="5" max="6" width="22.42578125" style="55" customWidth="1"/>
    <col min="7" max="7" width="32.42578125" style="55" bestFit="1" customWidth="1"/>
    <col min="8" max="8" width="19.140625" style="55" customWidth="1"/>
    <col min="9" max="9" width="17" style="55" bestFit="1" customWidth="1"/>
    <col min="10" max="10" width="21.5703125" style="55" bestFit="1" customWidth="1"/>
    <col min="11" max="11" width="21.28515625" style="55" customWidth="1"/>
    <col min="12" max="12" width="34.28515625" style="55" bestFit="1" customWidth="1"/>
    <col min="13" max="13" width="15.85546875" style="55" customWidth="1"/>
    <col min="14" max="14" width="11.85546875" style="55" bestFit="1" customWidth="1"/>
    <col min="15" max="24" width="10.7109375" style="55"/>
    <col min="25" max="25" width="10.7109375" style="161"/>
    <col min="26" max="26" width="10.7109375" style="55"/>
    <col min="27" max="27" width="24.85546875" style="55" customWidth="1"/>
    <col min="28" max="28" width="7.140625" style="55" customWidth="1"/>
    <col min="29" max="29" width="18.140625" style="55" customWidth="1"/>
    <col min="30" max="30" width="19.85546875" style="163" customWidth="1"/>
    <col min="31" max="31" width="14.42578125" style="55" customWidth="1"/>
    <col min="32" max="33" width="10.7109375" style="55"/>
    <col min="34" max="34" width="30" style="55" customWidth="1"/>
    <col min="35" max="35" width="25.28515625" style="55" customWidth="1"/>
    <col min="36" max="36" width="11.28515625" style="55" customWidth="1"/>
    <col min="37" max="37" width="14.7109375" style="399" customWidth="1"/>
    <col min="38" max="38" width="14.42578125" style="55" customWidth="1"/>
    <col min="39" max="39" width="15" style="55" customWidth="1"/>
    <col min="40" max="40" width="21.140625" style="55" customWidth="1"/>
    <col min="41" max="41" width="11.85546875" style="55" customWidth="1"/>
    <col min="42" max="42" width="12.140625" style="55" customWidth="1"/>
    <col min="43" max="43" width="13.28515625" style="55" customWidth="1"/>
    <col min="44" max="44" width="11.7109375" style="55" bestFit="1" customWidth="1"/>
    <col min="45" max="45" width="13.5703125" style="55" bestFit="1" customWidth="1"/>
    <col min="46" max="46" width="12.85546875" style="55" customWidth="1"/>
    <col min="47" max="47" width="13" style="55" customWidth="1"/>
    <col min="48" max="48" width="12" style="55" customWidth="1"/>
    <col min="49" max="49" width="12.85546875" style="55" customWidth="1"/>
    <col min="50" max="50" width="12.42578125" style="55" customWidth="1"/>
    <col min="51" max="51" width="13.5703125" style="55" customWidth="1"/>
    <col min="52" max="52" width="12.5703125" style="55" customWidth="1"/>
    <col min="53" max="53" width="13.28515625" style="55" customWidth="1"/>
    <col min="54" max="54" width="36" style="380" customWidth="1"/>
    <col min="55" max="56" width="10.7109375" style="55"/>
    <col min="57" max="57" width="5.7109375" style="55" bestFit="1" customWidth="1"/>
    <col min="58" max="58" width="70.85546875" style="55" bestFit="1" customWidth="1"/>
    <col min="59" max="59" width="11.140625" style="55" bestFit="1" customWidth="1"/>
    <col min="60" max="61" width="11.7109375" style="55" customWidth="1"/>
    <col min="62" max="62" width="12.28515625" style="55" bestFit="1" customWidth="1"/>
    <col min="63" max="70" width="11.7109375" style="55" customWidth="1"/>
    <col min="71" max="71" width="14.42578125" style="55" customWidth="1"/>
    <col min="72" max="75" width="2.5703125" style="55" bestFit="1" customWidth="1"/>
    <col min="76" max="77" width="10.7109375" style="55"/>
    <col min="78" max="78" width="5.7109375" style="55" bestFit="1" customWidth="1"/>
    <col min="79" max="79" width="51" style="55" customWidth="1"/>
    <col min="80" max="80" width="16" style="55" bestFit="1" customWidth="1"/>
    <col min="81" max="81" width="16.28515625" style="55" customWidth="1"/>
    <col min="82" max="82" width="20.42578125" style="55" bestFit="1" customWidth="1"/>
    <col min="83" max="83" width="13.5703125" style="55" bestFit="1" customWidth="1"/>
    <col min="84" max="84" width="11.7109375" style="55" customWidth="1"/>
    <col min="85" max="85" width="10.5703125" style="55" customWidth="1"/>
    <col min="86" max="86" width="13.42578125" style="55" customWidth="1"/>
    <col min="87" max="87" width="12" style="55" bestFit="1" customWidth="1"/>
    <col min="88" max="88" width="12.28515625" style="55" customWidth="1"/>
    <col min="89" max="89" width="10.7109375" style="55"/>
    <col min="90" max="90" width="11.140625" style="55" customWidth="1"/>
    <col min="91" max="91" width="11.5703125" style="55" customWidth="1"/>
    <col min="92" max="93" width="11.85546875" style="55" customWidth="1"/>
    <col min="94" max="99" width="2.7109375" style="55" bestFit="1" customWidth="1"/>
    <col min="100" max="101" width="10.7109375" style="55"/>
    <col min="102" max="102" width="15.5703125" style="55" customWidth="1"/>
    <col min="103" max="104" width="13" style="55" bestFit="1" customWidth="1"/>
    <col min="105" max="105" width="22.7109375" style="55" customWidth="1"/>
    <col min="106" max="16384" width="10.7109375" style="55"/>
  </cols>
  <sheetData>
    <row r="1" spans="2:120" ht="51.95" customHeight="1">
      <c r="B1" s="160" t="s">
        <v>343</v>
      </c>
      <c r="AA1" s="162" t="s">
        <v>573</v>
      </c>
      <c r="AH1" s="160" t="s">
        <v>574</v>
      </c>
      <c r="AP1" s="164"/>
      <c r="BF1" s="160" t="s">
        <v>575</v>
      </c>
      <c r="CA1" s="160" t="s">
        <v>122</v>
      </c>
      <c r="CX1" s="160" t="s">
        <v>576</v>
      </c>
    </row>
    <row r="2" spans="2:120" ht="17.25">
      <c r="AA2" s="286" t="s">
        <v>125</v>
      </c>
      <c r="AB2" s="286"/>
      <c r="AC2" s="286"/>
      <c r="AH2" s="165"/>
      <c r="AI2" s="165"/>
      <c r="AJ2" s="165"/>
      <c r="AK2" s="400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381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CA2" s="166" t="str">
        <f>D4</f>
        <v>Hiland Office</v>
      </c>
      <c r="CB2" s="167" t="s">
        <v>1</v>
      </c>
      <c r="CC2" s="167" t="s">
        <v>1</v>
      </c>
      <c r="CD2" s="167" t="s">
        <v>1</v>
      </c>
      <c r="CE2" s="167" t="s">
        <v>1</v>
      </c>
      <c r="CF2" s="167" t="s">
        <v>1</v>
      </c>
      <c r="CG2" s="167" t="s">
        <v>1</v>
      </c>
      <c r="CH2" s="167" t="s">
        <v>1</v>
      </c>
      <c r="CI2" s="167" t="s">
        <v>1</v>
      </c>
      <c r="CJ2" s="167" t="s">
        <v>1</v>
      </c>
      <c r="CK2" s="167" t="s">
        <v>1</v>
      </c>
      <c r="CL2" s="167" t="s">
        <v>1</v>
      </c>
      <c r="CM2" s="167" t="s">
        <v>1</v>
      </c>
      <c r="CN2" s="167" t="s">
        <v>1</v>
      </c>
      <c r="CO2" s="167" t="s">
        <v>1</v>
      </c>
      <c r="CP2" s="167" t="s">
        <v>1</v>
      </c>
      <c r="CQ2" s="167" t="s">
        <v>1</v>
      </c>
      <c r="CR2" s="167" t="s">
        <v>1</v>
      </c>
      <c r="CS2" s="167" t="s">
        <v>1</v>
      </c>
      <c r="CT2" s="167" t="s">
        <v>1</v>
      </c>
    </row>
    <row r="3" spans="2:120" ht="37.5">
      <c r="B3" s="837" t="s">
        <v>125</v>
      </c>
      <c r="C3" s="837"/>
      <c r="D3" s="837"/>
      <c r="G3" s="754" t="s">
        <v>584</v>
      </c>
      <c r="H3" s="753"/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AA3" s="263" t="s">
        <v>126</v>
      </c>
      <c r="AB3" s="263"/>
      <c r="AC3" s="287">
        <f>(1+D24)*AC14+AC32*D40+D23</f>
        <v>25407936.243000001</v>
      </c>
      <c r="AD3" s="163" t="s">
        <v>127</v>
      </c>
      <c r="AH3" s="170" t="s">
        <v>128</v>
      </c>
      <c r="AI3" s="170"/>
      <c r="AJ3" s="170"/>
      <c r="AK3" s="401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382"/>
      <c r="BC3" s="170"/>
      <c r="BD3" s="170"/>
      <c r="BE3" s="293"/>
      <c r="BF3" s="170" t="s">
        <v>128</v>
      </c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1"/>
      <c r="CA3" s="330" t="s">
        <v>1</v>
      </c>
      <c r="CB3" s="331" t="s">
        <v>1</v>
      </c>
      <c r="CC3" s="331" t="s">
        <v>1</v>
      </c>
      <c r="CD3" s="173" t="s">
        <v>1</v>
      </c>
      <c r="CE3" s="173" t="s">
        <v>1</v>
      </c>
      <c r="CF3" s="173" t="s">
        <v>1</v>
      </c>
      <c r="CG3" s="173" t="s">
        <v>1</v>
      </c>
      <c r="CH3" s="173" t="s">
        <v>1</v>
      </c>
      <c r="CI3" s="173" t="s">
        <v>1</v>
      </c>
      <c r="CJ3" s="173" t="s">
        <v>1</v>
      </c>
      <c r="CK3" s="173" t="s">
        <v>1</v>
      </c>
      <c r="CL3" s="173" t="s">
        <v>1</v>
      </c>
      <c r="CM3" s="173" t="s">
        <v>1</v>
      </c>
      <c r="CN3" s="173" t="s">
        <v>1</v>
      </c>
      <c r="CO3" s="173" t="s">
        <v>1</v>
      </c>
      <c r="CP3" s="173" t="s">
        <v>1</v>
      </c>
      <c r="CQ3" s="173" t="s">
        <v>1</v>
      </c>
      <c r="CR3" s="173" t="s">
        <v>1</v>
      </c>
      <c r="CS3" s="173" t="s">
        <v>1</v>
      </c>
      <c r="CT3" s="173" t="s">
        <v>1</v>
      </c>
      <c r="CX3" s="231"/>
      <c r="CY3" s="231" t="s">
        <v>46</v>
      </c>
      <c r="CZ3" s="231" t="s">
        <v>129</v>
      </c>
      <c r="DA3" s="248" t="s">
        <v>130</v>
      </c>
      <c r="DB3" s="598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  <c r="DP3" s="249"/>
    </row>
    <row r="4" spans="2:120">
      <c r="B4" s="35" t="s">
        <v>131</v>
      </c>
      <c r="C4" s="174"/>
      <c r="D4" s="36" t="s">
        <v>132</v>
      </c>
      <c r="G4" s="753" t="s">
        <v>585</v>
      </c>
      <c r="H4" s="766" t="s">
        <v>90</v>
      </c>
      <c r="I4" s="766" t="s">
        <v>91</v>
      </c>
      <c r="J4" s="766" t="s">
        <v>586</v>
      </c>
      <c r="K4" s="766" t="s">
        <v>94</v>
      </c>
      <c r="L4" s="766" t="s">
        <v>219</v>
      </c>
      <c r="M4" s="766" t="s">
        <v>215</v>
      </c>
      <c r="N4" s="766" t="s">
        <v>226</v>
      </c>
      <c r="O4" s="753"/>
      <c r="P4" s="753"/>
      <c r="Q4" s="753"/>
      <c r="R4" s="753"/>
      <c r="S4" s="753"/>
      <c r="T4" s="753"/>
      <c r="U4" s="753"/>
      <c r="V4" s="753"/>
      <c r="AA4" s="263" t="s">
        <v>133</v>
      </c>
      <c r="AB4" s="263"/>
      <c r="AC4" s="288">
        <f ca="1">AC6/AC14</f>
        <v>4.0223686659167035E-2</v>
      </c>
      <c r="AD4" s="163" t="s">
        <v>134</v>
      </c>
      <c r="AH4" s="165"/>
      <c r="AI4" s="165"/>
      <c r="AJ4" s="165"/>
      <c r="AK4" s="400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381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CA4" s="359" t="s">
        <v>3</v>
      </c>
      <c r="CB4" s="360" t="s">
        <v>1</v>
      </c>
      <c r="CC4" s="361"/>
      <c r="CD4" s="360" t="s">
        <v>1</v>
      </c>
      <c r="CE4" s="362"/>
      <c r="CF4" s="363"/>
      <c r="CG4" s="363"/>
      <c r="CH4" s="363"/>
      <c r="CI4" s="360" t="s">
        <v>1</v>
      </c>
      <c r="CJ4" s="360" t="s">
        <v>1</v>
      </c>
      <c r="CK4" s="360" t="s">
        <v>1</v>
      </c>
      <c r="CL4" s="360" t="s">
        <v>1</v>
      </c>
      <c r="CM4" s="360" t="s">
        <v>1</v>
      </c>
      <c r="CN4" s="360" t="s">
        <v>1</v>
      </c>
      <c r="CO4" s="360" t="s">
        <v>1</v>
      </c>
      <c r="CP4" s="360" t="s">
        <v>1</v>
      </c>
      <c r="CQ4" s="360" t="s">
        <v>1</v>
      </c>
      <c r="CR4" s="360" t="s">
        <v>1</v>
      </c>
      <c r="CS4" s="364" t="s">
        <v>1</v>
      </c>
      <c r="CT4" s="173" t="s">
        <v>1</v>
      </c>
      <c r="CX4" s="55" t="s">
        <v>135</v>
      </c>
      <c r="CY4" s="441">
        <f>H98</f>
        <v>645198</v>
      </c>
      <c r="CZ4" s="441">
        <f>J98</f>
        <v>782198</v>
      </c>
      <c r="DA4" s="446">
        <f>L98</f>
        <v>782198</v>
      </c>
    </row>
    <row r="5" spans="2:120" ht="24.75">
      <c r="B5" s="35" t="s">
        <v>136</v>
      </c>
      <c r="C5" s="174"/>
      <c r="D5" s="37" t="s">
        <v>137</v>
      </c>
      <c r="G5" s="753" t="s">
        <v>361</v>
      </c>
      <c r="H5" s="756">
        <f>$AB$48*R98</f>
        <v>96526.267589142008</v>
      </c>
      <c r="I5" s="756">
        <f>$AB$47*R98</f>
        <v>13513.407194336</v>
      </c>
      <c r="J5" s="756">
        <f>$AB$46*R98</f>
        <v>32818.274614816</v>
      </c>
      <c r="K5" s="756">
        <f>$AB$44*R98</f>
        <v>28957.301130719999</v>
      </c>
      <c r="L5" s="756">
        <f>$AB$43*R98</f>
        <v>25096.327646623999</v>
      </c>
      <c r="M5" s="756">
        <f>$AB$42*R98</f>
        <v>5791.4602261439995</v>
      </c>
      <c r="N5" s="756">
        <f>$AB$45*R98</f>
        <v>36679.248098912001</v>
      </c>
      <c r="O5" s="753"/>
      <c r="P5" s="753"/>
      <c r="Q5" s="753"/>
      <c r="R5" s="753"/>
      <c r="S5" s="753"/>
      <c r="T5" s="753"/>
      <c r="U5" s="753"/>
      <c r="V5" s="753"/>
      <c r="AA5" s="263" t="s">
        <v>138</v>
      </c>
      <c r="AB5" s="263"/>
      <c r="AC5" s="289">
        <f>AC14/D22</f>
        <v>490.16924</v>
      </c>
      <c r="AD5" s="163" t="s">
        <v>139</v>
      </c>
      <c r="AH5" s="165"/>
      <c r="AI5" s="165"/>
      <c r="AJ5" s="165"/>
      <c r="AK5" s="400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381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X5" s="165"/>
      <c r="CA5" s="365" t="s">
        <v>5</v>
      </c>
      <c r="CB5" s="173" t="s">
        <v>1</v>
      </c>
      <c r="CC5" s="178"/>
      <c r="CD5" s="332" t="s">
        <v>7</v>
      </c>
      <c r="CE5" s="332"/>
      <c r="CF5" s="332"/>
      <c r="CG5" s="332"/>
      <c r="CH5" s="332"/>
      <c r="CI5" s="173" t="s">
        <v>1</v>
      </c>
      <c r="CJ5" s="173" t="s">
        <v>1</v>
      </c>
      <c r="CK5" s="173" t="s">
        <v>1</v>
      </c>
      <c r="CL5" s="173" t="s">
        <v>1</v>
      </c>
      <c r="CM5" s="173" t="s">
        <v>1</v>
      </c>
      <c r="CN5" s="173" t="s">
        <v>1</v>
      </c>
      <c r="CO5" s="173" t="s">
        <v>1</v>
      </c>
      <c r="CP5" s="173" t="s">
        <v>1</v>
      </c>
      <c r="CQ5" s="173" t="s">
        <v>1</v>
      </c>
      <c r="CR5" s="173" t="s">
        <v>1</v>
      </c>
      <c r="CS5" s="366" t="s">
        <v>1</v>
      </c>
      <c r="CT5" s="173" t="s">
        <v>1</v>
      </c>
      <c r="CX5" s="55" t="s">
        <v>140</v>
      </c>
      <c r="CY5" s="441">
        <f>H99</f>
        <v>322597.19999999995</v>
      </c>
      <c r="CZ5" s="441">
        <f>J99</f>
        <v>322597.19999999995</v>
      </c>
      <c r="DA5" s="446">
        <f>L99</f>
        <v>322597.19999999995</v>
      </c>
    </row>
    <row r="6" spans="2:120" ht="18.75">
      <c r="B6" s="35" t="s">
        <v>587</v>
      </c>
      <c r="C6" s="174"/>
      <c r="D6" s="38">
        <v>0.9</v>
      </c>
      <c r="G6" s="753" t="s">
        <v>364</v>
      </c>
      <c r="H6" s="756">
        <f>$AB$48*R99</f>
        <v>48263.133794571004</v>
      </c>
      <c r="I6" s="756">
        <f>$AB$47*R99</f>
        <v>6756.7035971679998</v>
      </c>
      <c r="J6" s="756">
        <f>$AB$46*R99</f>
        <v>16409.137307408</v>
      </c>
      <c r="K6" s="756">
        <f>$AB$44*R99</f>
        <v>14478.65056536</v>
      </c>
      <c r="L6" s="756">
        <f>$AB$43*R99</f>
        <v>12548.163823311999</v>
      </c>
      <c r="M6" s="756">
        <f>$AB$42*R99</f>
        <v>2895.7301130719998</v>
      </c>
      <c r="N6" s="756">
        <f>$AB$45*R99</f>
        <v>18339.624049456001</v>
      </c>
      <c r="O6" s="753"/>
      <c r="P6" s="753"/>
      <c r="Q6" s="753"/>
      <c r="R6" s="753"/>
      <c r="S6" s="753"/>
      <c r="T6" s="753"/>
      <c r="U6" s="753"/>
      <c r="V6" s="753"/>
      <c r="AA6" s="263" t="s">
        <v>141</v>
      </c>
      <c r="AB6" s="263"/>
      <c r="AC6" s="290">
        <f ca="1">BI33</f>
        <v>985820.69598610222</v>
      </c>
      <c r="AD6" s="163" t="s">
        <v>142</v>
      </c>
      <c r="AH6" s="179" t="s">
        <v>143</v>
      </c>
      <c r="AI6" s="180"/>
      <c r="AJ6" s="180"/>
      <c r="AK6" s="402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383"/>
      <c r="BC6" s="180"/>
      <c r="BD6" s="180"/>
      <c r="BE6" s="181"/>
      <c r="BF6" s="179" t="str">
        <f>UPPER("Property-Level Cash Flow and Returns")</f>
        <v>PROPERTY-LEVEL CASH FLOW AND RETURNS</v>
      </c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0"/>
      <c r="BX6" s="181"/>
      <c r="CA6" s="367" t="s">
        <v>1</v>
      </c>
      <c r="CB6" s="182" t="s">
        <v>1</v>
      </c>
      <c r="CI6" s="182" t="s">
        <v>1</v>
      </c>
      <c r="CJ6" s="182" t="s">
        <v>1</v>
      </c>
      <c r="CK6" s="182" t="s">
        <v>1</v>
      </c>
      <c r="CL6" s="173" t="s">
        <v>1</v>
      </c>
      <c r="CM6" s="182" t="s">
        <v>1</v>
      </c>
      <c r="CN6" s="182" t="s">
        <v>1</v>
      </c>
      <c r="CO6" s="182" t="s">
        <v>1</v>
      </c>
      <c r="CP6" s="182" t="s">
        <v>1</v>
      </c>
      <c r="CQ6" s="182" t="s">
        <v>1</v>
      </c>
      <c r="CR6" s="182" t="s">
        <v>1</v>
      </c>
      <c r="CS6" s="229" t="s">
        <v>1</v>
      </c>
      <c r="CT6" s="182" t="s">
        <v>1</v>
      </c>
      <c r="CX6" s="55" t="s">
        <v>144</v>
      </c>
      <c r="CY6" s="441">
        <f>H100</f>
        <v>258085.19999999998</v>
      </c>
      <c r="CZ6" s="441">
        <f>J100</f>
        <v>258085.19999999998</v>
      </c>
      <c r="DA6" s="446">
        <f>L100</f>
        <v>258085.19999999998</v>
      </c>
    </row>
    <row r="7" spans="2:120">
      <c r="B7" s="255" t="s">
        <v>145</v>
      </c>
      <c r="C7" s="183"/>
      <c r="D7" s="37" t="s">
        <v>146</v>
      </c>
      <c r="G7" s="753" t="s">
        <v>365</v>
      </c>
      <c r="H7" s="756">
        <f>$AB$48*R100</f>
        <v>38610.507035656803</v>
      </c>
      <c r="I7" s="756">
        <f>$AB$47*R100</f>
        <v>5405.3628777344002</v>
      </c>
      <c r="J7" s="756">
        <f>$AB$46*R100</f>
        <v>13127.309845926402</v>
      </c>
      <c r="K7" s="756">
        <f>$AB$44*R100</f>
        <v>11582.920452288001</v>
      </c>
      <c r="L7" s="756">
        <f>$AB$43*R100</f>
        <v>10038.5310586496</v>
      </c>
      <c r="M7" s="756">
        <f>$AB$42*R100</f>
        <v>2316.5840904575998</v>
      </c>
      <c r="N7" s="756">
        <f>$AB$45*R100</f>
        <v>14671.699239564799</v>
      </c>
      <c r="O7" s="753"/>
      <c r="P7" s="753"/>
      <c r="Q7" s="753"/>
      <c r="R7" s="753"/>
      <c r="S7" s="753"/>
      <c r="T7" s="753"/>
      <c r="U7" s="753"/>
      <c r="V7" s="753"/>
      <c r="AA7" s="263" t="s">
        <v>147</v>
      </c>
      <c r="AB7" s="263"/>
      <c r="AC7" s="290">
        <f>BK33</f>
        <v>914808.79773428466</v>
      </c>
      <c r="AD7" s="163" t="s">
        <v>142</v>
      </c>
      <c r="AH7" s="184" t="str">
        <f>UPPER(_xlfn.SINGLE(Name))</f>
        <v>HILAND OFFICE</v>
      </c>
      <c r="AI7" s="185"/>
      <c r="AJ7" s="185"/>
      <c r="AK7" s="400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384"/>
      <c r="BC7" s="185"/>
      <c r="BD7" s="185"/>
      <c r="BE7" s="165"/>
      <c r="BF7" s="184" t="str" cm="1">
        <f t="array" ref="BF7">UPPER(Name)</f>
        <v>HILAND OFFICE</v>
      </c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65"/>
      <c r="CA7" s="368" t="s">
        <v>8</v>
      </c>
      <c r="CB7" s="345" t="s">
        <v>9</v>
      </c>
      <c r="CC7" s="345" t="s">
        <v>10</v>
      </c>
      <c r="CE7" s="168"/>
      <c r="CI7" s="182" t="s">
        <v>1</v>
      </c>
      <c r="CJ7" s="182" t="s">
        <v>1</v>
      </c>
      <c r="CK7" s="182" t="s">
        <v>1</v>
      </c>
      <c r="CL7" s="173" t="s">
        <v>1</v>
      </c>
      <c r="CM7" s="182" t="s">
        <v>1</v>
      </c>
      <c r="CN7" s="182" t="s">
        <v>1</v>
      </c>
      <c r="CO7" s="182" t="s">
        <v>1</v>
      </c>
      <c r="CP7" s="182" t="s">
        <v>1</v>
      </c>
      <c r="CQ7" s="182" t="s">
        <v>1</v>
      </c>
      <c r="CR7" s="182" t="s">
        <v>1</v>
      </c>
      <c r="CS7" s="229" t="s">
        <v>1</v>
      </c>
      <c r="CT7" s="182" t="s">
        <v>1</v>
      </c>
      <c r="CX7" s="55" t="s">
        <v>148</v>
      </c>
      <c r="CY7" s="441">
        <f>H101</f>
        <v>387120</v>
      </c>
      <c r="CZ7" s="441">
        <f>J101</f>
        <v>387120</v>
      </c>
      <c r="DA7" s="446">
        <f>L101</f>
        <v>387120</v>
      </c>
    </row>
    <row r="8" spans="2:120" ht="24.75" customHeight="1">
      <c r="B8" s="35" t="s">
        <v>149</v>
      </c>
      <c r="C8" s="174"/>
      <c r="D8" s="39">
        <v>45839</v>
      </c>
      <c r="E8" s="187"/>
      <c r="G8" s="753" t="s">
        <v>366</v>
      </c>
      <c r="H8" s="756">
        <f>$AB$48*R101</f>
        <v>57915.760553485205</v>
      </c>
      <c r="I8" s="756">
        <f>$AB$47*R101</f>
        <v>8108.0443166016003</v>
      </c>
      <c r="J8" s="756">
        <f>$AB$46*R101</f>
        <v>19690.9647688896</v>
      </c>
      <c r="K8" s="756">
        <f>$AB$44*R101</f>
        <v>17374.380678432</v>
      </c>
      <c r="L8" s="756">
        <f>$AB$43*R101</f>
        <v>15057.796587974399</v>
      </c>
      <c r="M8" s="756">
        <f>$AB$42*R101</f>
        <v>3474.8761356863997</v>
      </c>
      <c r="N8" s="756">
        <f>$AB$45*R101</f>
        <v>22007.5488593472</v>
      </c>
      <c r="O8" s="753"/>
      <c r="P8" s="753"/>
      <c r="Q8" s="753"/>
      <c r="R8" s="753"/>
      <c r="S8" s="753"/>
      <c r="T8" s="753"/>
      <c r="U8" s="753"/>
      <c r="V8" s="753"/>
      <c r="AA8" s="263" t="s">
        <v>150</v>
      </c>
      <c r="AB8" s="263"/>
      <c r="AC8" s="288" t="e">
        <f>#REF!+(D10*(D15/10000))</f>
        <v>#REF!</v>
      </c>
      <c r="AD8" s="163" t="s">
        <v>151</v>
      </c>
      <c r="AH8" s="188" t="s">
        <v>152</v>
      </c>
      <c r="AI8" s="103"/>
      <c r="AJ8" s="61"/>
      <c r="AK8" s="400"/>
      <c r="AL8" s="189"/>
      <c r="AM8" s="190">
        <f>D22</f>
        <v>50000</v>
      </c>
      <c r="AN8" s="58"/>
      <c r="AO8" s="191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385"/>
      <c r="BC8" s="58"/>
      <c r="BD8" s="58"/>
      <c r="BE8" s="165"/>
      <c r="BF8" s="150"/>
      <c r="BG8" s="275"/>
      <c r="BH8" s="308">
        <v>0</v>
      </c>
      <c r="BI8" s="309">
        <f>IF(OR(BH8="",BH8=Analysis_Period+1),"",BH8+1)</f>
        <v>1</v>
      </c>
      <c r="BJ8" s="309">
        <f t="shared" ref="BJ8:BW8" si="0">IF(OR(BI8="",BI8=_xlfn.SINGLE(Analysis_Period)+1),"",BI8+1)</f>
        <v>2</v>
      </c>
      <c r="BK8" s="309">
        <f t="shared" si="0"/>
        <v>3</v>
      </c>
      <c r="BL8" s="309">
        <f t="shared" si="0"/>
        <v>4</v>
      </c>
      <c r="BM8" s="309">
        <f t="shared" si="0"/>
        <v>5</v>
      </c>
      <c r="BN8" s="309">
        <f t="shared" si="0"/>
        <v>6</v>
      </c>
      <c r="BO8" s="309">
        <f t="shared" si="0"/>
        <v>7</v>
      </c>
      <c r="BP8" s="309">
        <f t="shared" si="0"/>
        <v>8</v>
      </c>
      <c r="BQ8" s="309">
        <f t="shared" si="0"/>
        <v>9</v>
      </c>
      <c r="BR8" s="309">
        <f t="shared" si="0"/>
        <v>10</v>
      </c>
      <c r="BS8" s="309">
        <f t="shared" si="0"/>
        <v>11</v>
      </c>
      <c r="BT8" s="309" t="str">
        <f t="shared" si="0"/>
        <v/>
      </c>
      <c r="BU8" s="309" t="str">
        <f t="shared" si="0"/>
        <v/>
      </c>
      <c r="BV8" s="309" t="str">
        <f t="shared" si="0"/>
        <v/>
      </c>
      <c r="BW8" s="309" t="str">
        <f t="shared" si="0"/>
        <v/>
      </c>
      <c r="BX8" s="165"/>
      <c r="CA8" s="367" t="s">
        <v>11</v>
      </c>
      <c r="CB8" s="346">
        <v>0.05</v>
      </c>
      <c r="CC8" s="192">
        <f ca="1">CC10*CB8</f>
        <v>-681745.54116848903</v>
      </c>
      <c r="CD8" s="182" t="s">
        <v>1</v>
      </c>
      <c r="CE8" s="182" t="s">
        <v>1</v>
      </c>
      <c r="CF8" s="193" t="s">
        <v>1</v>
      </c>
      <c r="CG8" s="182" t="s">
        <v>1</v>
      </c>
      <c r="CH8" s="182" t="s">
        <v>1</v>
      </c>
      <c r="CI8" s="182" t="s">
        <v>1</v>
      </c>
      <c r="CJ8" s="347" t="s">
        <v>12</v>
      </c>
      <c r="CK8" s="348" t="s">
        <v>13</v>
      </c>
      <c r="CL8" s="182" t="s">
        <v>1</v>
      </c>
      <c r="CM8" s="182" t="s">
        <v>1</v>
      </c>
      <c r="CN8" s="182" t="s">
        <v>1</v>
      </c>
      <c r="CO8" s="182" t="s">
        <v>1</v>
      </c>
      <c r="CP8" s="182" t="s">
        <v>1</v>
      </c>
      <c r="CQ8" s="182" t="s">
        <v>1</v>
      </c>
      <c r="CR8" s="182" t="s">
        <v>1</v>
      </c>
      <c r="CS8" s="229" t="s">
        <v>1</v>
      </c>
      <c r="CT8" s="182" t="s">
        <v>1</v>
      </c>
      <c r="CX8" s="55" t="s">
        <v>153</v>
      </c>
      <c r="CY8" s="441"/>
      <c r="CZ8" s="441"/>
    </row>
    <row r="9" spans="2:120" ht="16.5" customHeight="1">
      <c r="B9" s="35" t="s">
        <v>154</v>
      </c>
      <c r="C9" s="174"/>
      <c r="D9" s="40" t="s">
        <v>155</v>
      </c>
      <c r="G9" s="753"/>
      <c r="H9" s="757">
        <f>SUM(H5:H8)</f>
        <v>241315.66897285503</v>
      </c>
      <c r="I9" s="757">
        <f>SUM(I5:I8)</f>
        <v>33783.517985839993</v>
      </c>
      <c r="J9" s="757">
        <f t="shared" ref="I9:N9" si="1">SUM(J5:J8)</f>
        <v>82045.68653703999</v>
      </c>
      <c r="K9" s="757">
        <f>SUM(K5:K8)</f>
        <v>72393.252826800002</v>
      </c>
      <c r="L9" s="757">
        <f>SUM(L5:L8)</f>
        <v>62740.819116559993</v>
      </c>
      <c r="M9" s="757">
        <f>SUM(M5:M8)</f>
        <v>14478.650565359998</v>
      </c>
      <c r="N9" s="757">
        <f>SUM(N5:N8)</f>
        <v>91698.120247279992</v>
      </c>
      <c r="O9" s="753"/>
      <c r="P9" s="756">
        <f>SUM(H9,I9,J9,K9,L9,M9,N9)</f>
        <v>598455.71625173488</v>
      </c>
      <c r="Q9" s="753"/>
      <c r="R9" s="753"/>
      <c r="S9" s="753"/>
      <c r="T9" s="753"/>
      <c r="U9" s="753"/>
      <c r="V9" s="753"/>
      <c r="AA9" s="263" t="s">
        <v>156</v>
      </c>
      <c r="AB9" s="263"/>
      <c r="AC9" s="599">
        <f>INDEX(BI42:BW42,1,D10)</f>
        <v>10259701.391215593</v>
      </c>
      <c r="AD9" s="163" t="s">
        <v>157</v>
      </c>
      <c r="AH9" s="194"/>
      <c r="AI9" s="60" t="str">
        <f>IF(AH9="Simple","","See row 45")</f>
        <v>See row 45</v>
      </c>
      <c r="AJ9" s="61"/>
      <c r="AK9" s="403"/>
      <c r="AL9" s="62" t="str">
        <f>C47</f>
        <v>Year 0</v>
      </c>
      <c r="AM9" s="62" t="str">
        <f>D47</f>
        <v>T12</v>
      </c>
      <c r="AN9" s="62" t="s">
        <v>130</v>
      </c>
      <c r="AO9" s="63" t="str">
        <f>"/"&amp;D9</f>
        <v>/SF</v>
      </c>
      <c r="AP9" s="64"/>
      <c r="AQ9" s="65">
        <f t="shared" ref="AQ9:BA9" si="2">BI8</f>
        <v>1</v>
      </c>
      <c r="AR9" s="65">
        <f t="shared" si="2"/>
        <v>2</v>
      </c>
      <c r="AS9" s="65">
        <f t="shared" si="2"/>
        <v>3</v>
      </c>
      <c r="AT9" s="65">
        <f t="shared" si="2"/>
        <v>4</v>
      </c>
      <c r="AU9" s="65">
        <f t="shared" si="2"/>
        <v>5</v>
      </c>
      <c r="AV9" s="65">
        <f t="shared" si="2"/>
        <v>6</v>
      </c>
      <c r="AW9" s="65">
        <f t="shared" si="2"/>
        <v>7</v>
      </c>
      <c r="AX9" s="65">
        <f t="shared" si="2"/>
        <v>8</v>
      </c>
      <c r="AY9" s="65">
        <f t="shared" si="2"/>
        <v>9</v>
      </c>
      <c r="AZ9" s="65">
        <f t="shared" si="2"/>
        <v>10</v>
      </c>
      <c r="BA9" s="65">
        <f t="shared" si="2"/>
        <v>11</v>
      </c>
      <c r="BB9" s="386"/>
      <c r="BC9" s="65"/>
      <c r="BD9" s="65"/>
      <c r="BE9" s="294"/>
      <c r="BF9" s="310" t="s">
        <v>158</v>
      </c>
      <c r="BG9" s="311" t="s">
        <v>75</v>
      </c>
      <c r="BH9" s="312">
        <f>EOMONTH(Analysis_Start,-1)</f>
        <v>45838</v>
      </c>
      <c r="BI9" s="312">
        <f>EOMONTH(Analysis_Start,11)</f>
        <v>46203</v>
      </c>
      <c r="BJ9" s="312">
        <f t="shared" ref="BJ9:BW9" si="3">_xlfn.SINGLE(IF(BJ8="","",EOMONTH(Analysis_Start,(11*BJ8)+BI8)))</f>
        <v>46568</v>
      </c>
      <c r="BK9" s="312">
        <f t="shared" si="3"/>
        <v>46934</v>
      </c>
      <c r="BL9" s="312">
        <f t="shared" si="3"/>
        <v>47299</v>
      </c>
      <c r="BM9" s="312">
        <f t="shared" si="3"/>
        <v>47664</v>
      </c>
      <c r="BN9" s="312">
        <f t="shared" si="3"/>
        <v>48029</v>
      </c>
      <c r="BO9" s="312">
        <f t="shared" si="3"/>
        <v>48395</v>
      </c>
      <c r="BP9" s="312">
        <f t="shared" si="3"/>
        <v>48760</v>
      </c>
      <c r="BQ9" s="312">
        <f t="shared" si="3"/>
        <v>49125</v>
      </c>
      <c r="BR9" s="312">
        <f t="shared" si="3"/>
        <v>49490</v>
      </c>
      <c r="BS9" s="312">
        <f>_xlfn.SINGLE(IF(BS8="","",EOMONTH(Analysis_Start,(11*BS8)+BR8)))</f>
        <v>49856</v>
      </c>
      <c r="BT9" s="312" t="str">
        <f t="shared" si="3"/>
        <v/>
      </c>
      <c r="BU9" s="312" t="str">
        <f t="shared" si="3"/>
        <v/>
      </c>
      <c r="BV9" s="312" t="str">
        <f t="shared" si="3"/>
        <v/>
      </c>
      <c r="BW9" s="312" t="str">
        <f t="shared" si="3"/>
        <v/>
      </c>
      <c r="BX9" s="165"/>
      <c r="CA9" s="367" t="s">
        <v>14</v>
      </c>
      <c r="CB9" s="349">
        <f>100%-CB8</f>
        <v>0.95</v>
      </c>
      <c r="CC9" s="350">
        <f ca="1">CC10*CB9</f>
        <v>-12953165.282201288</v>
      </c>
      <c r="CD9" s="182" t="s">
        <v>1</v>
      </c>
      <c r="CE9" s="182" t="s">
        <v>1</v>
      </c>
      <c r="CF9" s="193" t="s">
        <v>1</v>
      </c>
      <c r="CG9" s="182" t="s">
        <v>1</v>
      </c>
      <c r="CH9" s="182" t="s">
        <v>1</v>
      </c>
      <c r="CI9" s="182" t="s">
        <v>1</v>
      </c>
      <c r="CJ9" s="347" t="s">
        <v>15</v>
      </c>
      <c r="CK9" s="351" t="e">
        <f ca="1">(CC33+CC42)/1000000</f>
        <v>#VALUE!</v>
      </c>
      <c r="CL9" s="182" t="s">
        <v>1</v>
      </c>
      <c r="CM9" s="182" t="s">
        <v>1</v>
      </c>
      <c r="CN9" s="182" t="s">
        <v>1</v>
      </c>
      <c r="CO9" s="182" t="s">
        <v>1</v>
      </c>
      <c r="CP9" s="182" t="s">
        <v>1</v>
      </c>
      <c r="CQ9" s="182" t="s">
        <v>1</v>
      </c>
      <c r="CR9" s="182" t="s">
        <v>1</v>
      </c>
      <c r="CS9" s="229" t="s">
        <v>1</v>
      </c>
      <c r="CT9" s="182" t="s">
        <v>1</v>
      </c>
      <c r="CX9" s="55" t="s">
        <v>159</v>
      </c>
      <c r="CY9" s="441"/>
      <c r="CZ9" s="441"/>
    </row>
    <row r="10" spans="2:120">
      <c r="B10" s="35" t="s">
        <v>160</v>
      </c>
      <c r="C10" s="174"/>
      <c r="D10" s="36">
        <v>10</v>
      </c>
      <c r="G10" s="753"/>
      <c r="H10" s="753"/>
      <c r="I10" s="753"/>
      <c r="J10" s="753"/>
      <c r="K10" s="753"/>
      <c r="L10" s="753"/>
      <c r="M10" s="753"/>
      <c r="N10" s="753"/>
      <c r="O10" s="753"/>
      <c r="P10" s="753"/>
      <c r="Q10" s="753"/>
      <c r="R10" s="753"/>
      <c r="S10" s="753"/>
      <c r="T10" s="753"/>
      <c r="U10" s="753"/>
      <c r="V10" s="753"/>
      <c r="AA10" s="253"/>
      <c r="AB10" s="253"/>
      <c r="AC10" s="257"/>
      <c r="AH10" s="195">
        <f>_xlfn.RRI(D10-1,AQ10,INDEX(AQ10:BD10,1,D10))</f>
        <v>1.0646292707510829E-2</v>
      </c>
      <c r="AI10" s="67" t="s">
        <v>161</v>
      </c>
      <c r="AJ10" s="61"/>
      <c r="AK10" s="399" t="s">
        <v>162</v>
      </c>
      <c r="AL10" s="307">
        <f>CY29</f>
        <v>1613000.4</v>
      </c>
      <c r="AM10" s="307">
        <f>CZ29</f>
        <v>1750000.4</v>
      </c>
      <c r="AN10" s="307">
        <f>DA29</f>
        <v>1750000.4</v>
      </c>
      <c r="AO10" s="69">
        <f>+AQ10/D22</f>
        <v>35.000008000000001</v>
      </c>
      <c r="AP10" s="70"/>
      <c r="AQ10" s="71">
        <f>+AN10</f>
        <v>1750000.4</v>
      </c>
      <c r="AR10" s="72">
        <f>AQ10*(1+H77)</f>
        <v>1750000.4</v>
      </c>
      <c r="AS10" s="72">
        <f>AR10*(1+I77)</f>
        <v>1750000.4</v>
      </c>
      <c r="AT10" s="72">
        <f>AS10*(1+J77)</f>
        <v>1750000.4</v>
      </c>
      <c r="AU10" s="72">
        <f>AT10*(1+K77)</f>
        <v>1750000.4</v>
      </c>
      <c r="AV10" s="72">
        <f>AU10*(1+L77)</f>
        <v>1925000.44</v>
      </c>
      <c r="AW10" s="72">
        <f>AV10*(1+M77)</f>
        <v>1925000.44</v>
      </c>
      <c r="AX10" s="72">
        <f>AW10*(1+N77)</f>
        <v>1925000.44</v>
      </c>
      <c r="AY10" s="72">
        <f>AX10*(1+O77)</f>
        <v>1925000.44</v>
      </c>
      <c r="AZ10" s="72">
        <f>AY10*(1+P77)</f>
        <v>1925000.44</v>
      </c>
      <c r="BA10" s="72">
        <f>AZ10*(1+Q77)</f>
        <v>2117500.4840000002</v>
      </c>
      <c r="BB10" s="380" t="s">
        <v>162</v>
      </c>
      <c r="BC10" s="73"/>
      <c r="BD10" s="73"/>
      <c r="BE10" s="295"/>
      <c r="BF10" s="313" t="s">
        <v>163</v>
      </c>
      <c r="BG10" s="314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315"/>
      <c r="BW10" s="315"/>
      <c r="BX10" s="165"/>
      <c r="CA10" s="367" t="s">
        <v>17</v>
      </c>
      <c r="CB10" s="182" t="s">
        <v>1</v>
      </c>
      <c r="CC10" s="352">
        <f ca="1">SUM(CE52:CO52)</f>
        <v>-13634910.823369779</v>
      </c>
      <c r="CD10" s="182" t="s">
        <v>1</v>
      </c>
      <c r="CE10" s="182" t="s">
        <v>1</v>
      </c>
      <c r="CF10" s="193" t="s">
        <v>1</v>
      </c>
      <c r="CG10" s="182" t="s">
        <v>1</v>
      </c>
      <c r="CH10" s="182" t="s">
        <v>1</v>
      </c>
      <c r="CI10" s="182" t="s">
        <v>1</v>
      </c>
      <c r="CJ10" s="347" t="s">
        <v>18</v>
      </c>
      <c r="CK10" s="351">
        <f ca="1">SUM(CE48:CO48)/1000000</f>
        <v>-13.634910823369779</v>
      </c>
      <c r="CL10" s="182" t="s">
        <v>1</v>
      </c>
      <c r="CM10" s="182" t="s">
        <v>1</v>
      </c>
      <c r="CN10" s="182" t="s">
        <v>1</v>
      </c>
      <c r="CO10" s="182" t="s">
        <v>1</v>
      </c>
      <c r="CP10" s="182" t="s">
        <v>1</v>
      </c>
      <c r="CQ10" s="182" t="s">
        <v>1</v>
      </c>
      <c r="CR10" s="182" t="s">
        <v>1</v>
      </c>
      <c r="CS10" s="229" t="s">
        <v>1</v>
      </c>
      <c r="CT10" s="182" t="s">
        <v>1</v>
      </c>
      <c r="CX10" s="55" t="s">
        <v>164</v>
      </c>
      <c r="CY10" s="441"/>
      <c r="CZ10" s="441"/>
    </row>
    <row r="11" spans="2:120">
      <c r="B11" s="35"/>
      <c r="C11" s="174"/>
      <c r="D11" s="36"/>
      <c r="G11" s="753"/>
      <c r="H11" s="753"/>
      <c r="I11" s="753"/>
      <c r="J11" s="753"/>
      <c r="K11" s="753"/>
      <c r="L11" s="753"/>
      <c r="M11" s="753"/>
      <c r="N11" s="753"/>
      <c r="O11" s="753"/>
      <c r="P11" s="753"/>
      <c r="Q11" s="753"/>
      <c r="R11" s="753"/>
      <c r="S11" s="753"/>
      <c r="T11" s="753"/>
      <c r="U11" s="753"/>
      <c r="V11" s="753"/>
      <c r="AA11" s="253"/>
      <c r="AB11" s="253"/>
      <c r="AC11" s="257"/>
      <c r="AH11" s="195">
        <f ca="1">_xlfn.RRI(D10-1,AQ11,INDEX(AQ11:BE11,1,D10))</f>
        <v>0</v>
      </c>
      <c r="AI11" s="731" t="s">
        <v>167</v>
      </c>
      <c r="AJ11" s="196"/>
      <c r="AK11" s="399" t="s">
        <v>168</v>
      </c>
      <c r="AL11" s="789">
        <f ca="1">SUM(AL26:AL29)</f>
        <v>0</v>
      </c>
      <c r="AM11" s="789">
        <f ca="1">SUM(AM26:AM29)</f>
        <v>0</v>
      </c>
      <c r="AN11" s="789">
        <f ca="1">SUM(AN26:AN29)</f>
        <v>0</v>
      </c>
      <c r="AO11" s="730">
        <f ca="1">+AQ11/D22</f>
        <v>0</v>
      </c>
      <c r="AP11" s="70"/>
      <c r="AQ11" s="71">
        <f ca="1">+AN11</f>
        <v>0</v>
      </c>
      <c r="AR11" s="72">
        <f>AK100</f>
        <v>0</v>
      </c>
      <c r="AS11" s="72">
        <f>AL100</f>
        <v>0</v>
      </c>
      <c r="AT11" s="72">
        <f>AM100</f>
        <v>0</v>
      </c>
      <c r="AU11" s="72">
        <f>AN100</f>
        <v>0</v>
      </c>
      <c r="AV11" s="72">
        <f>AO100</f>
        <v>0</v>
      </c>
      <c r="AW11" s="72">
        <f>AP100</f>
        <v>0</v>
      </c>
      <c r="AX11" s="72">
        <f>AQ100</f>
        <v>0</v>
      </c>
      <c r="AY11" s="72">
        <f>AR100</f>
        <v>0</v>
      </c>
      <c r="AZ11" s="72">
        <f>AS100</f>
        <v>0</v>
      </c>
      <c r="BA11" s="72">
        <f>AT100</f>
        <v>0</v>
      </c>
      <c r="BB11" s="380" t="s">
        <v>168</v>
      </c>
      <c r="BC11" s="73"/>
      <c r="BD11" s="73"/>
      <c r="BE11" s="295"/>
      <c r="BF11" s="313"/>
      <c r="BG11" s="314"/>
      <c r="BH11" s="315"/>
      <c r="BI11" s="315"/>
      <c r="BJ11" s="315"/>
      <c r="BK11" s="315"/>
      <c r="BL11" s="315"/>
      <c r="BM11" s="315"/>
      <c r="BN11" s="315"/>
      <c r="BO11" s="315"/>
      <c r="BP11" s="315"/>
      <c r="BQ11" s="315"/>
      <c r="BR11" s="315"/>
      <c r="BS11" s="315"/>
      <c r="BT11" s="315"/>
      <c r="BU11" s="315"/>
      <c r="BV11" s="315"/>
      <c r="BW11" s="315"/>
      <c r="BX11" s="165"/>
      <c r="CA11" s="367"/>
      <c r="CB11" s="182"/>
      <c r="CC11" s="352"/>
      <c r="CD11" s="182"/>
      <c r="CE11" s="182"/>
      <c r="CF11" s="193"/>
      <c r="CG11" s="182"/>
      <c r="CH11" s="182"/>
      <c r="CI11" s="182"/>
      <c r="CJ11" s="347"/>
      <c r="CK11" s="351"/>
      <c r="CL11" s="182"/>
      <c r="CM11" s="182"/>
      <c r="CN11" s="182"/>
      <c r="CO11" s="182"/>
      <c r="CP11" s="182"/>
      <c r="CQ11" s="182"/>
      <c r="CR11" s="182"/>
      <c r="CS11" s="229"/>
      <c r="CT11" s="182"/>
      <c r="CY11" s="441"/>
      <c r="CZ11" s="441"/>
    </row>
    <row r="12" spans="2:120">
      <c r="B12" s="35" t="s">
        <v>165</v>
      </c>
      <c r="C12" s="174"/>
      <c r="D12" s="41" t="s">
        <v>129</v>
      </c>
      <c r="AA12" s="253"/>
      <c r="AB12" s="253"/>
      <c r="AC12" s="257"/>
      <c r="AH12" s="195">
        <f>_xlfn.RRI(D10-1,AQ12,INDEX(AQ12:BE12,1,D10))</f>
        <v>1.0646292707510829E-2</v>
      </c>
      <c r="AI12" s="67" t="s">
        <v>173</v>
      </c>
      <c r="AJ12" s="61"/>
      <c r="AK12" s="404" t="s">
        <v>174</v>
      </c>
      <c r="AL12" s="68">
        <f>C50</f>
        <v>98751</v>
      </c>
      <c r="AM12" s="68">
        <f>D50</f>
        <v>99152</v>
      </c>
      <c r="AN12" s="307">
        <f>E50</f>
        <v>100000</v>
      </c>
      <c r="AO12" s="75">
        <f>+AQ12/D22</f>
        <v>2</v>
      </c>
      <c r="AP12" s="76"/>
      <c r="AQ12" s="77">
        <f>+AN12</f>
        <v>100000</v>
      </c>
      <c r="AR12" s="72">
        <f>AQ12*(1+H77)</f>
        <v>100000</v>
      </c>
      <c r="AS12" s="72">
        <f>AR12*(1+I77)</f>
        <v>100000</v>
      </c>
      <c r="AT12" s="72">
        <f>AS12*(1+J77)</f>
        <v>100000</v>
      </c>
      <c r="AU12" s="72">
        <f>AT12*(1+K77)</f>
        <v>100000</v>
      </c>
      <c r="AV12" s="72">
        <f>AU12*(1+L77)</f>
        <v>110000.00000000001</v>
      </c>
      <c r="AW12" s="72">
        <f>AV12*(1+M77)</f>
        <v>110000.00000000001</v>
      </c>
      <c r="AX12" s="72">
        <f>AW12*(1+N77)</f>
        <v>110000.00000000001</v>
      </c>
      <c r="AY12" s="72">
        <f>AX12*(1+O77)</f>
        <v>110000.00000000001</v>
      </c>
      <c r="AZ12" s="72">
        <f>AY12*(1+P77)</f>
        <v>110000.00000000001</v>
      </c>
      <c r="BA12" s="72">
        <f>AZ12*(1+Q77)</f>
        <v>121000.00000000003</v>
      </c>
      <c r="BB12" s="387" t="s">
        <v>174</v>
      </c>
      <c r="BC12" s="73"/>
      <c r="BD12" s="73"/>
      <c r="BE12" s="295"/>
      <c r="BF12" s="313"/>
      <c r="BG12" s="314"/>
      <c r="BH12" s="315"/>
      <c r="BI12" s="315"/>
      <c r="BJ12" s="315"/>
      <c r="BK12" s="315"/>
      <c r="BL12" s="315"/>
      <c r="BM12" s="315"/>
      <c r="BN12" s="315"/>
      <c r="BO12" s="315"/>
      <c r="BP12" s="315"/>
      <c r="BQ12" s="315"/>
      <c r="BR12" s="315"/>
      <c r="BS12" s="315"/>
      <c r="BT12" s="315"/>
      <c r="BU12" s="315"/>
      <c r="BV12" s="315"/>
      <c r="BW12" s="315"/>
      <c r="BX12" s="165"/>
      <c r="CA12" s="367"/>
      <c r="CB12" s="182"/>
      <c r="CC12" s="352"/>
      <c r="CD12" s="182"/>
      <c r="CE12" s="182"/>
      <c r="CF12" s="193"/>
      <c r="CG12" s="182"/>
      <c r="CH12" s="182"/>
      <c r="CI12" s="182"/>
      <c r="CJ12" s="347"/>
      <c r="CK12" s="351"/>
      <c r="CL12" s="182"/>
      <c r="CM12" s="182"/>
      <c r="CN12" s="182"/>
      <c r="CO12" s="182"/>
      <c r="CP12" s="182"/>
      <c r="CQ12" s="182"/>
      <c r="CR12" s="182"/>
      <c r="CS12" s="229"/>
      <c r="CT12" s="182"/>
      <c r="CY12" s="441"/>
      <c r="CZ12" s="441"/>
    </row>
    <row r="13" spans="2:120">
      <c r="B13" s="35"/>
      <c r="C13" s="174"/>
      <c r="D13" s="41"/>
      <c r="G13" s="754" t="s">
        <v>588</v>
      </c>
      <c r="H13" s="754" t="s">
        <v>589</v>
      </c>
      <c r="I13" s="754" t="s">
        <v>590</v>
      </c>
      <c r="J13" s="754" t="s">
        <v>591</v>
      </c>
      <c r="K13" s="753"/>
      <c r="L13" s="753"/>
      <c r="M13" s="753"/>
      <c r="N13" s="753"/>
      <c r="O13" s="753"/>
      <c r="P13" s="753"/>
      <c r="Q13" s="753"/>
      <c r="R13" s="753"/>
      <c r="S13" s="753"/>
      <c r="T13" s="753"/>
      <c r="U13" s="753"/>
      <c r="V13" s="753"/>
      <c r="AA13" s="258" t="s">
        <v>166</v>
      </c>
      <c r="AB13" s="258"/>
      <c r="AC13" s="258"/>
      <c r="AH13" s="201">
        <f ca="1">_xlfn.RRI($D$10-1,AQ13,INDEX(AQ13:BE13,1,$D$10))</f>
        <v>1.0646292707510829E-2</v>
      </c>
      <c r="AI13" s="106" t="s">
        <v>180</v>
      </c>
      <c r="AJ13" s="202"/>
      <c r="AK13" s="404" t="s">
        <v>181</v>
      </c>
      <c r="AL13" s="79">
        <f ca="1">SUM(AL10:AL12)</f>
        <v>1711751.4</v>
      </c>
      <c r="AM13" s="79">
        <f ca="1">SUM(AM10:AM12)</f>
        <v>1849152.4</v>
      </c>
      <c r="AN13" s="79">
        <f ca="1">SUM(AN10:AN12)</f>
        <v>1850000.4</v>
      </c>
      <c r="AO13" s="80">
        <f ca="1">SUM(AO10:AO12)</f>
        <v>37.000008000000001</v>
      </c>
      <c r="AP13" s="81"/>
      <c r="AQ13" s="82">
        <f ca="1">SUM(AQ10:AQ12)</f>
        <v>1850000.4</v>
      </c>
      <c r="AR13" s="82">
        <f>SUM(AR10:AR12)</f>
        <v>1850000.4</v>
      </c>
      <c r="AS13" s="82">
        <f>SUM(AS10:AS12)</f>
        <v>1850000.4</v>
      </c>
      <c r="AT13" s="82">
        <f>SUM(AT10:AT12)</f>
        <v>1850000.4</v>
      </c>
      <c r="AU13" s="82">
        <f>SUM(AU10:AU12)</f>
        <v>1850000.4</v>
      </c>
      <c r="AV13" s="82">
        <f>SUM(AV10:AV12)</f>
        <v>2035000.44</v>
      </c>
      <c r="AW13" s="82">
        <f>SUM(AW10:AW12)</f>
        <v>2035000.44</v>
      </c>
      <c r="AX13" s="82">
        <f>SUM(AX10:AX12)</f>
        <v>2035000.44</v>
      </c>
      <c r="AY13" s="82">
        <f>SUM(AY10:AY12)</f>
        <v>2035000.44</v>
      </c>
      <c r="AZ13" s="82">
        <f>SUM(AZ10:AZ12)</f>
        <v>2035000.44</v>
      </c>
      <c r="BA13" s="82">
        <f>SUM(BA10:BA12)</f>
        <v>2238500.4840000002</v>
      </c>
      <c r="BB13" s="387" t="s">
        <v>181</v>
      </c>
      <c r="BC13" s="73"/>
      <c r="BD13" s="73"/>
      <c r="BE13" s="295"/>
      <c r="BF13" s="313"/>
      <c r="BG13" s="314"/>
      <c r="BH13" s="315"/>
      <c r="BI13" s="315"/>
      <c r="BJ13" s="315"/>
      <c r="BK13" s="315"/>
      <c r="BL13" s="315"/>
      <c r="BM13" s="315"/>
      <c r="BN13" s="315"/>
      <c r="BO13" s="315"/>
      <c r="BP13" s="315"/>
      <c r="BQ13" s="315"/>
      <c r="BR13" s="315"/>
      <c r="BS13" s="315"/>
      <c r="BT13" s="315"/>
      <c r="BU13" s="315"/>
      <c r="BV13" s="315"/>
      <c r="BW13" s="315"/>
      <c r="BX13" s="165"/>
      <c r="CA13" s="367"/>
      <c r="CB13" s="182"/>
      <c r="CC13" s="352"/>
      <c r="CD13" s="182"/>
      <c r="CE13" s="182"/>
      <c r="CF13" s="193"/>
      <c r="CG13" s="182"/>
      <c r="CH13" s="182"/>
      <c r="CI13" s="182"/>
      <c r="CJ13" s="347"/>
      <c r="CK13" s="351"/>
      <c r="CL13" s="182"/>
      <c r="CM13" s="182"/>
      <c r="CN13" s="182"/>
      <c r="CO13" s="182"/>
      <c r="CP13" s="182"/>
      <c r="CQ13" s="182"/>
      <c r="CR13" s="182"/>
      <c r="CS13" s="229"/>
      <c r="CT13" s="182"/>
      <c r="CY13" s="441"/>
      <c r="CZ13" s="441"/>
    </row>
    <row r="14" spans="2:120" ht="25.5" customHeight="1">
      <c r="B14" s="35"/>
      <c r="C14" s="174"/>
      <c r="D14" s="41"/>
      <c r="G14" s="753" t="s">
        <v>90</v>
      </c>
      <c r="H14" s="753" t="s">
        <v>592</v>
      </c>
      <c r="I14" s="755">
        <v>1</v>
      </c>
      <c r="J14" s="756">
        <f>I14*H9</f>
        <v>241315.66897285503</v>
      </c>
      <c r="K14" s="753"/>
      <c r="L14" s="753"/>
      <c r="M14" s="753"/>
      <c r="N14" s="753"/>
      <c r="O14" s="753"/>
      <c r="P14" s="753"/>
      <c r="Q14" s="753"/>
      <c r="R14" s="753"/>
      <c r="S14" s="753"/>
      <c r="T14" s="753"/>
      <c r="U14" s="753"/>
      <c r="V14" s="753"/>
      <c r="AA14" s="259" t="s">
        <v>169</v>
      </c>
      <c r="AB14" s="259"/>
      <c r="AC14" s="279">
        <f>IF(D7="Manual Input",D26,IF(D7="DCF",AC15,IF(D7="Cap Year 1 NOI",AC6/#REF!,AC17)))</f>
        <v>24508462</v>
      </c>
      <c r="AD14" s="198" t="s">
        <v>172</v>
      </c>
      <c r="AE14" s="199"/>
      <c r="AH14" s="201" t="e">
        <f>_xlfn.RRI($D$10-1,AQ14,INDEX(AQ14:BE14,1,$D$10))</f>
        <v>#VALUE!</v>
      </c>
      <c r="AI14" s="67" t="s">
        <v>190</v>
      </c>
      <c r="AJ14" s="206"/>
      <c r="AK14" s="404" t="s">
        <v>191</v>
      </c>
      <c r="AL14" s="307">
        <f>C53</f>
        <v>-24131.084275599998</v>
      </c>
      <c r="AM14" s="307">
        <f>D53</f>
        <v>-24561.7</v>
      </c>
      <c r="AN14" s="307">
        <v>0</v>
      </c>
      <c r="AO14" s="600">
        <f>+AQ14/$D$22</f>
        <v>0</v>
      </c>
      <c r="AP14" s="70"/>
      <c r="AQ14" s="71">
        <f>+AN14</f>
        <v>0</v>
      </c>
      <c r="AR14" s="73" t="str">
        <f>IF(AQ$8="","",AQ14*(1+AR$60))</f>
        <v/>
      </c>
      <c r="AS14" s="73" t="str">
        <f>IF(AR$8="","",AR14*(1+AS$60))</f>
        <v/>
      </c>
      <c r="AT14" s="73" t="str">
        <f>IF(AS$8="","",AS14*(1+AT$60))</f>
        <v/>
      </c>
      <c r="AU14" s="73" t="str">
        <f>IF(AT$8="","",AT14*(1+AU$60))</f>
        <v/>
      </c>
      <c r="AV14" s="73" t="str">
        <f>IF(AU$8="","",AU14*(1+AV$60))</f>
        <v/>
      </c>
      <c r="AW14" s="73" t="str">
        <f>IF(AV$8="","",AV14*(1+AW$60))</f>
        <v/>
      </c>
      <c r="AX14" s="73" t="str">
        <f>IF(AW$8="","",AW14*(1+AX$60))</f>
        <v/>
      </c>
      <c r="AY14" s="73" t="str">
        <f>IF(AX$8="","",AX14*(1+AY$60))</f>
        <v/>
      </c>
      <c r="AZ14" s="73" t="str">
        <f>IF(AY$8="","",AY14*(1+AZ$60))</f>
        <v/>
      </c>
      <c r="BA14" s="73" t="str">
        <f>IF(AZ$8="","",AZ14*(1+BA$60))</f>
        <v/>
      </c>
      <c r="BB14" s="387" t="s">
        <v>191</v>
      </c>
      <c r="BC14" s="73"/>
      <c r="BD14" s="73"/>
      <c r="BE14" s="295"/>
      <c r="BF14" s="313"/>
      <c r="BG14" s="314"/>
      <c r="BH14" s="315"/>
      <c r="BI14" s="315"/>
      <c r="BJ14" s="315"/>
      <c r="BK14" s="315"/>
      <c r="BL14" s="315"/>
      <c r="BM14" s="315"/>
      <c r="BN14" s="315"/>
      <c r="BO14" s="315"/>
      <c r="BP14" s="315"/>
      <c r="BQ14" s="315"/>
      <c r="BR14" s="315"/>
      <c r="BS14" s="315"/>
      <c r="BT14" s="315"/>
      <c r="BU14" s="315"/>
      <c r="BV14" s="315"/>
      <c r="BW14" s="315"/>
      <c r="BX14" s="165"/>
      <c r="CA14" s="367"/>
      <c r="CB14" s="182"/>
      <c r="CC14" s="352"/>
      <c r="CD14" s="182"/>
      <c r="CE14" s="182"/>
      <c r="CF14" s="193"/>
      <c r="CG14" s="182"/>
      <c r="CH14" s="182"/>
      <c r="CI14" s="182"/>
      <c r="CJ14" s="347"/>
      <c r="CK14" s="351"/>
      <c r="CL14" s="182"/>
      <c r="CM14" s="182"/>
      <c r="CN14" s="182"/>
      <c r="CO14" s="182"/>
      <c r="CP14" s="182"/>
      <c r="CQ14" s="182"/>
      <c r="CR14" s="182"/>
      <c r="CS14" s="229"/>
      <c r="CT14" s="182"/>
      <c r="CY14" s="441"/>
      <c r="CZ14" s="441"/>
    </row>
    <row r="15" spans="2:120" ht="37.5">
      <c r="B15" s="35" t="s">
        <v>171</v>
      </c>
      <c r="C15" s="174"/>
      <c r="D15" s="42">
        <v>5</v>
      </c>
      <c r="G15" s="753" t="s">
        <v>91</v>
      </c>
      <c r="H15" s="753" t="s">
        <v>592</v>
      </c>
      <c r="I15" s="755">
        <v>1</v>
      </c>
      <c r="J15" s="756">
        <f>I15*I9</f>
        <v>33783.517985839993</v>
      </c>
      <c r="K15" s="753"/>
      <c r="L15" s="753"/>
      <c r="M15" s="753"/>
      <c r="N15" s="753"/>
      <c r="O15" s="753"/>
      <c r="P15" s="753"/>
      <c r="Q15" s="753"/>
      <c r="R15" s="753"/>
      <c r="S15" s="753"/>
      <c r="T15" s="753"/>
      <c r="U15" s="753"/>
      <c r="V15" s="753"/>
      <c r="AA15" s="260" t="s">
        <v>178</v>
      </c>
      <c r="AB15" s="260"/>
      <c r="AC15" s="280">
        <f ca="1">NPV(D20,BI53:BS53)</f>
        <v>9454461.5135674775</v>
      </c>
      <c r="AD15" s="198" t="s">
        <v>179</v>
      </c>
      <c r="AE15" s="199"/>
      <c r="AH15" s="201">
        <f ca="1">_xlfn.RRI($D$10-1,AQ15,INDEX(AQ15:BE15,1,$D$10))</f>
        <v>1.0646292707510829E-2</v>
      </c>
      <c r="AI15" s="67" t="s">
        <v>194</v>
      </c>
      <c r="AJ15" s="601"/>
      <c r="AK15" s="405" t="s">
        <v>195</v>
      </c>
      <c r="AL15" s="113">
        <f ca="1">-AL13*C43</f>
        <v>-171175.14</v>
      </c>
      <c r="AM15" s="113">
        <f ca="1">-AM13*$C$43</f>
        <v>-184915.24</v>
      </c>
      <c r="AN15" s="113">
        <f ca="1">-AN13*$C$43</f>
        <v>-185000.04</v>
      </c>
      <c r="AO15" s="600">
        <f ca="1">+AQ15/$D$22</f>
        <v>-3.7000008000000002</v>
      </c>
      <c r="AP15" s="70"/>
      <c r="AQ15" s="71">
        <f ca="1">+AN15</f>
        <v>-185000.04</v>
      </c>
      <c r="AR15" s="72">
        <f>-AR13*H76</f>
        <v>-185000.04</v>
      </c>
      <c r="AS15" s="72">
        <f>-AS13*I76</f>
        <v>-185000.04</v>
      </c>
      <c r="AT15" s="72">
        <f>-AT13*J76</f>
        <v>-185000.04</v>
      </c>
      <c r="AU15" s="72">
        <f>-AU13*K76</f>
        <v>-185000.04</v>
      </c>
      <c r="AV15" s="72">
        <f>-AV13*L76</f>
        <v>-203500.04399999999</v>
      </c>
      <c r="AW15" s="72">
        <f>-AW13*M76</f>
        <v>-203500.04399999999</v>
      </c>
      <c r="AX15" s="72">
        <f>-AX13*N76</f>
        <v>-203500.04399999999</v>
      </c>
      <c r="AY15" s="72">
        <f>-AY13*O76</f>
        <v>-203500.04399999999</v>
      </c>
      <c r="AZ15" s="72">
        <f>-AZ13*P76</f>
        <v>-203500.04399999999</v>
      </c>
      <c r="BA15" s="72">
        <f>-BA13*Q76</f>
        <v>-223850.04840000003</v>
      </c>
      <c r="BB15" s="388" t="s">
        <v>195</v>
      </c>
      <c r="BC15" s="73"/>
      <c r="BD15" s="73"/>
      <c r="BE15" s="295"/>
      <c r="BF15" s="313"/>
      <c r="BG15" s="314"/>
      <c r="BH15" s="315"/>
      <c r="BI15" s="315"/>
      <c r="BJ15" s="315"/>
      <c r="BK15" s="315"/>
      <c r="BL15" s="315"/>
      <c r="BM15" s="315"/>
      <c r="BN15" s="315"/>
      <c r="BO15" s="315"/>
      <c r="BP15" s="315"/>
      <c r="BQ15" s="315"/>
      <c r="BR15" s="315"/>
      <c r="BS15" s="315"/>
      <c r="BT15" s="315"/>
      <c r="BU15" s="315"/>
      <c r="BV15" s="315"/>
      <c r="BW15" s="315"/>
      <c r="BX15" s="165"/>
      <c r="CA15" s="367"/>
      <c r="CB15" s="182"/>
      <c r="CC15" s="352"/>
      <c r="CD15" s="182"/>
      <c r="CE15" s="182"/>
      <c r="CF15" s="193"/>
      <c r="CG15" s="182"/>
      <c r="CH15" s="182"/>
      <c r="CI15" s="182"/>
      <c r="CJ15" s="347"/>
      <c r="CK15" s="351"/>
      <c r="CL15" s="182"/>
      <c r="CM15" s="182"/>
      <c r="CN15" s="182"/>
      <c r="CO15" s="182"/>
      <c r="CP15" s="182"/>
      <c r="CQ15" s="182"/>
      <c r="CR15" s="182"/>
      <c r="CS15" s="229"/>
      <c r="CT15" s="182"/>
      <c r="CY15" s="441"/>
      <c r="CZ15" s="441"/>
    </row>
    <row r="16" spans="2:120" ht="24.75">
      <c r="B16" s="35"/>
      <c r="C16" s="174"/>
      <c r="D16" s="42"/>
      <c r="G16" s="753" t="s">
        <v>586</v>
      </c>
      <c r="H16" s="753" t="s">
        <v>593</v>
      </c>
      <c r="I16" s="755">
        <v>0</v>
      </c>
      <c r="J16" s="756"/>
      <c r="K16" s="753"/>
      <c r="L16" s="753"/>
      <c r="M16" s="753"/>
      <c r="N16" s="753"/>
      <c r="O16" s="753"/>
      <c r="P16" s="753"/>
      <c r="Q16" s="753"/>
      <c r="R16" s="753"/>
      <c r="S16" s="753"/>
      <c r="T16" s="753"/>
      <c r="U16" s="753"/>
      <c r="V16" s="753"/>
      <c r="AA16" s="260" t="s">
        <v>185</v>
      </c>
      <c r="AB16" s="260"/>
      <c r="AC16" s="281">
        <f>D21*D22</f>
        <v>20000000</v>
      </c>
      <c r="AD16" s="198" t="s">
        <v>186</v>
      </c>
      <c r="AE16" s="199"/>
      <c r="AH16" s="201">
        <f>_xlfn.RRI($D$10-1,AQ16,INDEX(AQ16:BE16,1,$D$10))</f>
        <v>0</v>
      </c>
      <c r="AI16" s="67" t="s">
        <v>200</v>
      </c>
      <c r="AJ16" s="61"/>
      <c r="AK16" s="406"/>
      <c r="AL16" s="86">
        <v>0</v>
      </c>
      <c r="AM16" s="86">
        <v>0</v>
      </c>
      <c r="AN16" s="86">
        <v>0</v>
      </c>
      <c r="AO16" s="600">
        <f>+AQ16/$D$22</f>
        <v>0</v>
      </c>
      <c r="AP16" s="87"/>
      <c r="AQ16" s="77">
        <f>+AN16</f>
        <v>0</v>
      </c>
      <c r="AR16" s="88">
        <v>0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8">
        <v>0</v>
      </c>
      <c r="BA16" s="88">
        <v>0</v>
      </c>
      <c r="BB16" s="389"/>
      <c r="BC16" s="73"/>
      <c r="BD16" s="73"/>
      <c r="BE16" s="295"/>
      <c r="BF16" s="313"/>
      <c r="BG16" s="314"/>
      <c r="BH16" s="315"/>
      <c r="BI16" s="315"/>
      <c r="BJ16" s="315"/>
      <c r="BK16" s="315"/>
      <c r="BL16" s="315"/>
      <c r="BM16" s="315"/>
      <c r="BN16" s="315"/>
      <c r="BO16" s="315"/>
      <c r="BP16" s="315"/>
      <c r="BQ16" s="315"/>
      <c r="BR16" s="315"/>
      <c r="BS16" s="315"/>
      <c r="BT16" s="315"/>
      <c r="BU16" s="315"/>
      <c r="BV16" s="315"/>
      <c r="BW16" s="315"/>
      <c r="BX16" s="165"/>
      <c r="CA16" s="367"/>
      <c r="CB16" s="182"/>
      <c r="CC16" s="352"/>
      <c r="CD16" s="182"/>
      <c r="CE16" s="182"/>
      <c r="CF16" s="193"/>
      <c r="CG16" s="182"/>
      <c r="CH16" s="182"/>
      <c r="CI16" s="182"/>
      <c r="CJ16" s="347"/>
      <c r="CK16" s="351"/>
      <c r="CL16" s="182"/>
      <c r="CM16" s="182"/>
      <c r="CN16" s="182"/>
      <c r="CO16" s="182"/>
      <c r="CP16" s="182"/>
      <c r="CQ16" s="182"/>
      <c r="CR16" s="182"/>
      <c r="CS16" s="229"/>
      <c r="CT16" s="182"/>
      <c r="CY16" s="441"/>
      <c r="CZ16" s="441"/>
    </row>
    <row r="17" spans="2:105">
      <c r="B17" s="35"/>
      <c r="C17" s="174"/>
      <c r="D17" s="42"/>
      <c r="G17" s="753" t="s">
        <v>94</v>
      </c>
      <c r="H17" s="753" t="s">
        <v>592</v>
      </c>
      <c r="I17" s="755">
        <v>1</v>
      </c>
      <c r="J17" s="756">
        <f>I17*K9</f>
        <v>72393.252826800002</v>
      </c>
      <c r="K17" s="753"/>
      <c r="L17" s="753"/>
      <c r="M17" s="753"/>
      <c r="N17" s="753"/>
      <c r="O17" s="753"/>
      <c r="P17" s="753"/>
      <c r="Q17" s="753"/>
      <c r="R17" s="753"/>
      <c r="S17" s="753"/>
      <c r="T17" s="753"/>
      <c r="U17" s="753"/>
      <c r="V17" s="753"/>
      <c r="AA17" s="261"/>
      <c r="AB17" s="261"/>
      <c r="AC17" s="282"/>
      <c r="AD17" s="198"/>
      <c r="AE17" s="199"/>
      <c r="AH17" s="201">
        <f ca="1">_xlfn.RRI(D10-1,AQ17,INDEX(AQ17:BE17,1,D10))</f>
        <v>1.0646292707510829E-2</v>
      </c>
      <c r="AI17" s="89" t="s">
        <v>207</v>
      </c>
      <c r="AJ17" s="202"/>
      <c r="AK17" s="405" t="s">
        <v>208</v>
      </c>
      <c r="AL17" s="91">
        <f ca="1">SUM(AL13:AL16)</f>
        <v>1516445.1757243997</v>
      </c>
      <c r="AM17" s="91">
        <f ca="1">SUM(AM13:AM16)</f>
        <v>1639675.46</v>
      </c>
      <c r="AN17" s="91">
        <f ca="1">SUM(AN13:AN16)</f>
        <v>1665000.3599999999</v>
      </c>
      <c r="AO17" s="600">
        <f ca="1">+AQ17/$D$22</f>
        <v>33.300007199999996</v>
      </c>
      <c r="AP17" s="90"/>
      <c r="AQ17" s="83">
        <f ca="1">SUM(AQ13:AQ16)</f>
        <v>1665000.3599999999</v>
      </c>
      <c r="AR17" s="83">
        <f>SUM(AR13:AR16)</f>
        <v>1665000.3599999999</v>
      </c>
      <c r="AS17" s="83">
        <f>SUM(AS13:AS16)</f>
        <v>1665000.3599999999</v>
      </c>
      <c r="AT17" s="83">
        <f>SUM(AT13:AT16)</f>
        <v>1665000.3599999999</v>
      </c>
      <c r="AU17" s="83">
        <f>SUM(AU13:AU16)</f>
        <v>1665000.3599999999</v>
      </c>
      <c r="AV17" s="83">
        <f>SUM(AV13:AV16)</f>
        <v>1831500.3959999999</v>
      </c>
      <c r="AW17" s="83">
        <f>SUM(AW13:AW16)</f>
        <v>1831500.3959999999</v>
      </c>
      <c r="AX17" s="83">
        <f>SUM(AX13:AX16)</f>
        <v>1831500.3959999999</v>
      </c>
      <c r="AY17" s="83">
        <f>SUM(AY13:AY16)</f>
        <v>1831500.3959999999</v>
      </c>
      <c r="AZ17" s="83">
        <f>SUM(AZ13:AZ16)</f>
        <v>1831500.3959999999</v>
      </c>
      <c r="BA17" s="83">
        <f>SUM(BA13:BA16)</f>
        <v>2014650.4356000002</v>
      </c>
      <c r="BB17" s="388" t="s">
        <v>208</v>
      </c>
      <c r="BC17" s="73"/>
      <c r="BD17" s="73"/>
      <c r="BE17" s="295"/>
      <c r="BF17" s="313"/>
      <c r="BG17" s="314"/>
      <c r="BH17" s="315"/>
      <c r="BI17" s="315"/>
      <c r="BJ17" s="315"/>
      <c r="BK17" s="315"/>
      <c r="BL17" s="315"/>
      <c r="BM17" s="315"/>
      <c r="BN17" s="315"/>
      <c r="BO17" s="315"/>
      <c r="BP17" s="315"/>
      <c r="BQ17" s="315"/>
      <c r="BR17" s="315"/>
      <c r="BS17" s="315"/>
      <c r="BT17" s="315"/>
      <c r="BU17" s="315"/>
      <c r="BV17" s="315"/>
      <c r="BW17" s="315"/>
      <c r="BX17" s="165"/>
      <c r="CA17" s="367"/>
      <c r="CB17" s="182"/>
      <c r="CC17" s="352"/>
      <c r="CD17" s="182"/>
      <c r="CE17" s="182"/>
      <c r="CF17" s="193"/>
      <c r="CG17" s="182"/>
      <c r="CH17" s="182"/>
      <c r="CI17" s="182"/>
      <c r="CJ17" s="347"/>
      <c r="CK17" s="351"/>
      <c r="CL17" s="182"/>
      <c r="CM17" s="182"/>
      <c r="CN17" s="182"/>
      <c r="CO17" s="182"/>
      <c r="CP17" s="182"/>
      <c r="CQ17" s="182"/>
      <c r="CR17" s="182"/>
      <c r="CS17" s="229"/>
      <c r="CT17" s="182"/>
      <c r="CY17" s="441"/>
      <c r="CZ17" s="441"/>
    </row>
    <row r="18" spans="2:105">
      <c r="B18" s="35"/>
      <c r="C18" s="174"/>
      <c r="D18" s="42"/>
      <c r="G18" s="753" t="s">
        <v>219</v>
      </c>
      <c r="H18" s="753" t="s">
        <v>593</v>
      </c>
      <c r="I18" s="755">
        <v>0</v>
      </c>
      <c r="J18" s="756"/>
      <c r="K18" s="753"/>
      <c r="L18" s="753"/>
      <c r="M18" s="753"/>
      <c r="N18" s="753"/>
      <c r="O18" s="753"/>
      <c r="P18" s="753"/>
      <c r="Q18" s="753"/>
      <c r="R18" s="753"/>
      <c r="S18" s="753"/>
      <c r="T18" s="753"/>
      <c r="U18" s="753"/>
      <c r="V18" s="753"/>
      <c r="AA18" s="260" t="s">
        <v>193</v>
      </c>
      <c r="AB18" s="260"/>
      <c r="AC18" s="283">
        <f ca="1">BH57</f>
        <v>-4.7372985798895595E-2</v>
      </c>
      <c r="AD18" s="198" t="s">
        <v>142</v>
      </c>
      <c r="AE18" s="199"/>
      <c r="BC18" s="73"/>
      <c r="BD18" s="73"/>
      <c r="BE18" s="295"/>
      <c r="BF18" s="313"/>
      <c r="BG18" s="314"/>
      <c r="BH18" s="315"/>
      <c r="BI18" s="315"/>
      <c r="BJ18" s="315"/>
      <c r="BK18" s="315"/>
      <c r="BL18" s="315"/>
      <c r="BM18" s="315"/>
      <c r="BN18" s="315"/>
      <c r="BO18" s="315"/>
      <c r="BP18" s="315"/>
      <c r="BQ18" s="315"/>
      <c r="BR18" s="315"/>
      <c r="BS18" s="315"/>
      <c r="BT18" s="315"/>
      <c r="BU18" s="315"/>
      <c r="BV18" s="315"/>
      <c r="BW18" s="315"/>
      <c r="BX18" s="165"/>
      <c r="CA18" s="367"/>
      <c r="CB18" s="182"/>
      <c r="CC18" s="352"/>
      <c r="CD18" s="182"/>
      <c r="CE18" s="182"/>
      <c r="CF18" s="193"/>
      <c r="CG18" s="182"/>
      <c r="CH18" s="182"/>
      <c r="CI18" s="182"/>
      <c r="CJ18" s="347"/>
      <c r="CK18" s="351"/>
      <c r="CL18" s="182"/>
      <c r="CM18" s="182"/>
      <c r="CN18" s="182"/>
      <c r="CO18" s="182"/>
      <c r="CP18" s="182"/>
      <c r="CQ18" s="182"/>
      <c r="CR18" s="182"/>
      <c r="CS18" s="229"/>
      <c r="CT18" s="182"/>
      <c r="CY18" s="441"/>
      <c r="CZ18" s="441"/>
    </row>
    <row r="19" spans="2:105">
      <c r="B19" s="35"/>
      <c r="C19" s="174"/>
      <c r="D19" s="42"/>
      <c r="G19" s="753" t="s">
        <v>594</v>
      </c>
      <c r="H19" s="753" t="s">
        <v>593</v>
      </c>
      <c r="I19" s="755">
        <v>0</v>
      </c>
      <c r="J19" s="756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AA19" s="260" t="s">
        <v>199</v>
      </c>
      <c r="AB19" s="260"/>
      <c r="AC19" s="284">
        <f ca="1">BH58</f>
        <v>0.67230509652298942</v>
      </c>
      <c r="AD19" s="198" t="s">
        <v>142</v>
      </c>
      <c r="AE19" s="199"/>
      <c r="BC19" s="73"/>
      <c r="BD19" s="73"/>
      <c r="BE19" s="295"/>
      <c r="BF19" s="313"/>
      <c r="BG19" s="314"/>
      <c r="BH19" s="315"/>
      <c r="BI19" s="315"/>
      <c r="BJ19" s="315"/>
      <c r="BK19" s="315"/>
      <c r="BL19" s="315"/>
      <c r="BM19" s="315"/>
      <c r="BN19" s="315"/>
      <c r="BO19" s="315"/>
      <c r="BP19" s="315"/>
      <c r="BQ19" s="315"/>
      <c r="BR19" s="315"/>
      <c r="BS19" s="315"/>
      <c r="BT19" s="315"/>
      <c r="BU19" s="315"/>
      <c r="BV19" s="315"/>
      <c r="BW19" s="315"/>
      <c r="BX19" s="165"/>
      <c r="CA19" s="367"/>
      <c r="CB19" s="182"/>
      <c r="CC19" s="352"/>
      <c r="CD19" s="182"/>
      <c r="CE19" s="182"/>
      <c r="CF19" s="193"/>
      <c r="CG19" s="182"/>
      <c r="CH19" s="182"/>
      <c r="CI19" s="182"/>
      <c r="CJ19" s="347"/>
      <c r="CK19" s="351"/>
      <c r="CL19" s="182"/>
      <c r="CM19" s="182"/>
      <c r="CN19" s="182"/>
      <c r="CO19" s="182"/>
      <c r="CP19" s="182"/>
      <c r="CQ19" s="182"/>
      <c r="CR19" s="182"/>
      <c r="CS19" s="229"/>
      <c r="CT19" s="182"/>
      <c r="CY19" s="441"/>
      <c r="CZ19" s="441"/>
    </row>
    <row r="20" spans="2:105">
      <c r="B20" s="35" t="s">
        <v>184</v>
      </c>
      <c r="C20" s="174"/>
      <c r="D20" s="43">
        <v>7.4999999999999997E-2</v>
      </c>
      <c r="G20" s="753" t="s">
        <v>226</v>
      </c>
      <c r="H20" s="753" t="s">
        <v>593</v>
      </c>
      <c r="I20" s="755">
        <v>0</v>
      </c>
      <c r="J20" s="756"/>
      <c r="K20" s="753"/>
      <c r="L20" s="753"/>
      <c r="M20" s="753"/>
      <c r="N20" s="753"/>
      <c r="O20" s="753"/>
      <c r="P20" s="753"/>
      <c r="Q20" s="753"/>
      <c r="R20" s="753"/>
      <c r="S20" s="753"/>
      <c r="T20" s="753"/>
      <c r="U20" s="753"/>
      <c r="V20" s="753"/>
      <c r="AA20" s="260"/>
      <c r="AB20" s="260"/>
      <c r="AC20" s="284"/>
      <c r="AD20" s="198"/>
      <c r="AE20" s="199"/>
      <c r="AH20" s="58"/>
      <c r="AI20" s="782" t="s">
        <v>595</v>
      </c>
      <c r="AJ20" s="61"/>
      <c r="AK20" s="405"/>
      <c r="AL20" s="137"/>
      <c r="AM20" s="137"/>
      <c r="AN20" s="137"/>
      <c r="AO20" s="600"/>
      <c r="AP20" s="70"/>
      <c r="AQ20" s="71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388"/>
      <c r="BC20" s="73"/>
      <c r="BD20" s="73"/>
      <c r="BE20" s="295"/>
      <c r="BF20" s="316" t="s">
        <v>169</v>
      </c>
      <c r="BG20" s="314"/>
      <c r="BH20" s="317">
        <f>D26</f>
        <v>24508462</v>
      </c>
      <c r="BI20" s="317">
        <f>(BI8&lt;=$D$10)*(BI8=0)*$D$26</f>
        <v>0</v>
      </c>
      <c r="BJ20" s="317">
        <f>(BJ8&lt;=$D$10)*(BJ8=0)*$D$26</f>
        <v>0</v>
      </c>
      <c r="BK20" s="317">
        <f>(BK8&lt;=$D$10)*(BK8=0)*$D$26</f>
        <v>0</v>
      </c>
      <c r="BL20" s="317">
        <f>(BL8&lt;=$D$10)*(BL8=0)*$D$26</f>
        <v>0</v>
      </c>
      <c r="BM20" s="317">
        <f>(BM8&lt;=$D$10)*(BM8=0)*$D$26</f>
        <v>0</v>
      </c>
      <c r="BN20" s="317">
        <f>(BN8&lt;=$D$10)*(BN8=0)*$D$26</f>
        <v>0</v>
      </c>
      <c r="BO20" s="317">
        <f>(BO8&lt;=$D$10)*(BO8=0)*$D$26</f>
        <v>0</v>
      </c>
      <c r="BP20" s="317">
        <f>(BP8&lt;=$D$10)*(BP8=0)*$D$26</f>
        <v>0</v>
      </c>
      <c r="BQ20" s="317">
        <f>(BQ8&lt;=$D$10)*(BQ8=0)*$D$26</f>
        <v>0</v>
      </c>
      <c r="BR20" s="317">
        <f>(BR8&lt;=$D$10)*(BR8=0)*$D$26</f>
        <v>0</v>
      </c>
      <c r="BS20" s="317" t="str">
        <f>IF(BS8&gt;_xlfn.SINGLE(Analysis_Period),"",(BS8=0)*'[1]Property Cash Flow'!$D$22)</f>
        <v/>
      </c>
      <c r="BT20" s="317" t="str">
        <f>IF(BT8&gt;_xlfn.SINGLE(Analysis_Period),"",(BT8=0)*'[1]Property Cash Flow'!$D$22)</f>
        <v/>
      </c>
      <c r="BU20" s="317" t="str">
        <f>IF(BU8&gt;_xlfn.SINGLE(Analysis_Period),"",(BU8=0)*'[1]Property Cash Flow'!$D$22)</f>
        <v/>
      </c>
      <c r="BV20" s="317" t="str">
        <f>IF(BV8&gt;_xlfn.SINGLE(Analysis_Period),"",(BV8=0)*'[1]Property Cash Flow'!$D$22)</f>
        <v/>
      </c>
      <c r="BW20" s="317" t="str">
        <f>IF(BW8&gt;_xlfn.SINGLE(Analysis_Period),"",(BW8=0)*'[1]Property Cash Flow'!$D$22)</f>
        <v/>
      </c>
      <c r="BX20" s="165"/>
      <c r="CA20" s="367" t="s">
        <v>1</v>
      </c>
      <c r="CB20" s="182" t="s">
        <v>1</v>
      </c>
      <c r="CC20" s="197" t="s">
        <v>1</v>
      </c>
      <c r="CD20" s="182" t="s">
        <v>1</v>
      </c>
      <c r="CE20" s="182" t="s">
        <v>1</v>
      </c>
      <c r="CF20" s="193" t="s">
        <v>1</v>
      </c>
      <c r="CG20" s="182" t="s">
        <v>1</v>
      </c>
      <c r="CH20" s="182" t="s">
        <v>1</v>
      </c>
      <c r="CI20" s="182" t="s">
        <v>1</v>
      </c>
      <c r="CJ20" s="182" t="s">
        <v>1</v>
      </c>
      <c r="CK20" s="182" t="s">
        <v>1</v>
      </c>
      <c r="CL20" s="182" t="s">
        <v>1</v>
      </c>
      <c r="CM20" s="182" t="s">
        <v>1</v>
      </c>
      <c r="CN20" s="182" t="s">
        <v>1</v>
      </c>
      <c r="CO20" s="182" t="s">
        <v>1</v>
      </c>
      <c r="CP20" s="182" t="s">
        <v>1</v>
      </c>
      <c r="CQ20" s="182" t="s">
        <v>1</v>
      </c>
      <c r="CR20" s="182" t="s">
        <v>1</v>
      </c>
      <c r="CS20" s="229" t="s">
        <v>1</v>
      </c>
      <c r="CT20" s="182" t="s">
        <v>1</v>
      </c>
      <c r="CX20" s="55" t="s">
        <v>170</v>
      </c>
      <c r="CY20" s="441"/>
      <c r="CZ20" s="441"/>
    </row>
    <row r="21" spans="2:105" ht="21" customHeight="1">
      <c r="B21" s="35" t="s">
        <v>189</v>
      </c>
      <c r="C21" s="174"/>
      <c r="D21" s="44">
        <v>400</v>
      </c>
      <c r="G21" s="753"/>
      <c r="H21" s="753"/>
      <c r="I21" s="753"/>
      <c r="J21" s="757">
        <f>SUM(J14:J20)</f>
        <v>347492.43978549499</v>
      </c>
      <c r="K21" s="753"/>
      <c r="L21" s="753"/>
      <c r="M21" s="753"/>
      <c r="N21" s="753"/>
      <c r="O21" s="753"/>
      <c r="P21" s="753"/>
      <c r="Q21" s="753"/>
      <c r="R21" s="753"/>
      <c r="S21" s="753"/>
      <c r="T21" s="753"/>
      <c r="U21" s="753"/>
      <c r="V21" s="753"/>
      <c r="AA21" s="260" t="s">
        <v>205</v>
      </c>
      <c r="AB21" s="260"/>
      <c r="AC21" s="283" cm="1">
        <f t="array" aca="1" ref="AC21" ca="1">INDEX(BI56:BS56,1,D10)</f>
        <v>2.6562684289248999E-2</v>
      </c>
      <c r="AD21" s="198" t="s">
        <v>206</v>
      </c>
      <c r="AE21" s="199"/>
      <c r="AH21" s="211"/>
      <c r="AI21" s="67" t="s">
        <v>214</v>
      </c>
      <c r="AJ21" s="61"/>
      <c r="AK21" s="405" t="s">
        <v>215</v>
      </c>
      <c r="AL21" s="784">
        <f>M9</f>
        <v>14478.650565359998</v>
      </c>
      <c r="AM21" s="113">
        <f>(D57/$D$22)*SUM($R$98:$R$101)</f>
        <v>14737.02</v>
      </c>
      <c r="AN21" s="113">
        <f>(E57/$D$22)*SUM($R$98:$R$101)</f>
        <v>15000</v>
      </c>
      <c r="AO21" s="600">
        <f>+AQ21/$D$22</f>
        <v>0.29536447153334394</v>
      </c>
      <c r="AP21" s="70"/>
      <c r="AQ21" s="785">
        <f>AL21*(1+H26)</f>
        <v>14768.223576667198</v>
      </c>
      <c r="AR21" s="785">
        <f>AQ21*(1+I26)</f>
        <v>15063.588048200543</v>
      </c>
      <c r="AS21" s="785">
        <f>AR21*(1+J26)</f>
        <v>15364.859809164554</v>
      </c>
      <c r="AT21" s="785">
        <f>AS21*(1+K26)</f>
        <v>15672.157005347846</v>
      </c>
      <c r="AU21" s="785">
        <f>AT21*(1+L26)</f>
        <v>15985.600145454804</v>
      </c>
      <c r="AV21" s="785">
        <f>AU21*(1+M26)</f>
        <v>16305.312148363901</v>
      </c>
      <c r="AW21" s="785">
        <f>AV21*(1+N26)</f>
        <v>16631.418391331179</v>
      </c>
      <c r="AX21" s="785">
        <f>AW21*(1+O26)</f>
        <v>16964.046759157802</v>
      </c>
      <c r="AY21" s="785">
        <f>AX21*(1+P26)</f>
        <v>17303.327694340958</v>
      </c>
      <c r="AZ21" s="785">
        <f>AY21*(1+Q26)</f>
        <v>17649.394248227778</v>
      </c>
      <c r="BA21" s="785">
        <f>AZ21*(1+R26)</f>
        <v>18002.382133192335</v>
      </c>
      <c r="BB21" s="388" t="s">
        <v>215</v>
      </c>
      <c r="BC21" s="78"/>
      <c r="BD21" s="78"/>
      <c r="BE21" s="296"/>
      <c r="BF21" s="316" t="s">
        <v>175</v>
      </c>
      <c r="BG21" s="314"/>
      <c r="BH21" s="317">
        <f>D23</f>
        <v>250000</v>
      </c>
      <c r="BI21" s="317">
        <f>(BI8&lt;=$D$10)*(BI8=0)*$D$26</f>
        <v>0</v>
      </c>
      <c r="BJ21" s="317">
        <f>(BJ8&lt;=$D$10)*(BJ8=0)*$D$26</f>
        <v>0</v>
      </c>
      <c r="BK21" s="317">
        <f>(BK8&lt;=$D$10)*(BK8=0)*$D$26</f>
        <v>0</v>
      </c>
      <c r="BL21" s="317">
        <f>(BL8&lt;=$D$10)*(BL8=0)*$D$26</f>
        <v>0</v>
      </c>
      <c r="BM21" s="317">
        <f>(BM8&lt;=$D$10)*(BM8=0)*$D$26</f>
        <v>0</v>
      </c>
      <c r="BN21" s="317">
        <f>(BN8&lt;=$D$10)*(BN8=0)*$D$26</f>
        <v>0</v>
      </c>
      <c r="BO21" s="317">
        <f>(BO8&lt;=$D$10)*(BO8=0)*$D$26</f>
        <v>0</v>
      </c>
      <c r="BP21" s="317">
        <f>(BP8&lt;=$D$10)*(BP8=0)*$D$26</f>
        <v>0</v>
      </c>
      <c r="BQ21" s="317">
        <f>(BQ8&lt;=$D$10)*(BQ8=0)*$D$26</f>
        <v>0</v>
      </c>
      <c r="BR21" s="317">
        <f>(BR8&lt;=$D$10)*(BR8=0)*$D$26</f>
        <v>0</v>
      </c>
      <c r="BS21" s="317" t="str">
        <f>IF(BS8&gt;_xlfn.SINGLE(Analysis_Period),"",(BS8=0)*'[1]Property Cash Flow'!AC10)</f>
        <v/>
      </c>
      <c r="BT21" s="317" t="str">
        <f>IF(BT8&gt;_xlfn.SINGLE(Analysis_Period),"",(BT8=0)*'[1]Property Cash Flow'!AD10)</f>
        <v/>
      </c>
      <c r="BU21" s="317" t="str">
        <f>IF(BU8&gt;_xlfn.SINGLE(Analysis_Period),"",(BU8=0)*'[1]Property Cash Flow'!AE10)</f>
        <v/>
      </c>
      <c r="BV21" s="317" t="str">
        <f>IF(BV8&gt;_xlfn.SINGLE(Analysis_Period),"",(BV8=0)*'[1]Property Cash Flow'!AF10)</f>
        <v/>
      </c>
      <c r="BW21" s="317" t="str">
        <f>IF(BW8&gt;_xlfn.SINGLE(Analysis_Period),"",(BW8=0)*'[1]Property Cash Flow'!AG10)</f>
        <v/>
      </c>
      <c r="BX21" s="165"/>
      <c r="CA21" s="369" t="s">
        <v>19</v>
      </c>
      <c r="CB21" s="353" t="s">
        <v>4</v>
      </c>
      <c r="CC21" s="200" t="s">
        <v>1</v>
      </c>
      <c r="CD21" s="200" t="s">
        <v>1</v>
      </c>
      <c r="CE21" s="844" t="s">
        <v>20</v>
      </c>
      <c r="CF21" s="844"/>
      <c r="CG21" s="845" t="s">
        <v>21</v>
      </c>
      <c r="CH21" s="845"/>
      <c r="CI21" s="200" t="s">
        <v>1</v>
      </c>
      <c r="CJ21" s="200" t="s">
        <v>1</v>
      </c>
      <c r="CK21" s="200" t="s">
        <v>1</v>
      </c>
      <c r="CL21" s="200" t="s">
        <v>1</v>
      </c>
      <c r="CM21" s="200" t="s">
        <v>1</v>
      </c>
      <c r="CN21" s="182" t="s">
        <v>1</v>
      </c>
      <c r="CO21" s="182" t="s">
        <v>1</v>
      </c>
      <c r="CP21" s="182" t="s">
        <v>1</v>
      </c>
      <c r="CQ21" s="182" t="s">
        <v>1</v>
      </c>
      <c r="CR21" s="182" t="s">
        <v>1</v>
      </c>
      <c r="CS21" s="229" t="s">
        <v>1</v>
      </c>
      <c r="CT21" s="182" t="s">
        <v>1</v>
      </c>
      <c r="CX21" s="55" t="s">
        <v>176</v>
      </c>
      <c r="CY21" s="441"/>
      <c r="CZ21" s="441"/>
    </row>
    <row r="22" spans="2:105" ht="21.75" customHeight="1">
      <c r="B22" s="255" t="str">
        <f>"Net Rentable Area ("&amp;D9 &amp;")"</f>
        <v>Net Rentable Area (SF)</v>
      </c>
      <c r="C22" s="183"/>
      <c r="D22" s="45">
        <v>50000</v>
      </c>
      <c r="AA22" s="260"/>
      <c r="AB22" s="260"/>
      <c r="AC22" s="285"/>
      <c r="AD22" s="198"/>
      <c r="AE22" s="199"/>
      <c r="AH22" s="205"/>
      <c r="AI22" s="67" t="s">
        <v>218</v>
      </c>
      <c r="AJ22" s="61"/>
      <c r="AK22" s="404" t="s">
        <v>219</v>
      </c>
      <c r="AL22" s="784">
        <f>L9</f>
        <v>62740.819116559993</v>
      </c>
      <c r="AM22" s="113">
        <f>(D58/$D$22)*SUM($R$98:$R$101)</f>
        <v>63860.42</v>
      </c>
      <c r="AN22" s="113">
        <f>(E58/$D$22)*SUM($R$98:$R$101)</f>
        <v>65000</v>
      </c>
      <c r="AO22" s="600">
        <f>+AQ22/$D$22</f>
        <v>1.2799127099778238</v>
      </c>
      <c r="AP22" s="70"/>
      <c r="AQ22" s="785">
        <f>AL22*(1+H25)</f>
        <v>63995.635498891192</v>
      </c>
      <c r="AR22" s="785">
        <f>AQ22*(1+I25)</f>
        <v>65275.548208869019</v>
      </c>
      <c r="AS22" s="785">
        <f>AR22*(1+J25)</f>
        <v>66581.059173046393</v>
      </c>
      <c r="AT22" s="785">
        <f>AS22*(1+K25)</f>
        <v>67912.680356507321</v>
      </c>
      <c r="AU22" s="785">
        <f>AT22*(1+L25)</f>
        <v>69270.933963637464</v>
      </c>
      <c r="AV22" s="785">
        <f>AU22*(1+M25)</f>
        <v>70656.35264291022</v>
      </c>
      <c r="AW22" s="785">
        <f>AV22*(1+N25)</f>
        <v>72069.47969576843</v>
      </c>
      <c r="AX22" s="785">
        <f>AW22*(1+O25)</f>
        <v>73510.869289683804</v>
      </c>
      <c r="AY22" s="785">
        <f>AX22*(1+P25)</f>
        <v>74981.086675477476</v>
      </c>
      <c r="AZ22" s="785">
        <f>AY22*(1+Q25)</f>
        <v>76480.708408987033</v>
      </c>
      <c r="BA22" s="785">
        <f>AZ22*(1+R25)</f>
        <v>78010.322577166779</v>
      </c>
      <c r="BB22" s="387" t="s">
        <v>219</v>
      </c>
      <c r="BC22" s="83"/>
      <c r="BD22" s="83"/>
      <c r="BE22" s="297"/>
      <c r="BF22" s="316" t="s">
        <v>182</v>
      </c>
      <c r="BG22" s="314"/>
      <c r="BH22" s="318">
        <f>D24*D26</f>
        <v>490169.24</v>
      </c>
      <c r="BI22" s="317">
        <f>(BI8&lt;=$D$10)*(BI8=0)*$D$26</f>
        <v>0</v>
      </c>
      <c r="BJ22" s="317">
        <f>(BJ8&lt;=$D$10)*(BJ8=0)*$D$26</f>
        <v>0</v>
      </c>
      <c r="BK22" s="317">
        <f>(BK8&lt;=$D$10)*(BK8=0)*$D$26</f>
        <v>0</v>
      </c>
      <c r="BL22" s="317">
        <f>(BL8&lt;=$D$10)*(BL8=0)*$D$26</f>
        <v>0</v>
      </c>
      <c r="BM22" s="317">
        <f>(BM8&lt;=$D$10)*(BM8=0)*$D$26</f>
        <v>0</v>
      </c>
      <c r="BN22" s="317">
        <f>(BN8&lt;=$D$10)*(BN8=0)*$D$26</f>
        <v>0</v>
      </c>
      <c r="BO22" s="317">
        <f>(BO8&lt;=$D$10)*(BO8=0)*$D$26</f>
        <v>0</v>
      </c>
      <c r="BP22" s="317">
        <f>(BP8&lt;=$D$10)*(BP8=0)*$D$26</f>
        <v>0</v>
      </c>
      <c r="BQ22" s="317">
        <f>(BQ8&lt;=$D$10)*(BQ8=0)*$D$26</f>
        <v>0</v>
      </c>
      <c r="BR22" s="317">
        <f>(BR8&lt;=$D$10)*(BR8=0)*$D$26</f>
        <v>0</v>
      </c>
      <c r="BS22" s="317" t="str">
        <f>IF(BS8&gt;_xlfn.SINGLE(Analysis_Period),"",(BS9=0)*'[1]Property Cash Flow'!$D$22)</f>
        <v/>
      </c>
      <c r="BT22" s="318" t="str">
        <f>IF(BT8&gt;_xlfn.SINGLE(Analysis_Period),"",(BT8=0)*BT20*'[1]Property Cash Flow'!AD11)</f>
        <v/>
      </c>
      <c r="BU22" s="318" t="str">
        <f>IF(BU8&gt;_xlfn.SINGLE(Analysis_Period),"",(BU8=0)*BU20*'[1]Property Cash Flow'!AE11)</f>
        <v/>
      </c>
      <c r="BV22" s="318" t="str">
        <f>IF(BV8&gt;_xlfn.SINGLE(Analysis_Period),"",(BV8=0)*BV20*'[1]Property Cash Flow'!AF11)</f>
        <v/>
      </c>
      <c r="BW22" s="318" t="str">
        <f>IF(BW8&gt;_xlfn.SINGLE(Analysis_Period),"",(BW8=0)*BW20*'[1]Property Cash Flow'!AG11)</f>
        <v/>
      </c>
      <c r="BX22" s="165"/>
      <c r="CA22" s="368" t="s">
        <v>22</v>
      </c>
      <c r="CB22" s="200" t="s">
        <v>1</v>
      </c>
      <c r="CC22" s="200" t="s">
        <v>1</v>
      </c>
      <c r="CD22" s="200" t="s">
        <v>1</v>
      </c>
      <c r="CE22" s="844"/>
      <c r="CF22" s="844"/>
      <c r="CG22" s="345" t="s">
        <v>23</v>
      </c>
      <c r="CH22" s="345" t="s">
        <v>24</v>
      </c>
      <c r="CI22" s="345" t="s">
        <v>25</v>
      </c>
      <c r="CJ22" s="200" t="s">
        <v>1</v>
      </c>
      <c r="CK22" s="200" t="s">
        <v>1</v>
      </c>
      <c r="CL22" s="200" t="s">
        <v>1</v>
      </c>
      <c r="CM22" s="200" t="s">
        <v>1</v>
      </c>
      <c r="CN22" s="182" t="s">
        <v>1</v>
      </c>
      <c r="CO22" s="182" t="s">
        <v>1</v>
      </c>
      <c r="CP22" s="182" t="s">
        <v>1</v>
      </c>
      <c r="CQ22" s="182" t="s">
        <v>1</v>
      </c>
      <c r="CR22" s="182" t="s">
        <v>1</v>
      </c>
      <c r="CS22" s="229" t="s">
        <v>1</v>
      </c>
      <c r="CT22" s="182" t="s">
        <v>1</v>
      </c>
      <c r="CX22" s="55" t="s">
        <v>183</v>
      </c>
      <c r="CY22" s="441"/>
      <c r="CZ22" s="441"/>
    </row>
    <row r="23" spans="2:105">
      <c r="B23" s="255" t="s">
        <v>175</v>
      </c>
      <c r="C23" s="183"/>
      <c r="D23" s="45">
        <v>250000</v>
      </c>
      <c r="G23" s="764" t="s">
        <v>596</v>
      </c>
      <c r="H23" s="754" t="s">
        <v>597</v>
      </c>
      <c r="I23" s="754" t="s">
        <v>598</v>
      </c>
      <c r="J23" s="754" t="s">
        <v>599</v>
      </c>
      <c r="K23" s="754" t="s">
        <v>600</v>
      </c>
      <c r="L23" s="754" t="s">
        <v>601</v>
      </c>
      <c r="M23" s="754" t="s">
        <v>602</v>
      </c>
      <c r="N23" s="754" t="s">
        <v>603</v>
      </c>
      <c r="O23" s="754" t="s">
        <v>604</v>
      </c>
      <c r="P23" s="754" t="s">
        <v>605</v>
      </c>
      <c r="Q23" s="754" t="s">
        <v>606</v>
      </c>
      <c r="R23" s="754" t="s">
        <v>607</v>
      </c>
      <c r="S23" s="754"/>
      <c r="T23" s="754"/>
      <c r="U23" s="754"/>
      <c r="V23" s="754"/>
      <c r="AA23" s="260" t="s">
        <v>81</v>
      </c>
      <c r="AB23" s="260"/>
      <c r="AC23" s="283" t="e">
        <f ca="1">BH68</f>
        <v>#NUM!</v>
      </c>
      <c r="AD23" s="198" t="s">
        <v>142</v>
      </c>
      <c r="AE23" s="199"/>
      <c r="AH23" s="205"/>
      <c r="AI23" s="67" t="s">
        <v>225</v>
      </c>
      <c r="AJ23" s="61"/>
      <c r="AK23" s="405" t="s">
        <v>226</v>
      </c>
      <c r="AL23" s="784">
        <f>N9</f>
        <v>91698.120247279992</v>
      </c>
      <c r="AM23" s="113">
        <f>(D60/$D$22)*SUM($R$98:$R$101)</f>
        <v>93334.46</v>
      </c>
      <c r="AN23" s="113">
        <f>(E60/$D$22)*SUM($R$98:$R$101)</f>
        <v>95000</v>
      </c>
      <c r="AO23" s="600">
        <f>+AQ23/$D$22</f>
        <v>1.870641653044512</v>
      </c>
      <c r="AP23" s="70"/>
      <c r="AQ23" s="785">
        <f>AL23*(1+H27)</f>
        <v>93532.082652225596</v>
      </c>
      <c r="AR23" s="785">
        <f>AQ23*(1+I27)</f>
        <v>95402.724305270109</v>
      </c>
      <c r="AS23" s="785">
        <f>AR23*(1+J27)</f>
        <v>97310.778791375516</v>
      </c>
      <c r="AT23" s="785">
        <f>AS23*(1+K27)</f>
        <v>99256.994367203035</v>
      </c>
      <c r="AU23" s="785">
        <f>AT23*(1+L27)</f>
        <v>101242.1342545471</v>
      </c>
      <c r="AV23" s="785">
        <f>AU23*(1+M27)</f>
        <v>103266.97693963804</v>
      </c>
      <c r="AW23" s="785">
        <f>AV23*(1+N27)</f>
        <v>105332.3164784308</v>
      </c>
      <c r="AX23" s="785">
        <f>AW23*(1+O27)</f>
        <v>107438.96280799941</v>
      </c>
      <c r="AY23" s="785">
        <f>AX23*(1+P27)</f>
        <v>109587.74206415941</v>
      </c>
      <c r="AZ23" s="785">
        <f>AY23*(1+Q27)</f>
        <v>111779.4969054426</v>
      </c>
      <c r="BA23" s="785">
        <f>AZ23*(1+R27)</f>
        <v>114015.08684355146</v>
      </c>
      <c r="BB23" s="388" t="s">
        <v>226</v>
      </c>
      <c r="BC23" s="73"/>
      <c r="BD23" s="73"/>
      <c r="BE23" s="295"/>
      <c r="BF23" s="319" t="s">
        <v>187</v>
      </c>
      <c r="BG23" s="314"/>
      <c r="BH23" s="320">
        <f>SUM(BH20:BH22)</f>
        <v>25248631.239999998</v>
      </c>
      <c r="BI23" s="320">
        <f>(BI8&lt;=$D$10)*SUM(BI20:BI22)</f>
        <v>0</v>
      </c>
      <c r="BJ23" s="320">
        <f>(BJ8&lt;=$D$10)*SUM(BJ20:BJ22)</f>
        <v>0</v>
      </c>
      <c r="BK23" s="320">
        <f>(BK8&lt;=$D$10)*SUM(BK20:BK22)</f>
        <v>0</v>
      </c>
      <c r="BL23" s="320">
        <f>(BL8&lt;=$D$10)*SUM(BL20:BL22)</f>
        <v>0</v>
      </c>
      <c r="BM23" s="320">
        <f>(BM8&lt;=$D$10)*SUM(BM20:BM22)</f>
        <v>0</v>
      </c>
      <c r="BN23" s="320">
        <f>(BN8&lt;=$D$10)*SUM(BN20:BN22)</f>
        <v>0</v>
      </c>
      <c r="BO23" s="320">
        <f>(BO8&lt;=$D$10)*SUM(BO20:BO22)</f>
        <v>0</v>
      </c>
      <c r="BP23" s="320">
        <f>(BP8&lt;=$D$10)*SUM(BP20:BP22)</f>
        <v>0</v>
      </c>
      <c r="BQ23" s="320">
        <f>(BQ8&lt;=$D$10)*SUM(BQ20:BQ22)</f>
        <v>0</v>
      </c>
      <c r="BR23" s="320">
        <f>(BR8&lt;=$D$10)*SUM(BR20:BR22)</f>
        <v>0</v>
      </c>
      <c r="BS23" s="320" t="str">
        <f>IF(BS8&gt;_xlfn.SINGLE(Analysis_Period),"",SUM(BS20:BS22))</f>
        <v/>
      </c>
      <c r="BT23" s="317" t="str">
        <f>IF(BT8&gt;_xlfn.SINGLE(Analysis_Period),"",SUM(BT20:BT22))</f>
        <v/>
      </c>
      <c r="BU23" s="317" t="str">
        <f>IF(BU8&gt;_xlfn.SINGLE(Analysis_Period),"",SUM(BU20:BU22))</f>
        <v/>
      </c>
      <c r="BV23" s="317" t="str">
        <f>IF(BV8&gt;_xlfn.SINGLE(Analysis_Period),"",SUM(BV20:BV22))</f>
        <v/>
      </c>
      <c r="BW23" s="317" t="str">
        <f>IF(BW8&gt;_xlfn.SINGLE(Analysis_Period),"",SUM(BW20:BW22))</f>
        <v/>
      </c>
      <c r="BX23" s="165"/>
      <c r="CA23" s="367" t="s">
        <v>26</v>
      </c>
      <c r="CB23" s="354" t="s">
        <v>27</v>
      </c>
      <c r="CC23" s="355" t="s">
        <v>4</v>
      </c>
      <c r="CD23" s="197" t="str">
        <f t="shared" ref="CD23:CD24" si="4">CC24</f>
        <v>&gt; 8.0% IRR to LP</v>
      </c>
      <c r="CE23" s="356" t="s">
        <v>29</v>
      </c>
      <c r="CF23" s="356"/>
      <c r="CG23" s="175">
        <f>CB8</f>
        <v>0.05</v>
      </c>
      <c r="CH23" s="357">
        <f>1-CG23</f>
        <v>0.95</v>
      </c>
      <c r="CI23" s="846" t="s">
        <v>30</v>
      </c>
      <c r="CJ23" s="846"/>
      <c r="CK23" s="846"/>
      <c r="CL23" s="846"/>
      <c r="CM23" s="846"/>
      <c r="CN23" s="182" t="s">
        <v>1</v>
      </c>
      <c r="CO23" s="182" t="s">
        <v>1</v>
      </c>
      <c r="CP23" s="182" t="s">
        <v>1</v>
      </c>
      <c r="CQ23" s="182" t="s">
        <v>1</v>
      </c>
      <c r="CR23" s="182" t="s">
        <v>1</v>
      </c>
      <c r="CS23" s="229" t="s">
        <v>1</v>
      </c>
      <c r="CT23" s="182" t="s">
        <v>1</v>
      </c>
      <c r="CX23" s="55" t="s">
        <v>188</v>
      </c>
    </row>
    <row r="24" spans="2:105">
      <c r="B24" s="255" t="s">
        <v>203</v>
      </c>
      <c r="C24" s="183"/>
      <c r="D24" s="43">
        <v>0.02</v>
      </c>
      <c r="G24" s="753" t="s">
        <v>586</v>
      </c>
      <c r="H24" s="755">
        <v>0.02</v>
      </c>
      <c r="I24" s="755">
        <v>0.02</v>
      </c>
      <c r="J24" s="755">
        <v>0.02</v>
      </c>
      <c r="K24" s="755">
        <v>0.02</v>
      </c>
      <c r="L24" s="755">
        <v>0.02</v>
      </c>
      <c r="M24" s="755">
        <v>0.02</v>
      </c>
      <c r="N24" s="755">
        <v>0.02</v>
      </c>
      <c r="O24" s="755">
        <v>0.02</v>
      </c>
      <c r="P24" s="755">
        <v>0.02</v>
      </c>
      <c r="Q24" s="755">
        <v>0.02</v>
      </c>
      <c r="R24" s="755">
        <v>0.02</v>
      </c>
      <c r="S24" s="755"/>
      <c r="T24" s="755"/>
      <c r="U24" s="755"/>
      <c r="V24" s="755"/>
      <c r="AA24" s="260" t="s">
        <v>217</v>
      </c>
      <c r="AB24" s="260"/>
      <c r="AC24" s="284">
        <f>BH62</f>
        <v>0</v>
      </c>
      <c r="AD24" s="198" t="s">
        <v>142</v>
      </c>
      <c r="AE24" s="199"/>
      <c r="AH24" s="205"/>
      <c r="AI24" s="67" t="s">
        <v>231</v>
      </c>
      <c r="AJ24" s="61"/>
      <c r="AK24" s="405" t="s">
        <v>232</v>
      </c>
      <c r="AL24" s="786">
        <f>J9</f>
        <v>82045.68653703999</v>
      </c>
      <c r="AM24" s="113">
        <f>(D61/$D$22)*SUM($R$98:$R$101)</f>
        <v>83509.78</v>
      </c>
      <c r="AN24" s="113">
        <f>(E61/$D$22)*SUM($R$98:$R$101)</f>
        <v>85000</v>
      </c>
      <c r="AO24" s="600">
        <f>+AQ24/$D$22</f>
        <v>1.6737320053556157</v>
      </c>
      <c r="AP24" s="70"/>
      <c r="AQ24" s="785">
        <f>AL24*(1+H24)</f>
        <v>83686.600267780785</v>
      </c>
      <c r="AR24" s="785">
        <f>AQ24*(1+I24)</f>
        <v>85360.332273136402</v>
      </c>
      <c r="AS24" s="785">
        <f>AR24*(1+J24)</f>
        <v>87067.538918599137</v>
      </c>
      <c r="AT24" s="785">
        <f>AS24*(1+K24)</f>
        <v>88808.88969697112</v>
      </c>
      <c r="AU24" s="785">
        <f>AT24*(1+L24)</f>
        <v>90585.067490910544</v>
      </c>
      <c r="AV24" s="785">
        <f>AU24*(1+M24)</f>
        <v>92396.76884072875</v>
      </c>
      <c r="AW24" s="785">
        <f>AV24*(1+N24)</f>
        <v>94244.704217543331</v>
      </c>
      <c r="AX24" s="785">
        <f>AW24*(1+O24)</f>
        <v>96129.598301894206</v>
      </c>
      <c r="AY24" s="785">
        <f>AX24*(1+P24)</f>
        <v>98052.190267932092</v>
      </c>
      <c r="AZ24" s="785">
        <f>AY24*(1+Q24)</f>
        <v>100013.23407329073</v>
      </c>
      <c r="BA24" s="785">
        <f>AZ24*(1+R24)</f>
        <v>102013.49875475655</v>
      </c>
      <c r="BB24" s="388" t="s">
        <v>232</v>
      </c>
      <c r="BC24" s="73"/>
      <c r="BD24" s="73"/>
      <c r="BE24" s="295"/>
      <c r="BF24" s="319"/>
      <c r="BG24" s="314"/>
      <c r="BH24" s="317"/>
      <c r="BI24" s="317"/>
      <c r="BJ24" s="317"/>
      <c r="BK24" s="317"/>
      <c r="BL24" s="317"/>
      <c r="BM24" s="317"/>
      <c r="BN24" s="317"/>
      <c r="BO24" s="317"/>
      <c r="BP24" s="317"/>
      <c r="BQ24" s="317"/>
      <c r="BR24" s="317"/>
      <c r="BS24" s="317"/>
      <c r="BT24" s="317"/>
      <c r="BU24" s="317"/>
      <c r="BV24" s="317"/>
      <c r="BW24" s="317"/>
      <c r="BX24" s="165"/>
      <c r="CA24" s="367" t="s">
        <v>31</v>
      </c>
      <c r="CB24" s="332" t="s">
        <v>32</v>
      </c>
      <c r="CC24" s="176" t="s">
        <v>33</v>
      </c>
      <c r="CD24" s="197" t="str">
        <f t="shared" si="4"/>
        <v>&gt; 12.0% IRR to LP</v>
      </c>
      <c r="CE24" s="175">
        <v>0.2</v>
      </c>
      <c r="CF24" s="182" t="s">
        <v>1</v>
      </c>
      <c r="CG24" s="358">
        <f>1-($CB$9*(1-CE24))</f>
        <v>0.24</v>
      </c>
      <c r="CH24" s="357">
        <f>1-CG24</f>
        <v>0.76</v>
      </c>
      <c r="CI24" s="846" t="s">
        <v>35</v>
      </c>
      <c r="CJ24" s="846"/>
      <c r="CK24" s="846"/>
      <c r="CL24" s="846"/>
      <c r="CM24" s="846"/>
      <c r="CN24" s="182" t="s">
        <v>1</v>
      </c>
      <c r="CO24" s="182" t="s">
        <v>1</v>
      </c>
      <c r="CP24" s="182" t="s">
        <v>1</v>
      </c>
      <c r="CQ24" s="182" t="s">
        <v>1</v>
      </c>
      <c r="CR24" s="182" t="s">
        <v>1</v>
      </c>
      <c r="CS24" s="229" t="s">
        <v>1</v>
      </c>
      <c r="CT24" s="182" t="s">
        <v>1</v>
      </c>
      <c r="CX24" s="55" t="s">
        <v>192</v>
      </c>
    </row>
    <row r="25" spans="2:105" ht="20.25" customHeight="1">
      <c r="B25" s="255" t="s">
        <v>210</v>
      </c>
      <c r="C25" s="183"/>
      <c r="D25" s="43">
        <v>0.02</v>
      </c>
      <c r="G25" s="753" t="s">
        <v>219</v>
      </c>
      <c r="H25" s="765">
        <v>0.02</v>
      </c>
      <c r="I25" s="765">
        <v>0.02</v>
      </c>
      <c r="J25" s="765">
        <v>0.02</v>
      </c>
      <c r="K25" s="765">
        <v>0.02</v>
      </c>
      <c r="L25" s="765">
        <v>0.02</v>
      </c>
      <c r="M25" s="765">
        <v>0.02</v>
      </c>
      <c r="N25" s="765">
        <v>0.02</v>
      </c>
      <c r="O25" s="765">
        <v>0.02</v>
      </c>
      <c r="P25" s="765">
        <v>0.02</v>
      </c>
      <c r="Q25" s="765">
        <v>0.02</v>
      </c>
      <c r="R25" s="755">
        <v>0.02</v>
      </c>
      <c r="S25" s="755"/>
      <c r="T25" s="755"/>
      <c r="U25" s="755"/>
      <c r="V25" s="755"/>
      <c r="AA25" s="260" t="s">
        <v>221</v>
      </c>
      <c r="AB25" s="260"/>
      <c r="AC25" s="283">
        <f ca="1">INDEX(BI67:BW67,1,D37)</f>
        <v>-1.9810143252628233E-2</v>
      </c>
      <c r="AD25" s="198" t="s">
        <v>222</v>
      </c>
      <c r="AE25" s="199"/>
      <c r="AH25" s="205"/>
      <c r="AI25" s="782" t="s">
        <v>608</v>
      </c>
      <c r="AL25" s="787"/>
      <c r="AM25" s="787"/>
      <c r="AN25" s="787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C25" s="73"/>
      <c r="BD25" s="73"/>
      <c r="BE25" s="295"/>
      <c r="BF25" s="319" t="s">
        <v>196</v>
      </c>
      <c r="BG25" s="314"/>
      <c r="BH25" s="317">
        <f>D26*D39</f>
        <v>15930500.300000001</v>
      </c>
      <c r="BI25" s="317">
        <f>(BI8&lt;=$D$10)*(BI8=0)*$AC$32</f>
        <v>0</v>
      </c>
      <c r="BJ25" s="317">
        <f>(BJ8&lt;=$D$10)*(BJ8=0)*$AC$32</f>
        <v>0</v>
      </c>
      <c r="BK25" s="317">
        <f>(BK8&lt;=$D$10)*(BK8=0)*$AC$32</f>
        <v>0</v>
      </c>
      <c r="BL25" s="317">
        <f>(BL8&lt;=$D$10)*(BL8=0)*$AC$32</f>
        <v>0</v>
      </c>
      <c r="BM25" s="317">
        <f>(BM8&lt;=$D$10)*(BM8=0)*$AC$32</f>
        <v>0</v>
      </c>
      <c r="BN25" s="317">
        <f>(BN8&lt;=$D$10)*(BN8=0)*$AC$32</f>
        <v>0</v>
      </c>
      <c r="BO25" s="317">
        <f>(BO8&lt;=$D$10)*(BO8=0)*$AC$32</f>
        <v>0</v>
      </c>
      <c r="BP25" s="317">
        <f>(BP8&lt;=$D$10)*(BP8=0)*$AC$32</f>
        <v>0</v>
      </c>
      <c r="BQ25" s="317">
        <f>(BQ8&lt;=$D$10)*(BQ8=0)*$AC$32</f>
        <v>0</v>
      </c>
      <c r="BR25" s="317">
        <f>(BR8&lt;=$D$10)*(BR8=0)*$AC$32</f>
        <v>0</v>
      </c>
      <c r="BS25" s="317" t="str">
        <f t="shared" ref="BI25:BW25" si="5">IF(BS8&gt;_xlfn.SINGLE(Analysis_Period),"",(BS8=0)*_xlfn.SINGLE(Debt))</f>
        <v/>
      </c>
      <c r="BT25" s="317" t="str">
        <f t="shared" si="5"/>
        <v/>
      </c>
      <c r="BU25" s="317" t="str">
        <f t="shared" si="5"/>
        <v/>
      </c>
      <c r="BV25" s="317" t="str">
        <f t="shared" si="5"/>
        <v/>
      </c>
      <c r="BW25" s="317" t="str">
        <f t="shared" si="5"/>
        <v/>
      </c>
      <c r="BX25" s="165"/>
      <c r="CA25" s="367" t="s">
        <v>36</v>
      </c>
      <c r="CB25" s="332" t="s">
        <v>37</v>
      </c>
      <c r="CC25" s="176" t="s">
        <v>38</v>
      </c>
      <c r="CD25" s="197" t="str">
        <f>CC26</f>
        <v>&gt; 15.0% IRR to LP</v>
      </c>
      <c r="CE25" s="175">
        <v>0.3</v>
      </c>
      <c r="CF25" s="182" t="s">
        <v>1</v>
      </c>
      <c r="CG25" s="358">
        <f>1-($CB$9*(1-CE25))</f>
        <v>0.33500000000000008</v>
      </c>
      <c r="CH25" s="357">
        <f>1-CG25</f>
        <v>0.66499999999999992</v>
      </c>
      <c r="CI25" s="846" t="s">
        <v>40</v>
      </c>
      <c r="CJ25" s="846"/>
      <c r="CK25" s="846"/>
      <c r="CL25" s="846"/>
      <c r="CM25" s="846"/>
      <c r="CN25" s="182" t="s">
        <v>1</v>
      </c>
      <c r="CO25" s="182" t="s">
        <v>1</v>
      </c>
      <c r="CP25" s="182" t="s">
        <v>1</v>
      </c>
      <c r="CQ25" s="182" t="s">
        <v>1</v>
      </c>
      <c r="CR25" s="182" t="s">
        <v>1</v>
      </c>
      <c r="CS25" s="229" t="s">
        <v>1</v>
      </c>
      <c r="CT25" s="182" t="s">
        <v>1</v>
      </c>
      <c r="CX25" s="55" t="s">
        <v>197</v>
      </c>
    </row>
    <row r="26" spans="2:105">
      <c r="B26" s="255" t="s">
        <v>213</v>
      </c>
      <c r="C26" s="456"/>
      <c r="D26" s="508">
        <v>24508462</v>
      </c>
      <c r="F26" s="176"/>
      <c r="G26" s="753" t="s">
        <v>215</v>
      </c>
      <c r="H26" s="755">
        <v>0.02</v>
      </c>
      <c r="I26" s="755">
        <v>0.02</v>
      </c>
      <c r="J26" s="755">
        <v>0.02</v>
      </c>
      <c r="K26" s="755">
        <v>0.02</v>
      </c>
      <c r="L26" s="755">
        <v>0.02</v>
      </c>
      <c r="M26" s="755">
        <v>0.02</v>
      </c>
      <c r="N26" s="755">
        <v>0.02</v>
      </c>
      <c r="O26" s="755">
        <v>0.02</v>
      </c>
      <c r="P26" s="755">
        <v>0.02</v>
      </c>
      <c r="Q26" s="755">
        <v>0.02</v>
      </c>
      <c r="R26" s="755">
        <v>0.02</v>
      </c>
      <c r="S26" s="755"/>
      <c r="T26" s="755"/>
      <c r="U26" s="755"/>
      <c r="V26" s="755"/>
      <c r="AA26" s="260"/>
      <c r="AB26" s="260"/>
      <c r="AC26" s="285"/>
      <c r="AD26" s="198"/>
      <c r="AE26" s="199"/>
      <c r="AH26" s="205"/>
      <c r="AI26" s="67" t="s">
        <v>236</v>
      </c>
      <c r="AJ26" s="601"/>
      <c r="AK26" s="407"/>
      <c r="AL26" s="113">
        <f ca="1">AL17*$C44</f>
        <v>45493.355271731991</v>
      </c>
      <c r="AM26" s="113">
        <f ca="1">AM17*C44</f>
        <v>0</v>
      </c>
      <c r="AN26" s="113">
        <f ca="1">AN17*$C44</f>
        <v>0</v>
      </c>
      <c r="AO26" s="600">
        <f ca="1">+AQ26/$D$22</f>
        <v>0.99900021599999989</v>
      </c>
      <c r="AP26" s="96"/>
      <c r="AQ26" s="71">
        <f ca="1">+AN26</f>
        <v>49950.010799999996</v>
      </c>
      <c r="AR26" s="73">
        <f>AR17*$C$44</f>
        <v>49950.010799999996</v>
      </c>
      <c r="AS26" s="73">
        <f>AS17*$C$44</f>
        <v>49950.010799999996</v>
      </c>
      <c r="AT26" s="73">
        <f>AT17*$C$44</f>
        <v>49950.010799999996</v>
      </c>
      <c r="AU26" s="73">
        <f>AU17*$C$44</f>
        <v>49950.010799999996</v>
      </c>
      <c r="AV26" s="73">
        <f>AV17*$C$44</f>
        <v>54945.011879999998</v>
      </c>
      <c r="AW26" s="73">
        <f>AW17*$C$44</f>
        <v>54945.011879999998</v>
      </c>
      <c r="AX26" s="73">
        <f>AX17*$C$44</f>
        <v>54945.011879999998</v>
      </c>
      <c r="AY26" s="73">
        <f>AY17*$C$44</f>
        <v>54945.011879999998</v>
      </c>
      <c r="AZ26" s="73">
        <f>AZ17*$C$44</f>
        <v>54945.011879999998</v>
      </c>
      <c r="BA26" s="73">
        <f>BA17*$C$44</f>
        <v>60439.513068</v>
      </c>
      <c r="BB26" s="390"/>
      <c r="BC26" s="88"/>
      <c r="BD26" s="88"/>
      <c r="BE26" s="298"/>
      <c r="BF26" s="321" t="s">
        <v>201</v>
      </c>
      <c r="BG26" s="314"/>
      <c r="BH26" s="318">
        <f>(BH25*D40)*-1</f>
        <v>-159305.003</v>
      </c>
      <c r="BI26" s="318"/>
      <c r="BJ26" s="318">
        <f>IF(BJ8&gt;_xlfn.SINGLE(Analysis_Period),"",(BJ8=0)*BJ25*-'[1]Property Cash Flow'!T32)</f>
        <v>0</v>
      </c>
      <c r="BK26" s="318">
        <f>IF(BK8&gt;_xlfn.SINGLE(Analysis_Period),"",(BK8=0)*BK25*-'[1]Property Cash Flow'!U32)</f>
        <v>0</v>
      </c>
      <c r="BL26" s="318">
        <f>IF(BL8&gt;_xlfn.SINGLE(Analysis_Period),"",(BL8=0)*BL25*-'[1]Property Cash Flow'!V32)</f>
        <v>0</v>
      </c>
      <c r="BM26" s="318">
        <f>IF(BM8&gt;_xlfn.SINGLE(Analysis_Period),"",(BM8=0)*BM25*-'[1]Property Cash Flow'!W32)</f>
        <v>0</v>
      </c>
      <c r="BN26" s="318">
        <f>IF(BN8&gt;_xlfn.SINGLE(Analysis_Period),"",(BN8=0)*BN25*-'[1]Property Cash Flow'!X32)</f>
        <v>0</v>
      </c>
      <c r="BO26" s="318">
        <f>IF(BO8&gt;_xlfn.SINGLE(Analysis_Period),"",(BO8=0)*BO25*-'[1]Property Cash Flow'!Y32)</f>
        <v>0</v>
      </c>
      <c r="BP26" s="318">
        <f>IF(BP8&gt;_xlfn.SINGLE(Analysis_Period),"",(BP8=0)*BP25*-'[1]Property Cash Flow'!Z32)</f>
        <v>0</v>
      </c>
      <c r="BQ26" s="318">
        <f>IF(BQ8&gt;_xlfn.SINGLE(Analysis_Period),"",(BQ8=0)*BQ25*-'[1]Property Cash Flow'!AA32)</f>
        <v>0</v>
      </c>
      <c r="BR26" s="318">
        <f>IF(BR8&gt;_xlfn.SINGLE(Analysis_Period),"",(BR8=0)*BR25*-'[1]Property Cash Flow'!AB32)</f>
        <v>0</v>
      </c>
      <c r="BS26" s="318" t="str">
        <f>IF(BS8&gt;_xlfn.SINGLE(Analysis_Period),"",(BS8=0)*BS25*-'[1]Property Cash Flow'!AC32)</f>
        <v/>
      </c>
      <c r="BT26" s="318" t="str">
        <f>IF(BT8&gt;_xlfn.SINGLE(Analysis_Period),"",(BT8=0)*BT25*-'[1]Property Cash Flow'!AD32)</f>
        <v/>
      </c>
      <c r="BU26" s="318" t="str">
        <f>IF(BU8&gt;_xlfn.SINGLE(Analysis_Period),"",(BU8=0)*BU25*-'[1]Property Cash Flow'!AE32)</f>
        <v/>
      </c>
      <c r="BV26" s="318" t="str">
        <f>IF(BV8&gt;_xlfn.SINGLE(Analysis_Period),"",(BV8=0)*BV25*-'[1]Property Cash Flow'!AF32)</f>
        <v/>
      </c>
      <c r="BW26" s="318" t="str">
        <f>IF(BW8&gt;_xlfn.SINGLE(Analysis_Period),"",(BW8=0)*BW25*-'[1]Property Cash Flow'!AG32)</f>
        <v/>
      </c>
      <c r="BX26" s="165"/>
      <c r="CA26" s="370" t="s">
        <v>41</v>
      </c>
      <c r="CB26" s="371" t="s">
        <v>42</v>
      </c>
      <c r="CC26" s="372" t="s">
        <v>43</v>
      </c>
      <c r="CD26" s="373" t="s">
        <v>1</v>
      </c>
      <c r="CE26" s="374">
        <v>0.4</v>
      </c>
      <c r="CF26" s="375" t="s">
        <v>1</v>
      </c>
      <c r="CG26" s="376">
        <f>1-($CB$9*(1-CE26))</f>
        <v>0.43000000000000005</v>
      </c>
      <c r="CH26" s="377">
        <f>1-CG26</f>
        <v>0.56999999999999995</v>
      </c>
      <c r="CI26" s="842" t="s">
        <v>44</v>
      </c>
      <c r="CJ26" s="842"/>
      <c r="CK26" s="842"/>
      <c r="CL26" s="842"/>
      <c r="CM26" s="842"/>
      <c r="CN26" s="375" t="s">
        <v>1</v>
      </c>
      <c r="CO26" s="375" t="s">
        <v>1</v>
      </c>
      <c r="CP26" s="375" t="s">
        <v>1</v>
      </c>
      <c r="CQ26" s="375" t="s">
        <v>1</v>
      </c>
      <c r="CR26" s="375" t="s">
        <v>1</v>
      </c>
      <c r="CS26" s="378" t="s">
        <v>1</v>
      </c>
      <c r="CT26" s="182" t="s">
        <v>1</v>
      </c>
      <c r="CX26" s="55" t="s">
        <v>202</v>
      </c>
    </row>
    <row r="27" spans="2:105" ht="19.5" customHeight="1">
      <c r="B27" s="255"/>
      <c r="C27" s="456"/>
      <c r="D27" s="508"/>
      <c r="G27" s="753" t="s">
        <v>226</v>
      </c>
      <c r="H27" s="755">
        <v>0.02</v>
      </c>
      <c r="I27" s="755">
        <v>0.02</v>
      </c>
      <c r="J27" s="755">
        <v>0.02</v>
      </c>
      <c r="K27" s="755">
        <v>0.02</v>
      </c>
      <c r="L27" s="755">
        <v>0.02</v>
      </c>
      <c r="M27" s="755">
        <v>0.02</v>
      </c>
      <c r="N27" s="755">
        <v>0.02</v>
      </c>
      <c r="O27" s="755">
        <v>0.02</v>
      </c>
      <c r="P27" s="755">
        <v>0.02</v>
      </c>
      <c r="Q27" s="755">
        <v>0.02</v>
      </c>
      <c r="R27" s="755">
        <v>0.02</v>
      </c>
      <c r="S27" s="755"/>
      <c r="T27" s="755"/>
      <c r="U27" s="755"/>
      <c r="V27" s="755"/>
      <c r="AA27" s="260" t="s">
        <v>229</v>
      </c>
      <c r="AB27" s="260"/>
      <c r="AC27" s="284">
        <f ca="1">MIN(BI71:BS71)</f>
        <v>0.83065235596368625</v>
      </c>
      <c r="AD27" s="198" t="s">
        <v>230</v>
      </c>
      <c r="AE27" s="199"/>
      <c r="AH27" s="205"/>
      <c r="AI27" s="67" t="s">
        <v>239</v>
      </c>
      <c r="AJ27" s="61"/>
      <c r="AK27" s="405" t="s">
        <v>240</v>
      </c>
      <c r="AL27" s="784">
        <f>J15</f>
        <v>33783.517985839993</v>
      </c>
      <c r="AM27" s="788">
        <f>(D63/$D$22)*SUM($R$98:$R$101)</f>
        <v>34386.379999999997</v>
      </c>
      <c r="AN27" s="788">
        <f>(E63/$D$22)*SUM($R$98:$R$101)</f>
        <v>35000</v>
      </c>
      <c r="AO27" s="600">
        <f>+AQ27/$D$22</f>
        <v>0.69594047050830388</v>
      </c>
      <c r="AP27" s="70"/>
      <c r="AQ27" s="785">
        <f>AL27*(1+H35)</f>
        <v>34797.023525415192</v>
      </c>
      <c r="AR27" s="785">
        <f>AQ27*(1+I35)</f>
        <v>35840.934231177649</v>
      </c>
      <c r="AS27" s="785">
        <f>AR27*(1+J35)</f>
        <v>36916.162258112978</v>
      </c>
      <c r="AT27" s="785">
        <f>AS27*(1+K35)</f>
        <v>38023.647125856369</v>
      </c>
      <c r="AU27" s="785">
        <f>AT27*(1+L35)</f>
        <v>39164.356539632063</v>
      </c>
      <c r="AV27" s="785">
        <f>AU27*(1+M35)</f>
        <v>40339.287235821022</v>
      </c>
      <c r="AW27" s="785">
        <f>AV27*(1+N35)</f>
        <v>41549.465852895657</v>
      </c>
      <c r="AX27" s="785">
        <f>AW27*(1+O35)</f>
        <v>42795.949828482531</v>
      </c>
      <c r="AY27" s="785">
        <f>AX27*(1+P35)</f>
        <v>44079.828323337009</v>
      </c>
      <c r="AZ27" s="785">
        <f>AY27*(1+Q35)</f>
        <v>45402.22317303712</v>
      </c>
      <c r="BA27" s="785">
        <f>AZ27*(1+R35)</f>
        <v>46764.289868228232</v>
      </c>
      <c r="BB27" s="388" t="s">
        <v>240</v>
      </c>
      <c r="BC27" s="88"/>
      <c r="BD27" s="88"/>
      <c r="BE27" s="298"/>
      <c r="BF27" s="321"/>
      <c r="BG27" s="314"/>
      <c r="BH27" s="318"/>
      <c r="BI27" s="318"/>
      <c r="BJ27" s="318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318"/>
      <c r="BX27" s="165"/>
      <c r="CA27" s="182"/>
      <c r="CB27" s="332"/>
      <c r="CC27" s="176"/>
      <c r="CD27" s="197"/>
      <c r="CE27" s="175"/>
      <c r="CF27" s="182"/>
      <c r="CG27" s="358"/>
      <c r="CH27" s="357"/>
      <c r="CI27" s="645"/>
      <c r="CJ27" s="645"/>
      <c r="CK27" s="645"/>
      <c r="CL27" s="645"/>
      <c r="CM27" s="645"/>
      <c r="CN27" s="182"/>
      <c r="CO27" s="182"/>
      <c r="CP27" s="182"/>
      <c r="CQ27" s="182"/>
      <c r="CR27" s="182"/>
      <c r="CS27" s="182"/>
      <c r="CT27" s="182"/>
    </row>
    <row r="28" spans="2:105" ht="23.25" customHeight="1">
      <c r="F28" s="760"/>
      <c r="G28" s="753"/>
      <c r="H28" s="765"/>
      <c r="I28" s="765"/>
      <c r="J28" s="765"/>
      <c r="K28" s="765"/>
      <c r="L28" s="765"/>
      <c r="M28" s="765"/>
      <c r="N28" s="765"/>
      <c r="O28" s="765"/>
      <c r="P28" s="765"/>
      <c r="Q28" s="765"/>
      <c r="R28" s="755"/>
      <c r="S28" s="755"/>
      <c r="T28" s="755"/>
      <c r="U28" s="755"/>
      <c r="V28" s="755"/>
      <c r="AA28" s="260" t="s">
        <v>235</v>
      </c>
      <c r="AB28" s="260"/>
      <c r="AC28" s="283">
        <f ca="1">MIN(BI72:BS72)</f>
        <v>5.7809388732803058E-2</v>
      </c>
      <c r="AD28" s="198" t="s">
        <v>230</v>
      </c>
      <c r="AE28" s="199"/>
      <c r="AH28" s="205"/>
      <c r="AI28" s="67" t="s">
        <v>609</v>
      </c>
      <c r="AJ28" s="61"/>
      <c r="AK28" s="405"/>
      <c r="AL28" s="784">
        <f>J17</f>
        <v>72393.252826800002</v>
      </c>
      <c r="AM28" s="788">
        <f>(D59/$D$22)*SUM($R$98:$R$101)</f>
        <v>73685.100000000006</v>
      </c>
      <c r="AN28" s="788">
        <f>(E59/$D$22)*SUM($R$98:$R$101)</f>
        <v>75000</v>
      </c>
      <c r="AO28" s="600">
        <f>+AQ28/$D$22</f>
        <v>1.4768223576667201</v>
      </c>
      <c r="AP28" s="70"/>
      <c r="AQ28" s="785">
        <f>AL28*(1+H36)</f>
        <v>73841.117883336003</v>
      </c>
      <c r="AR28" s="785">
        <f>AQ28*(1+I36)</f>
        <v>75317.940241002725</v>
      </c>
      <c r="AS28" s="785">
        <f>AR28*(1+J36)</f>
        <v>76824.299045822787</v>
      </c>
      <c r="AT28" s="785">
        <f>AS28*(1+K36)</f>
        <v>78360.78502673925</v>
      </c>
      <c r="AU28" s="785">
        <f>AT28*(1+L36)</f>
        <v>79928.000727274033</v>
      </c>
      <c r="AV28" s="785">
        <f>AU28*(1+M36)</f>
        <v>81526.560741819514</v>
      </c>
      <c r="AW28" s="785">
        <f>AV28*(1+N36)</f>
        <v>83157.091956655902</v>
      </c>
      <c r="AX28" s="785">
        <f>AW28*(1+O36)</f>
        <v>84820.233795789027</v>
      </c>
      <c r="AY28" s="785">
        <f>AX28*(1+P36)</f>
        <v>86516.638471704806</v>
      </c>
      <c r="AZ28" s="785">
        <f>AY28*(1+Q36)</f>
        <v>88246.971241138905</v>
      </c>
      <c r="BA28" s="785">
        <f>AZ28*(1+R36)</f>
        <v>90011.910665961681</v>
      </c>
      <c r="BB28" s="388"/>
      <c r="BC28" s="91"/>
      <c r="BD28" s="91"/>
      <c r="BE28" s="299"/>
      <c r="BF28" s="319" t="s">
        <v>209</v>
      </c>
      <c r="BG28" s="314"/>
      <c r="BH28" s="317">
        <f>BH25+BH26</f>
        <v>15771195.297</v>
      </c>
      <c r="BI28" s="320">
        <f>(BI8&lt;=$D$10)*SUM(BI25:BI26)</f>
        <v>0</v>
      </c>
      <c r="BJ28" s="779">
        <f>(BJ8&lt;=$D$10)*SUM(BJ25:BJ26)</f>
        <v>0</v>
      </c>
      <c r="BK28" s="779">
        <f>(BK8&lt;=$D$10)*SUM(BK25:BK26)</f>
        <v>0</v>
      </c>
      <c r="BL28" s="779">
        <f>(BL8&lt;=$D$10)*SUM(BL25:BL26)</f>
        <v>0</v>
      </c>
      <c r="BM28" s="779">
        <f>(BM8&lt;=$D$10)*SUM(BM25:BM26)</f>
        <v>0</v>
      </c>
      <c r="BN28" s="779">
        <f>(BN8&lt;=$D$10)*SUM(BN25:BN26)</f>
        <v>0</v>
      </c>
      <c r="BO28" s="779">
        <f>(BO8&lt;=$D$10)*SUM(BO25:BO26)</f>
        <v>0</v>
      </c>
      <c r="BP28" s="779">
        <f>(BP8&lt;=$D$10)*SUM(BP25:BP26)</f>
        <v>0</v>
      </c>
      <c r="BQ28" s="779">
        <f>(BQ8&lt;=$D$10)*SUM(BQ25:BQ26)</f>
        <v>0</v>
      </c>
      <c r="BR28" s="320">
        <f>(BR8&lt;=$D$10)*SUM(BR25:BR26)</f>
        <v>0</v>
      </c>
      <c r="BS28" s="320" t="str">
        <f>IF(BS8&gt;_xlfn.SINGLE(Analysis_Period),"",SUM(BS25:BS26))</f>
        <v/>
      </c>
      <c r="BT28" s="317" t="str">
        <f>IF(BT8&gt;_xlfn.SINGLE(Analysis_Period),"",SUM(BT25:BT26))</f>
        <v/>
      </c>
      <c r="BU28" s="317" t="str">
        <f>IF(BU8&gt;_xlfn.SINGLE(Analysis_Period),"",SUM(BU25:BU26))</f>
        <v/>
      </c>
      <c r="BV28" s="317" t="str">
        <f>IF(BV8&gt;_xlfn.SINGLE(Analysis_Period),"",SUM(BV25:BV26))</f>
        <v/>
      </c>
      <c r="BW28" s="317" t="str">
        <f>IF(BW8&gt;_xlfn.SINGLE(Analysis_Period),"",SUM(BW25:BW26))</f>
        <v/>
      </c>
      <c r="BX28" s="165"/>
      <c r="CA28" s="182" t="s">
        <v>1</v>
      </c>
      <c r="CB28" s="182" t="s">
        <v>1</v>
      </c>
      <c r="CC28" s="193" t="s">
        <v>1</v>
      </c>
      <c r="CD28" s="197" t="s">
        <v>1</v>
      </c>
      <c r="CE28" s="193" t="s">
        <v>1</v>
      </c>
      <c r="CF28" s="197" t="s">
        <v>1</v>
      </c>
      <c r="CG28" s="182" t="s">
        <v>1</v>
      </c>
      <c r="CH28" s="182" t="s">
        <v>1</v>
      </c>
      <c r="CI28" s="182" t="s">
        <v>1</v>
      </c>
      <c r="CJ28" s="182" t="s">
        <v>1</v>
      </c>
      <c r="CK28" s="182" t="s">
        <v>1</v>
      </c>
      <c r="CL28" s="182" t="s">
        <v>1</v>
      </c>
      <c r="CM28" s="182" t="s">
        <v>1</v>
      </c>
      <c r="CN28" s="182" t="s">
        <v>1</v>
      </c>
      <c r="CO28" s="182" t="s">
        <v>1</v>
      </c>
      <c r="CP28" s="182" t="s">
        <v>1</v>
      </c>
      <c r="CQ28" s="182" t="s">
        <v>1</v>
      </c>
      <c r="CR28" s="182" t="s">
        <v>1</v>
      </c>
      <c r="CS28" s="182" t="s">
        <v>1</v>
      </c>
      <c r="CT28" s="182" t="s">
        <v>1</v>
      </c>
    </row>
    <row r="29" spans="2:105">
      <c r="F29" s="152"/>
      <c r="G29" s="753"/>
      <c r="H29" s="755"/>
      <c r="I29" s="755"/>
      <c r="J29" s="755"/>
      <c r="K29" s="755"/>
      <c r="L29" s="755"/>
      <c r="M29" s="755"/>
      <c r="N29" s="755"/>
      <c r="O29" s="755"/>
      <c r="P29" s="755"/>
      <c r="Q29" s="755"/>
      <c r="R29" s="755"/>
      <c r="S29" s="753"/>
      <c r="T29" s="753"/>
      <c r="U29" s="753"/>
      <c r="V29" s="753"/>
      <c r="AA29" s="260"/>
      <c r="AB29" s="260"/>
      <c r="AC29" s="285"/>
      <c r="AD29" s="198"/>
      <c r="AE29" s="199"/>
      <c r="AH29" s="211"/>
      <c r="AI29" s="67" t="s">
        <v>610</v>
      </c>
      <c r="AJ29" s="61"/>
      <c r="AK29" s="408" t="s">
        <v>245</v>
      </c>
      <c r="AL29" s="786">
        <f>J14</f>
        <v>241315.66897285503</v>
      </c>
      <c r="AM29" s="783">
        <f>(D64/$D$22)*SUM($R$98:$R$101)</f>
        <v>245621.91233999998</v>
      </c>
      <c r="AN29" s="783">
        <f>(E64/$D$22)*SUM($R$98:$R$101)</f>
        <v>250005</v>
      </c>
      <c r="AO29" s="600">
        <f>+AQ29/$D$22</f>
        <v>5.2921793961916332</v>
      </c>
      <c r="AP29" s="100"/>
      <c r="AQ29" s="785">
        <f>AL29*(1+H34)</f>
        <v>264608.96980958164</v>
      </c>
      <c r="AR29" s="785">
        <f>AQ29*(1+I34)</f>
        <v>291069.86679053982</v>
      </c>
      <c r="AS29" s="785">
        <f>AR29*(1+J34)</f>
        <v>320176.8534695938</v>
      </c>
      <c r="AT29" s="785">
        <f>AS29*(1+K34)</f>
        <v>352194.53881655319</v>
      </c>
      <c r="AU29" s="785">
        <f>AT29*(1+L34)</f>
        <v>387413.99269820855</v>
      </c>
      <c r="AV29" s="785">
        <f>AU29*(1+M34)</f>
        <v>426155.39196802943</v>
      </c>
      <c r="AW29" s="785">
        <f>AV29*(1+N34)</f>
        <v>468770.93116483244</v>
      </c>
      <c r="AX29" s="785">
        <f>AW29*(1+O34)</f>
        <v>515648.02428131574</v>
      </c>
      <c r="AY29" s="785">
        <f>AX29*(1+P34)</f>
        <v>567212.82670944731</v>
      </c>
      <c r="AZ29" s="785">
        <f>AY29*(1+Q34)</f>
        <v>623934.10938039212</v>
      </c>
      <c r="BA29" s="785">
        <f>AZ29*(1+R34)</f>
        <v>686327.52031843143</v>
      </c>
      <c r="BB29" s="391" t="s">
        <v>245</v>
      </c>
      <c r="BC29" s="73"/>
      <c r="BD29" s="73"/>
      <c r="BE29" s="295"/>
      <c r="BF29" s="319"/>
      <c r="BG29" s="314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317"/>
      <c r="BX29" s="165"/>
      <c r="BY29" s="436" t="s">
        <v>211</v>
      </c>
      <c r="CA29" s="186" t="s">
        <v>45</v>
      </c>
      <c r="CB29" s="200" t="s">
        <v>1</v>
      </c>
      <c r="CC29" s="209" t="s">
        <v>1</v>
      </c>
      <c r="CD29" s="210" t="s">
        <v>1</v>
      </c>
      <c r="CE29" s="328">
        <f>BH8</f>
        <v>0</v>
      </c>
      <c r="CF29" s="328">
        <f t="shared" ref="CF29:CO29" si="6">BI8</f>
        <v>1</v>
      </c>
      <c r="CG29" s="328">
        <f t="shared" si="6"/>
        <v>2</v>
      </c>
      <c r="CH29" s="328">
        <f t="shared" si="6"/>
        <v>3</v>
      </c>
      <c r="CI29" s="328">
        <f t="shared" si="6"/>
        <v>4</v>
      </c>
      <c r="CJ29" s="328">
        <f t="shared" si="6"/>
        <v>5</v>
      </c>
      <c r="CK29" s="328">
        <f t="shared" si="6"/>
        <v>6</v>
      </c>
      <c r="CL29" s="328">
        <f t="shared" si="6"/>
        <v>7</v>
      </c>
      <c r="CM29" s="328">
        <f t="shared" si="6"/>
        <v>8</v>
      </c>
      <c r="CN29" s="328">
        <f t="shared" si="6"/>
        <v>9</v>
      </c>
      <c r="CO29" s="328">
        <f t="shared" si="6"/>
        <v>10</v>
      </c>
      <c r="CP29" s="200" t="s">
        <v>1</v>
      </c>
      <c r="CQ29" s="200" t="s">
        <v>1</v>
      </c>
      <c r="CR29" s="200" t="s">
        <v>1</v>
      </c>
      <c r="CS29" s="200" t="s">
        <v>1</v>
      </c>
      <c r="CT29" s="200" t="s">
        <v>1</v>
      </c>
      <c r="CX29" s="55" t="s">
        <v>212</v>
      </c>
      <c r="CY29" s="446">
        <f>SUM(CY4:CY7)</f>
        <v>1613000.4</v>
      </c>
      <c r="CZ29" s="446">
        <f t="shared" ref="CY29:CZ29" si="7">SUM(CZ4:CZ7)</f>
        <v>1750000.4</v>
      </c>
      <c r="DA29" s="446">
        <f>SUM(DA4:DA7)</f>
        <v>1750000.4</v>
      </c>
    </row>
    <row r="30" spans="2:105">
      <c r="F30" s="152"/>
      <c r="G30" s="753"/>
      <c r="H30" s="755"/>
      <c r="I30" s="755"/>
      <c r="J30" s="755"/>
      <c r="K30" s="755"/>
      <c r="L30" s="755"/>
      <c r="M30" s="755"/>
      <c r="N30" s="755"/>
      <c r="O30" s="755"/>
      <c r="P30" s="755"/>
      <c r="Q30" s="755"/>
      <c r="R30" s="755"/>
      <c r="S30" s="753"/>
      <c r="T30" s="753"/>
      <c r="U30" s="753"/>
      <c r="V30" s="753"/>
      <c r="AA30" s="253"/>
      <c r="AB30" s="253"/>
      <c r="AC30" s="253"/>
      <c r="AH30" s="201">
        <f ca="1">_xlfn.RRI($D$10-1,AQ30,INDEX(AQ30:BE30,1,$D$10))</f>
        <v>5.6988496301839442E-2</v>
      </c>
      <c r="AI30" s="103" t="s">
        <v>224</v>
      </c>
      <c r="AJ30" s="204"/>
      <c r="AK30" s="405" t="s">
        <v>249</v>
      </c>
      <c r="AL30" s="104">
        <f ca="1">SUM(AL21:AL29)</f>
        <v>643949.07152346696</v>
      </c>
      <c r="AM30" s="104">
        <f t="shared" ref="AM30:AN30" ca="1" si="8">SUM(AM21:AM29)</f>
        <v>658325.33614000003</v>
      </c>
      <c r="AN30" s="104">
        <f t="shared" ca="1" si="8"/>
        <v>669955.01080000005</v>
      </c>
      <c r="AO30" s="600">
        <f ca="1">+AQ30/$D$22</f>
        <v>13.583593280277952</v>
      </c>
      <c r="AP30" s="104"/>
      <c r="AQ30" s="104">
        <f ca="1">SUM(AQ21:AQ29)</f>
        <v>679179.66401389765</v>
      </c>
      <c r="AR30" s="104">
        <f t="shared" ref="AR30:BA30" si="9">SUM(AR21:AR29)</f>
        <v>713280.94489819626</v>
      </c>
      <c r="AS30" s="104">
        <f t="shared" si="9"/>
        <v>750191.56226571521</v>
      </c>
      <c r="AT30" s="104">
        <f t="shared" si="9"/>
        <v>790179.70319517818</v>
      </c>
      <c r="AU30" s="104">
        <f t="shared" si="9"/>
        <v>833540.09661966457</v>
      </c>
      <c r="AV30" s="104">
        <f t="shared" si="9"/>
        <v>885591.66239731084</v>
      </c>
      <c r="AW30" s="104">
        <f t="shared" si="9"/>
        <v>936700.4196374577</v>
      </c>
      <c r="AX30" s="104">
        <f t="shared" si="9"/>
        <v>992252.69694432244</v>
      </c>
      <c r="AY30" s="104">
        <f t="shared" si="9"/>
        <v>1052678.652086399</v>
      </c>
      <c r="AZ30" s="104">
        <f t="shared" si="9"/>
        <v>1118451.1493105162</v>
      </c>
      <c r="BA30" s="104">
        <f t="shared" si="9"/>
        <v>1195584.5242292886</v>
      </c>
      <c r="BB30" s="388" t="s">
        <v>249</v>
      </c>
      <c r="BC30" s="73"/>
      <c r="BD30" s="73"/>
      <c r="BE30" s="295"/>
      <c r="BF30" s="313" t="s">
        <v>216</v>
      </c>
      <c r="BG30" s="314"/>
      <c r="BH30" s="317"/>
      <c r="BI30" s="317"/>
      <c r="BJ30" s="317"/>
      <c r="BK30" s="317"/>
      <c r="BL30" s="317"/>
      <c r="BM30" s="317"/>
      <c r="BN30" s="317"/>
      <c r="BO30" s="317"/>
      <c r="BP30" s="317"/>
      <c r="BQ30" s="317"/>
      <c r="BR30" s="317"/>
      <c r="BS30" s="317"/>
      <c r="BT30" s="317"/>
      <c r="BU30" s="317"/>
      <c r="BV30" s="317"/>
      <c r="BW30" s="317"/>
      <c r="BX30" s="165"/>
      <c r="CA30" s="425" t="s">
        <v>57</v>
      </c>
      <c r="CB30" s="182" t="s">
        <v>1</v>
      </c>
      <c r="CC30" s="212"/>
      <c r="CD30" s="197" t="s">
        <v>1</v>
      </c>
      <c r="CE30" s="213"/>
      <c r="CF30" s="214"/>
      <c r="CG30" s="215"/>
      <c r="CH30" s="215"/>
      <c r="CI30" s="216"/>
      <c r="CJ30" s="216"/>
      <c r="CK30" s="216"/>
      <c r="CL30" s="216"/>
      <c r="CM30" s="216"/>
      <c r="CN30" s="216"/>
      <c r="CO30" s="216"/>
      <c r="CP30" s="182" t="s">
        <v>1</v>
      </c>
      <c r="CQ30" s="182" t="s">
        <v>1</v>
      </c>
      <c r="CR30" s="182" t="s">
        <v>1</v>
      </c>
      <c r="CS30" s="182" t="s">
        <v>1</v>
      </c>
      <c r="CT30" s="182" t="s">
        <v>1</v>
      </c>
    </row>
    <row r="31" spans="2:105">
      <c r="F31" s="298"/>
      <c r="G31" s="758"/>
      <c r="H31" s="759"/>
      <c r="I31" s="759"/>
      <c r="J31" s="759"/>
      <c r="K31" s="759"/>
      <c r="L31" s="759"/>
      <c r="M31" s="759"/>
      <c r="N31" s="759"/>
      <c r="O31" s="759"/>
      <c r="P31" s="759"/>
      <c r="Q31" s="759"/>
      <c r="R31" s="753"/>
      <c r="S31" s="753"/>
      <c r="T31" s="753"/>
      <c r="U31" s="753"/>
      <c r="V31" s="753"/>
      <c r="AA31" s="843" t="s">
        <v>220</v>
      </c>
      <c r="AB31" s="843"/>
      <c r="AC31" s="843"/>
      <c r="AH31" s="201"/>
      <c r="AI31" s="103"/>
      <c r="AJ31" s="61"/>
      <c r="AK31" s="405"/>
      <c r="AL31" s="137"/>
      <c r="AM31" s="137"/>
      <c r="AN31" s="137"/>
      <c r="AO31" s="69"/>
      <c r="AP31" s="70"/>
      <c r="AQ31" s="71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388"/>
      <c r="BC31" s="73"/>
      <c r="BD31" s="73"/>
      <c r="BE31" s="295"/>
      <c r="BF31" s="150" t="s">
        <v>207</v>
      </c>
      <c r="BG31" s="322"/>
      <c r="BH31" s="317"/>
      <c r="BI31" s="317">
        <f ca="1">AQ17</f>
        <v>1665000.3599999999</v>
      </c>
      <c r="BJ31" s="317">
        <f>AR17</f>
        <v>1665000.3599999999</v>
      </c>
      <c r="BK31" s="317">
        <f>AS17</f>
        <v>1665000.3599999999</v>
      </c>
      <c r="BL31" s="317">
        <f>AT17</f>
        <v>1665000.3599999999</v>
      </c>
      <c r="BM31" s="317">
        <f>AU17</f>
        <v>1665000.3599999999</v>
      </c>
      <c r="BN31" s="317">
        <f>AV17</f>
        <v>1831500.3959999999</v>
      </c>
      <c r="BO31" s="317">
        <f>AW17</f>
        <v>1831500.3959999999</v>
      </c>
      <c r="BP31" s="317">
        <f>AX17</f>
        <v>1831500.3959999999</v>
      </c>
      <c r="BQ31" s="317">
        <f>AY17</f>
        <v>1831500.3959999999</v>
      </c>
      <c r="BR31" s="317">
        <f>AZ17</f>
        <v>1831500.3959999999</v>
      </c>
      <c r="BS31" s="317">
        <f>BA17</f>
        <v>2014650.4356000002</v>
      </c>
      <c r="BT31" s="317">
        <f>'[1]Property Cash Flow'!AU18</f>
        <v>0</v>
      </c>
      <c r="BU31" s="317">
        <f>'[1]Property Cash Flow'!AV18</f>
        <v>0</v>
      </c>
      <c r="BV31" s="317">
        <f>'[1]Property Cash Flow'!AW18</f>
        <v>0</v>
      </c>
      <c r="BW31" s="317">
        <f>'[1]Property Cash Flow'!AX18</f>
        <v>0</v>
      </c>
      <c r="BX31" s="165"/>
      <c r="CA31" s="426" t="s">
        <v>58</v>
      </c>
      <c r="CB31" s="182"/>
      <c r="CC31" s="217" t="e">
        <f>SUM(CE31:CO31)</f>
        <v>#VALUE!</v>
      </c>
      <c r="CD31" s="197"/>
      <c r="CE31" s="217" t="e">
        <f>(CE29&lt;&gt;"") * (CE65 + CE83 + CE98 + CE110)</f>
        <v>#VALUE!</v>
      </c>
      <c r="CF31" s="217" t="e">
        <f t="shared" ref="CF31:CO31" si="10">(CF29&lt;&gt;"") * (CF65 + CF83 + CF98 + CF110)</f>
        <v>#VALUE!</v>
      </c>
      <c r="CG31" s="217" t="e">
        <f t="shared" si="10"/>
        <v>#VALUE!</v>
      </c>
      <c r="CH31" s="217" t="e">
        <f t="shared" si="10"/>
        <v>#VALUE!</v>
      </c>
      <c r="CI31" s="217" t="e">
        <f t="shared" si="10"/>
        <v>#VALUE!</v>
      </c>
      <c r="CJ31" s="217" t="e">
        <f t="shared" si="10"/>
        <v>#VALUE!</v>
      </c>
      <c r="CK31" s="217" t="e">
        <f t="shared" si="10"/>
        <v>#VALUE!</v>
      </c>
      <c r="CL31" s="217" t="e">
        <f t="shared" si="10"/>
        <v>#VALUE!</v>
      </c>
      <c r="CM31" s="217" t="e">
        <f t="shared" si="10"/>
        <v>#VALUE!</v>
      </c>
      <c r="CN31" s="217" t="e">
        <f t="shared" si="10"/>
        <v>#VALUE!</v>
      </c>
      <c r="CO31" s="217" t="e">
        <f t="shared" si="10"/>
        <v>#VALUE!</v>
      </c>
      <c r="CP31" s="197" t="s">
        <v>61</v>
      </c>
      <c r="CQ31" s="197" t="s">
        <v>61</v>
      </c>
      <c r="CR31" s="197" t="s">
        <v>61</v>
      </c>
      <c r="CS31" s="197" t="s">
        <v>61</v>
      </c>
      <c r="CT31" s="197" t="s">
        <v>61</v>
      </c>
    </row>
    <row r="32" spans="2:105">
      <c r="B32" s="109" t="s">
        <v>220</v>
      </c>
      <c r="C32" s="109"/>
      <c r="D32" s="109"/>
      <c r="F32" s="297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AA32" s="262" t="s">
        <v>196</v>
      </c>
      <c r="AB32" s="262" t="s">
        <v>1</v>
      </c>
      <c r="AC32" s="277">
        <f>AC14*D39</f>
        <v>15930500.300000001</v>
      </c>
      <c r="AD32" s="163" t="s">
        <v>248</v>
      </c>
      <c r="AH32" s="201">
        <f ca="1">_xlfn.RRI($D$10-1,AQ32,INDEX(AQ32:BE32,1,$D$10))</f>
        <v>-3.5351560677574057E-2</v>
      </c>
      <c r="AI32" s="106" t="s">
        <v>227</v>
      </c>
      <c r="AJ32" s="208"/>
      <c r="AK32" s="405" t="s">
        <v>256</v>
      </c>
      <c r="AL32" s="107">
        <f ca="1">AL17-AL30</f>
        <v>872496.10420093278</v>
      </c>
      <c r="AM32" s="107">
        <f ca="1">AM17-AM30</f>
        <v>981350.12385999993</v>
      </c>
      <c r="AN32" s="107">
        <f ca="1">AN17-AN30</f>
        <v>995045.34919999982</v>
      </c>
      <c r="AO32" s="107">
        <f ca="1">AO17-AO30</f>
        <v>19.716413919722044</v>
      </c>
      <c r="AP32" s="90"/>
      <c r="AQ32" s="83">
        <f ca="1">AQ17-AQ30</f>
        <v>985820.69598610222</v>
      </c>
      <c r="AR32" s="83">
        <f>AR17-AR30</f>
        <v>951719.41510180361</v>
      </c>
      <c r="AS32" s="83">
        <f>AS17-AS30</f>
        <v>914808.79773428466</v>
      </c>
      <c r="AT32" s="83">
        <f>AT17-AT30</f>
        <v>874820.65680482169</v>
      </c>
      <c r="AU32" s="83">
        <f>AU17-AU30</f>
        <v>831460.26338033529</v>
      </c>
      <c r="AV32" s="83">
        <f>AV17-AV30</f>
        <v>945908.73360268911</v>
      </c>
      <c r="AW32" s="83">
        <f>AW17-AW30</f>
        <v>894799.97636254225</v>
      </c>
      <c r="AX32" s="83">
        <f>AX17-AX30</f>
        <v>839247.69905567751</v>
      </c>
      <c r="AY32" s="83">
        <f>AY17-AY30</f>
        <v>778821.74391360092</v>
      </c>
      <c r="AZ32" s="83">
        <f>AZ17-AZ30</f>
        <v>713049.24668948376</v>
      </c>
      <c r="BA32" s="83">
        <f>BA17-BA30</f>
        <v>819065.91137071163</v>
      </c>
      <c r="BB32" s="388" t="s">
        <v>256</v>
      </c>
      <c r="BC32" s="73"/>
      <c r="BD32" s="73"/>
      <c r="BE32" s="295"/>
      <c r="BF32" s="110" t="s">
        <v>224</v>
      </c>
      <c r="BG32" s="323"/>
      <c r="BH32" s="318"/>
      <c r="BI32" s="318">
        <f ca="1">AQ30</f>
        <v>679179.66401389765</v>
      </c>
      <c r="BJ32" s="318">
        <f>AR30</f>
        <v>713280.94489819626</v>
      </c>
      <c r="BK32" s="318">
        <f>AS30</f>
        <v>750191.56226571521</v>
      </c>
      <c r="BL32" s="318">
        <f>AT30</f>
        <v>790179.70319517818</v>
      </c>
      <c r="BM32" s="318">
        <f>AU30</f>
        <v>833540.09661966457</v>
      </c>
      <c r="BN32" s="318">
        <f>AV30</f>
        <v>885591.66239731084</v>
      </c>
      <c r="BO32" s="318">
        <f>AW30</f>
        <v>936700.4196374577</v>
      </c>
      <c r="BP32" s="318">
        <f>AX30</f>
        <v>992252.69694432244</v>
      </c>
      <c r="BQ32" s="318">
        <f>AY30</f>
        <v>1052678.652086399</v>
      </c>
      <c r="BR32" s="318">
        <f>AZ30</f>
        <v>1118451.1493105162</v>
      </c>
      <c r="BS32" s="318">
        <f>BA30</f>
        <v>1195584.5242292886</v>
      </c>
      <c r="BT32" s="318">
        <f>'[1]Property Cash Flow'!AU28</f>
        <v>0</v>
      </c>
      <c r="BU32" s="318">
        <f>'[1]Property Cash Flow'!AV28</f>
        <v>0</v>
      </c>
      <c r="BV32" s="318">
        <f>'[1]Property Cash Flow'!AW28</f>
        <v>0</v>
      </c>
      <c r="BW32" s="318">
        <f>'[1]Property Cash Flow'!AX28</f>
        <v>0</v>
      </c>
      <c r="BX32" s="165"/>
      <c r="CA32" s="426" t="s">
        <v>62</v>
      </c>
      <c r="CB32" s="182"/>
      <c r="CC32" s="217">
        <f>SUM(CE32:CO32)</f>
        <v>0</v>
      </c>
      <c r="CD32" s="197"/>
      <c r="CE32" s="192">
        <f>CE61</f>
        <v>0</v>
      </c>
      <c r="CF32" s="192">
        <f t="shared" ref="CF32:CO32" si="11">CF61</f>
        <v>0</v>
      </c>
      <c r="CG32" s="192">
        <f t="shared" si="11"/>
        <v>0</v>
      </c>
      <c r="CH32" s="192">
        <f t="shared" si="11"/>
        <v>0</v>
      </c>
      <c r="CI32" s="192">
        <f t="shared" si="11"/>
        <v>0</v>
      </c>
      <c r="CJ32" s="192">
        <f t="shared" si="11"/>
        <v>0</v>
      </c>
      <c r="CK32" s="192">
        <f t="shared" si="11"/>
        <v>0</v>
      </c>
      <c r="CL32" s="192">
        <f t="shared" si="11"/>
        <v>0</v>
      </c>
      <c r="CM32" s="192">
        <f t="shared" si="11"/>
        <v>0</v>
      </c>
      <c r="CN32" s="192">
        <f t="shared" si="11"/>
        <v>0</v>
      </c>
      <c r="CO32" s="192">
        <f t="shared" si="11"/>
        <v>0</v>
      </c>
      <c r="CP32" s="197" t="s">
        <v>61</v>
      </c>
      <c r="CQ32" s="197" t="s">
        <v>61</v>
      </c>
      <c r="CR32" s="197" t="s">
        <v>61</v>
      </c>
      <c r="CS32" s="197" t="s">
        <v>61</v>
      </c>
      <c r="CT32" s="197" t="s">
        <v>61</v>
      </c>
    </row>
    <row r="33" spans="2:105">
      <c r="B33" s="218"/>
      <c r="C33" s="218"/>
      <c r="D33" s="93"/>
      <c r="F33" s="295"/>
      <c r="G33" s="764" t="s">
        <v>611</v>
      </c>
      <c r="H33" s="754" t="s">
        <v>597</v>
      </c>
      <c r="I33" s="754" t="s">
        <v>598</v>
      </c>
      <c r="J33" s="754" t="s">
        <v>599</v>
      </c>
      <c r="K33" s="754" t="s">
        <v>600</v>
      </c>
      <c r="L33" s="754" t="s">
        <v>601</v>
      </c>
      <c r="M33" s="754" t="s">
        <v>602</v>
      </c>
      <c r="N33" s="754" t="s">
        <v>603</v>
      </c>
      <c r="O33" s="754" t="s">
        <v>604</v>
      </c>
      <c r="P33" s="754" t="s">
        <v>605</v>
      </c>
      <c r="Q33" s="754" t="s">
        <v>606</v>
      </c>
      <c r="R33" s="754" t="s">
        <v>607</v>
      </c>
      <c r="S33" s="754"/>
      <c r="T33" s="754"/>
      <c r="U33" s="754"/>
      <c r="V33" s="754"/>
      <c r="AA33" s="262" t="s">
        <v>251</v>
      </c>
      <c r="AB33" s="262" t="s">
        <v>1</v>
      </c>
      <c r="AC33" s="277">
        <f>AC32*D40</f>
        <v>159305.003</v>
      </c>
      <c r="AD33" s="163" t="s">
        <v>252</v>
      </c>
      <c r="AH33" s="201"/>
      <c r="AI33" s="103"/>
      <c r="AJ33" s="61"/>
      <c r="AK33" s="405"/>
      <c r="AL33" s="85"/>
      <c r="AM33" s="85"/>
      <c r="AN33" s="85"/>
      <c r="AO33" s="69"/>
      <c r="AP33" s="70"/>
      <c r="AQ33" s="71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388"/>
      <c r="BC33" s="73"/>
      <c r="BD33" s="73"/>
      <c r="BE33" s="295"/>
      <c r="BF33" s="150" t="s">
        <v>227</v>
      </c>
      <c r="BG33" s="323"/>
      <c r="BH33" s="317"/>
      <c r="BI33" s="317">
        <f t="shared" ref="BI33:BR33" ca="1" si="12">BI31-BI32</f>
        <v>985820.69598610222</v>
      </c>
      <c r="BJ33" s="317">
        <f t="shared" si="12"/>
        <v>951719.41510180361</v>
      </c>
      <c r="BK33" s="317">
        <f t="shared" si="12"/>
        <v>914808.79773428466</v>
      </c>
      <c r="BL33" s="317">
        <f t="shared" si="12"/>
        <v>874820.65680482169</v>
      </c>
      <c r="BM33" s="317">
        <f t="shared" si="12"/>
        <v>831460.26338033529</v>
      </c>
      <c r="BN33" s="317">
        <f t="shared" si="12"/>
        <v>945908.73360268911</v>
      </c>
      <c r="BO33" s="317">
        <f t="shared" si="12"/>
        <v>894799.97636254225</v>
      </c>
      <c r="BP33" s="317">
        <f t="shared" si="12"/>
        <v>839247.69905567751</v>
      </c>
      <c r="BQ33" s="317">
        <f t="shared" si="12"/>
        <v>778821.74391360092</v>
      </c>
      <c r="BR33" s="317">
        <f t="shared" si="12"/>
        <v>713049.24668948376</v>
      </c>
      <c r="BS33" s="317">
        <f>BS31-BS32</f>
        <v>819065.91137071163</v>
      </c>
      <c r="BT33" s="317" t="str">
        <f>IF(BT8="","",BT31-BT32)</f>
        <v/>
      </c>
      <c r="BU33" s="317" t="str">
        <f>IF(BU8="","",BU31-BU32)</f>
        <v/>
      </c>
      <c r="BV33" s="317" t="str">
        <f>IF(BV8="","",BV31-BV32)</f>
        <v/>
      </c>
      <c r="BW33" s="317" t="str">
        <f>IF(BW8="","",BW31-BW32)</f>
        <v/>
      </c>
      <c r="BX33" s="165"/>
      <c r="CA33" s="426" t="s">
        <v>63</v>
      </c>
      <c r="CB33" s="182"/>
      <c r="CC33" s="217" t="e">
        <f>CC31-CC32</f>
        <v>#VALUE!</v>
      </c>
      <c r="CD33" s="197"/>
      <c r="CE33" s="219"/>
      <c r="CF33" s="197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 t="s">
        <v>1</v>
      </c>
      <c r="CQ33" s="182" t="s">
        <v>1</v>
      </c>
      <c r="CR33" s="182" t="s">
        <v>1</v>
      </c>
      <c r="CS33" s="182" t="s">
        <v>1</v>
      </c>
      <c r="CT33" s="182" t="s">
        <v>1</v>
      </c>
      <c r="DA33" s="446"/>
    </row>
    <row r="34" spans="2:105" ht="21" customHeight="1">
      <c r="B34" s="150" t="s">
        <v>228</v>
      </c>
      <c r="C34" s="220"/>
      <c r="D34" s="94">
        <v>3.5000000000000003E-2</v>
      </c>
      <c r="F34" s="152"/>
      <c r="G34" s="753" t="s">
        <v>90</v>
      </c>
      <c r="H34" s="755">
        <f>AC48</f>
        <v>9.6526267589142012E-2</v>
      </c>
      <c r="I34" s="755">
        <v>0.1</v>
      </c>
      <c r="J34" s="755">
        <v>0.1</v>
      </c>
      <c r="K34" s="755">
        <v>0.1</v>
      </c>
      <c r="L34" s="755">
        <v>0.1</v>
      </c>
      <c r="M34" s="755">
        <v>0.1</v>
      </c>
      <c r="N34" s="755">
        <v>0.1</v>
      </c>
      <c r="O34" s="755">
        <v>0.1</v>
      </c>
      <c r="P34" s="755">
        <v>0.1</v>
      </c>
      <c r="Q34" s="755">
        <v>0.1</v>
      </c>
      <c r="R34" s="755">
        <v>0.1</v>
      </c>
      <c r="S34" s="755"/>
      <c r="T34" s="755"/>
      <c r="U34" s="755"/>
      <c r="V34" s="755"/>
      <c r="AA34" s="262" t="s">
        <v>254</v>
      </c>
      <c r="AB34" s="262" t="s">
        <v>1</v>
      </c>
      <c r="AC34" s="277">
        <f>AC3-AC32</f>
        <v>9477435.943</v>
      </c>
      <c r="AD34" s="163" t="s">
        <v>255</v>
      </c>
      <c r="AH34" s="201">
        <f t="shared" ref="AH31:AH48" si="13">_xlfn.RRI($D$10-1,AQ34,INDEX(AQ34:BE34,1,$D$10))</f>
        <v>0</v>
      </c>
      <c r="AI34" s="67" t="s">
        <v>263</v>
      </c>
      <c r="AJ34" s="61"/>
      <c r="AK34" s="404" t="s">
        <v>264</v>
      </c>
      <c r="AL34" s="307">
        <f>C69</f>
        <v>0</v>
      </c>
      <c r="AM34" s="307">
        <f>D69</f>
        <v>0</v>
      </c>
      <c r="AN34" s="307">
        <f>E69</f>
        <v>0</v>
      </c>
      <c r="AO34" s="602">
        <f>+AQ34/$D$22</f>
        <v>0</v>
      </c>
      <c r="AP34" s="111">
        <f>J85</f>
        <v>0</v>
      </c>
      <c r="AQ34" s="112"/>
      <c r="AR34" s="112">
        <f>H69</f>
        <v>0</v>
      </c>
      <c r="AS34" s="112">
        <f>I69</f>
        <v>0</v>
      </c>
      <c r="AT34" s="112">
        <f>J69</f>
        <v>1250000</v>
      </c>
      <c r="AU34" s="112">
        <f>K69</f>
        <v>0</v>
      </c>
      <c r="AV34" s="112">
        <f>L69</f>
        <v>0</v>
      </c>
      <c r="AW34" s="112">
        <f>M69</f>
        <v>0</v>
      </c>
      <c r="AX34" s="112">
        <f>N69</f>
        <v>0</v>
      </c>
      <c r="AY34" s="112">
        <f>O69</f>
        <v>0</v>
      </c>
      <c r="AZ34" s="112">
        <f>P69</f>
        <v>0</v>
      </c>
      <c r="BA34" s="112">
        <f>Q69</f>
        <v>0</v>
      </c>
      <c r="BB34" s="379" t="s">
        <v>264</v>
      </c>
      <c r="BC34" s="73"/>
      <c r="BD34" s="73"/>
      <c r="BE34" s="295"/>
      <c r="BF34" s="110" t="s">
        <v>233</v>
      </c>
      <c r="BG34" s="323"/>
      <c r="BH34" s="318"/>
      <c r="BI34" s="318">
        <f>AQ38</f>
        <v>25000</v>
      </c>
      <c r="BJ34" s="318">
        <f>AR38</f>
        <v>25500</v>
      </c>
      <c r="BK34" s="318">
        <f>AS38</f>
        <v>276010</v>
      </c>
      <c r="BL34" s="318">
        <f>AT38</f>
        <v>1526530.2</v>
      </c>
      <c r="BM34" s="318">
        <f>AU38</f>
        <v>27060.804</v>
      </c>
      <c r="BN34" s="318">
        <f>AV38</f>
        <v>27602.020080000002</v>
      </c>
      <c r="BO34" s="318">
        <f>AW38</f>
        <v>28154.060481600001</v>
      </c>
      <c r="BP34" s="318">
        <f>AX38</f>
        <v>28717.141691232002</v>
      </c>
      <c r="BQ34" s="318">
        <f>AY38</f>
        <v>29291.484525056643</v>
      </c>
      <c r="BR34" s="318">
        <f>AZ38</f>
        <v>29877.314215557777</v>
      </c>
      <c r="BS34" s="318"/>
      <c r="BT34" s="318" t="str">
        <f>IF(BU8="","",'[1]Property Cash Flow'!AU36)</f>
        <v/>
      </c>
      <c r="BU34" s="318" t="str">
        <f>IF(BV8="","",'[1]Property Cash Flow'!AV36)</f>
        <v/>
      </c>
      <c r="BV34" s="318" t="str">
        <f>IF(BW8="","",'[1]Property Cash Flow'!AW36)</f>
        <v/>
      </c>
      <c r="BW34" s="318" t="str">
        <f>IF(BX8="","",'[1]Property Cash Flow'!AX36)</f>
        <v/>
      </c>
      <c r="BX34" s="165"/>
      <c r="CA34" s="426" t="s">
        <v>64</v>
      </c>
      <c r="CB34" s="182"/>
      <c r="CC34" s="214" t="e">
        <f>IRR(CE34:CO34)</f>
        <v>#VALUE!</v>
      </c>
      <c r="CD34" s="197"/>
      <c r="CE34" s="217" t="e">
        <f>(CE29&lt;&gt;"") * (-CE32 + CE31)</f>
        <v>#VALUE!</v>
      </c>
      <c r="CF34" s="217" t="e">
        <f t="shared" ref="CF34:CO34" si="14">(CF29&lt;&gt;"") * (-CF32 + CF31)</f>
        <v>#VALUE!</v>
      </c>
      <c r="CG34" s="217" t="e">
        <f t="shared" si="14"/>
        <v>#VALUE!</v>
      </c>
      <c r="CH34" s="217" t="e">
        <f t="shared" si="14"/>
        <v>#VALUE!</v>
      </c>
      <c r="CI34" s="217" t="e">
        <f t="shared" si="14"/>
        <v>#VALUE!</v>
      </c>
      <c r="CJ34" s="217" t="e">
        <f t="shared" si="14"/>
        <v>#VALUE!</v>
      </c>
      <c r="CK34" s="217" t="e">
        <f t="shared" si="14"/>
        <v>#VALUE!</v>
      </c>
      <c r="CL34" s="217" t="e">
        <f t="shared" si="14"/>
        <v>#VALUE!</v>
      </c>
      <c r="CM34" s="217" t="e">
        <f t="shared" si="14"/>
        <v>#VALUE!</v>
      </c>
      <c r="CN34" s="217" t="e">
        <f t="shared" si="14"/>
        <v>#VALUE!</v>
      </c>
      <c r="CO34" s="217" t="e">
        <f t="shared" si="14"/>
        <v>#VALUE!</v>
      </c>
      <c r="CP34" s="217"/>
      <c r="CQ34" s="217"/>
      <c r="CR34" s="217"/>
      <c r="CS34" s="217"/>
      <c r="CT34" s="217"/>
      <c r="CU34" s="217"/>
    </row>
    <row r="35" spans="2:105" ht="21" customHeight="1">
      <c r="B35" s="150" t="s">
        <v>234</v>
      </c>
      <c r="C35" s="220"/>
      <c r="D35" s="95">
        <v>0</v>
      </c>
      <c r="F35" s="761"/>
      <c r="G35" s="753" t="s">
        <v>91</v>
      </c>
      <c r="H35" s="755">
        <v>0.03</v>
      </c>
      <c r="I35" s="755">
        <v>0.03</v>
      </c>
      <c r="J35" s="755">
        <v>0.03</v>
      </c>
      <c r="K35" s="755">
        <v>0.03</v>
      </c>
      <c r="L35" s="755">
        <v>0.03</v>
      </c>
      <c r="M35" s="755">
        <v>0.03</v>
      </c>
      <c r="N35" s="755">
        <v>0.03</v>
      </c>
      <c r="O35" s="755">
        <v>0.03</v>
      </c>
      <c r="P35" s="755">
        <v>0.03</v>
      </c>
      <c r="Q35" s="755">
        <v>0.03</v>
      </c>
      <c r="R35" s="755">
        <v>0.03</v>
      </c>
      <c r="S35" s="755"/>
      <c r="T35" s="755"/>
      <c r="U35" s="755"/>
      <c r="V35" s="755"/>
      <c r="AA35" s="253"/>
      <c r="AB35" s="253"/>
      <c r="AC35" s="276"/>
      <c r="AH35" s="201">
        <f t="shared" si="13"/>
        <v>0</v>
      </c>
      <c r="AI35" s="67" t="s">
        <v>269</v>
      </c>
      <c r="AJ35" s="226"/>
      <c r="AK35" s="404" t="s">
        <v>270</v>
      </c>
      <c r="AL35" s="307">
        <f>C70</f>
        <v>0</v>
      </c>
      <c r="AM35" s="307">
        <f>D70</f>
        <v>0</v>
      </c>
      <c r="AN35" s="307">
        <f>E70</f>
        <v>0</v>
      </c>
      <c r="AO35" s="602">
        <f>+AQ35/$D$22</f>
        <v>0</v>
      </c>
      <c r="AP35" s="111"/>
      <c r="AQ35" s="112">
        <f>+AN35</f>
        <v>0</v>
      </c>
      <c r="AR35" s="112">
        <f>H70</f>
        <v>0</v>
      </c>
      <c r="AS35" s="112">
        <f>I70</f>
        <v>0</v>
      </c>
      <c r="AT35" s="112">
        <f>J70</f>
        <v>250000</v>
      </c>
      <c r="AU35" s="112">
        <f>K70</f>
        <v>0</v>
      </c>
      <c r="AV35" s="112">
        <f>L70</f>
        <v>0</v>
      </c>
      <c r="AW35" s="112">
        <f>M70</f>
        <v>0</v>
      </c>
      <c r="AX35" s="112">
        <f>N70</f>
        <v>0</v>
      </c>
      <c r="AY35" s="112">
        <f>O70</f>
        <v>0</v>
      </c>
      <c r="AZ35" s="112">
        <f>P70</f>
        <v>0</v>
      </c>
      <c r="BA35" s="112">
        <f>Q70</f>
        <v>0</v>
      </c>
      <c r="BB35" s="379" t="s">
        <v>270</v>
      </c>
      <c r="BC35" s="71"/>
      <c r="BD35" s="71"/>
      <c r="BE35" s="300"/>
      <c r="BF35" s="150" t="s">
        <v>237</v>
      </c>
      <c r="BG35" s="324"/>
      <c r="BH35" s="317"/>
      <c r="BI35" s="320">
        <f ca="1">BI33-BI34</f>
        <v>960820.69598610222</v>
      </c>
      <c r="BJ35" s="325">
        <f>BJ33-BJ34</f>
        <v>926219.41510180361</v>
      </c>
      <c r="BK35" s="320">
        <f t="shared" ref="BK35:BR35" si="15">BK33-BK34</f>
        <v>638798.79773428466</v>
      </c>
      <c r="BL35" s="320">
        <f t="shared" si="15"/>
        <v>-651709.54319517827</v>
      </c>
      <c r="BM35" s="320">
        <f t="shared" si="15"/>
        <v>804399.45938033529</v>
      </c>
      <c r="BN35" s="320">
        <f t="shared" si="15"/>
        <v>918306.71352268907</v>
      </c>
      <c r="BO35" s="320">
        <f t="shared" si="15"/>
        <v>866645.91588094225</v>
      </c>
      <c r="BP35" s="320">
        <f t="shared" si="15"/>
        <v>810530.55736444553</v>
      </c>
      <c r="BQ35" s="320">
        <f t="shared" si="15"/>
        <v>749530.25938854425</v>
      </c>
      <c r="BR35" s="320">
        <f t="shared" si="15"/>
        <v>683171.93247392599</v>
      </c>
      <c r="BS35" s="320"/>
      <c r="BT35" s="317" t="str">
        <f>IF(BU8="","",BT33-BT34)</f>
        <v/>
      </c>
      <c r="BU35" s="317" t="str">
        <f>IF(BV8="","",BU33-BU34)</f>
        <v/>
      </c>
      <c r="BV35" s="317" t="str">
        <f>IF(BW8="","",BV33-BV34)</f>
        <v/>
      </c>
      <c r="BW35" s="317" t="str">
        <f>IF(BX8="","",BW33-BW34)</f>
        <v/>
      </c>
      <c r="BX35" s="165"/>
      <c r="CA35" s="426" t="s">
        <v>65</v>
      </c>
      <c r="CB35" s="182"/>
      <c r="CC35" s="221" t="e">
        <f>CC31/CC32</f>
        <v>#VALUE!</v>
      </c>
      <c r="CD35" s="197"/>
      <c r="CE35" s="219"/>
      <c r="CF35" s="197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 t="s">
        <v>1</v>
      </c>
      <c r="CQ35" s="182" t="s">
        <v>1</v>
      </c>
      <c r="CR35" s="182" t="s">
        <v>1</v>
      </c>
      <c r="CS35" s="182" t="s">
        <v>1</v>
      </c>
      <c r="CT35" s="182" t="s">
        <v>1</v>
      </c>
    </row>
    <row r="36" spans="2:105" ht="37.5">
      <c r="B36" s="150" t="s">
        <v>238</v>
      </c>
      <c r="C36" s="220"/>
      <c r="D36" s="97">
        <v>30</v>
      </c>
      <c r="F36" s="298"/>
      <c r="G36" s="753" t="s">
        <v>94</v>
      </c>
      <c r="H36" s="755">
        <v>0.02</v>
      </c>
      <c r="I36" s="755">
        <v>0.02</v>
      </c>
      <c r="J36" s="755">
        <v>0.02</v>
      </c>
      <c r="K36" s="755">
        <v>0.02</v>
      </c>
      <c r="L36" s="755">
        <v>0.02</v>
      </c>
      <c r="M36" s="755">
        <v>0.02</v>
      </c>
      <c r="N36" s="755">
        <v>0.02</v>
      </c>
      <c r="O36" s="755">
        <v>0.02</v>
      </c>
      <c r="P36" s="755">
        <v>0.02</v>
      </c>
      <c r="Q36" s="755">
        <v>0.02</v>
      </c>
      <c r="R36" s="755">
        <v>0.02</v>
      </c>
      <c r="S36" s="755"/>
      <c r="T36" s="755"/>
      <c r="U36" s="755"/>
      <c r="V36" s="755"/>
      <c r="AA36" s="262" t="s">
        <v>261</v>
      </c>
      <c r="AB36" s="262" t="s">
        <v>1</v>
      </c>
      <c r="AC36" s="278">
        <f>PMT(D34/12,D36*12,-AC32)*12</f>
        <v>858420.78406222619</v>
      </c>
      <c r="AD36" s="163" t="s">
        <v>262</v>
      </c>
      <c r="AH36" s="201">
        <f t="shared" si="13"/>
        <v>2.0000000000000018E-2</v>
      </c>
      <c r="AI36" s="67" t="s">
        <v>272</v>
      </c>
      <c r="AJ36" s="203"/>
      <c r="AK36" s="404" t="s">
        <v>273</v>
      </c>
      <c r="AL36" s="307">
        <f>C71</f>
        <v>24131.084275599998</v>
      </c>
      <c r="AM36" s="307">
        <f>D71</f>
        <v>24561.7</v>
      </c>
      <c r="AN36" s="307">
        <f>E71</f>
        <v>25000</v>
      </c>
      <c r="AO36" s="602">
        <f>+AQ36/$D$22</f>
        <v>0.5</v>
      </c>
      <c r="AP36" s="96"/>
      <c r="AQ36" s="113">
        <f>+AN36</f>
        <v>25000</v>
      </c>
      <c r="AR36" s="113">
        <f>AQ36*(1+H80)</f>
        <v>25500</v>
      </c>
      <c r="AS36" s="113">
        <f>AR36*(1+I80)</f>
        <v>26010</v>
      </c>
      <c r="AT36" s="113">
        <f>AS36*(1+J80)</f>
        <v>26530.2</v>
      </c>
      <c r="AU36" s="113">
        <f>AT36*(1+K80)</f>
        <v>27060.804</v>
      </c>
      <c r="AV36" s="113">
        <f>AU36*(1+L80)</f>
        <v>27602.020080000002</v>
      </c>
      <c r="AW36" s="113">
        <f>AV36*(1+M80)</f>
        <v>28154.060481600001</v>
      </c>
      <c r="AX36" s="113">
        <f>AW36*(1+N80)</f>
        <v>28717.141691232002</v>
      </c>
      <c r="AY36" s="113">
        <f>AX36*(1+O80)</f>
        <v>29291.484525056643</v>
      </c>
      <c r="AZ36" s="113">
        <f>AY36*(1+P80)</f>
        <v>29877.314215557777</v>
      </c>
      <c r="BA36" s="113">
        <f>AZ36*(1+Q80)</f>
        <v>30474.860499868933</v>
      </c>
      <c r="BB36" s="379" t="s">
        <v>273</v>
      </c>
      <c r="BC36" s="73"/>
      <c r="BD36" s="73"/>
      <c r="BE36" s="295"/>
      <c r="BF36" s="110" t="s">
        <v>241</v>
      </c>
      <c r="BG36" s="323"/>
      <c r="BH36" s="318"/>
      <c r="BI36" s="318">
        <f>(($D$26*$D$39)*$D$34)/(1-(1+$D$34/12)^-($D$36*12))</f>
        <v>858420.78406222712</v>
      </c>
      <c r="BJ36" s="326">
        <f>(($D$26*$D$39)*$D$34)/(1-(1+$D$34/12)^-($D$36*12))</f>
        <v>858420.78406222712</v>
      </c>
      <c r="BK36" s="318">
        <f>(($D$26*$D$39)*$D$34)/(1-(1+$D$34/12)^-($D$36*12))</f>
        <v>858420.78406222712</v>
      </c>
      <c r="BL36" s="318">
        <f>(($D$26*$D$39)*$D$34)/(1-(1+$D$34/12)^-($D$36*12))</f>
        <v>858420.78406222712</v>
      </c>
      <c r="BM36" s="318">
        <f>(($D$26*$D$39)*$D$34)/(1-(1+$D$34/12)^-($D$36*12))</f>
        <v>858420.78406222712</v>
      </c>
      <c r="BN36" s="318">
        <f>(($D$26*$D$39)*$D$34)/(1-(1+$D$34/12)^-($D$36*12))</f>
        <v>858420.78406222712</v>
      </c>
      <c r="BO36" s="318">
        <f>(($D$26*$D$39)*$D$34)/(1-(1+$D$34/12)^-($D$36*12))</f>
        <v>858420.78406222712</v>
      </c>
      <c r="BP36" s="318">
        <f>(($D$26*$D$39)*$D$34)/(1-(1+$D$34/12)^-($D$36*12))</f>
        <v>858420.78406222712</v>
      </c>
      <c r="BQ36" s="318">
        <f>(($D$26*$D$39)*$D$34)/(1-(1+$D$34/12)^-($D$36*12))</f>
        <v>858420.78406222712</v>
      </c>
      <c r="BR36" s="318">
        <f>(($D$26*$D$39)*$D$34)/(1-(1+$D$34/12)^-($D$36*12))</f>
        <v>858420.78406222712</v>
      </c>
      <c r="BS36" s="318"/>
      <c r="BT36" s="318" t="str">
        <f>IF(BU8="","",IF(BT8&lt;='[1]Property Cash Flow'!$H$27,'[1]Property Cash Flow'!$H$34,'[1]Property Cash Flow'!$H$33))</f>
        <v/>
      </c>
      <c r="BU36" s="318" t="str">
        <f>IF(BV8="","",IF(BU8&lt;='[1]Property Cash Flow'!$H$27,'[1]Property Cash Flow'!$H$34,'[1]Property Cash Flow'!$H$33))</f>
        <v/>
      </c>
      <c r="BV36" s="318" t="str">
        <f>IF(BW8="","",IF(BV8&lt;='[1]Property Cash Flow'!$H$27,'[1]Property Cash Flow'!$H$34,'[1]Property Cash Flow'!$H$33))</f>
        <v/>
      </c>
      <c r="BW36" s="318" t="str">
        <f>IF(BX8="","",IF(BW8&lt;='[1]Property Cash Flow'!$H$27,'[1]Property Cash Flow'!$H$34,'[1]Property Cash Flow'!$H$33))</f>
        <v/>
      </c>
      <c r="BX36" s="165"/>
      <c r="CA36" s="426" t="s">
        <v>1</v>
      </c>
      <c r="CB36" s="182"/>
      <c r="CC36" s="212"/>
      <c r="CD36" s="197"/>
      <c r="CE36" s="219"/>
      <c r="CF36" s="197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 t="s">
        <v>1</v>
      </c>
      <c r="CQ36" s="182" t="s">
        <v>1</v>
      </c>
      <c r="CR36" s="182" t="s">
        <v>1</v>
      </c>
      <c r="CS36" s="182" t="s">
        <v>1</v>
      </c>
      <c r="CT36" s="182" t="s">
        <v>1</v>
      </c>
    </row>
    <row r="37" spans="2:105">
      <c r="B37" s="150" t="s">
        <v>242</v>
      </c>
      <c r="C37" s="220"/>
      <c r="D37" s="95">
        <f>D10</f>
        <v>10</v>
      </c>
      <c r="F37" s="276"/>
      <c r="G37" s="753"/>
      <c r="H37" s="755"/>
      <c r="I37" s="755"/>
      <c r="J37" s="755"/>
      <c r="K37" s="755"/>
      <c r="L37" s="755"/>
      <c r="M37" s="755"/>
      <c r="N37" s="755"/>
      <c r="O37" s="755"/>
      <c r="P37" s="755"/>
      <c r="Q37" s="755"/>
      <c r="R37" s="755"/>
      <c r="S37" s="755"/>
      <c r="T37" s="755"/>
      <c r="U37" s="755"/>
      <c r="V37" s="755"/>
      <c r="AA37" s="262" t="s">
        <v>267</v>
      </c>
      <c r="AB37" s="262" t="s">
        <v>1</v>
      </c>
      <c r="AC37" s="278">
        <f>AC32*D34</f>
        <v>557567.51050000009</v>
      </c>
      <c r="AD37" s="163" t="s">
        <v>268</v>
      </c>
      <c r="AH37" s="201">
        <f t="shared" si="13"/>
        <v>0</v>
      </c>
      <c r="AI37" s="67" t="s">
        <v>276</v>
      </c>
      <c r="AJ37" s="226"/>
      <c r="AK37" s="404" t="s">
        <v>277</v>
      </c>
      <c r="AL37" s="116">
        <f>C72</f>
        <v>0</v>
      </c>
      <c r="AM37" s="116">
        <f>D72</f>
        <v>0</v>
      </c>
      <c r="AN37" s="116">
        <f>E72</f>
        <v>0</v>
      </c>
      <c r="AO37" s="117">
        <f>+AQ37/$D$22</f>
        <v>0</v>
      </c>
      <c r="AP37" s="87"/>
      <c r="AQ37" s="112">
        <f>+AN37</f>
        <v>0</v>
      </c>
      <c r="AR37" s="112">
        <f>H72</f>
        <v>0</v>
      </c>
      <c r="AS37" s="112">
        <f>I72</f>
        <v>250000</v>
      </c>
      <c r="AT37" s="112">
        <f>J72</f>
        <v>0</v>
      </c>
      <c r="AU37" s="112">
        <f>K72</f>
        <v>0</v>
      </c>
      <c r="AV37" s="112">
        <f>L72</f>
        <v>0</v>
      </c>
      <c r="AW37" s="112">
        <f>M72</f>
        <v>0</v>
      </c>
      <c r="AX37" s="112">
        <f>N72</f>
        <v>0</v>
      </c>
      <c r="AY37" s="112">
        <f>O72</f>
        <v>0</v>
      </c>
      <c r="AZ37" s="112">
        <f>P72</f>
        <v>0</v>
      </c>
      <c r="BA37" s="112">
        <f>Q72</f>
        <v>0</v>
      </c>
      <c r="BB37" s="379" t="s">
        <v>277</v>
      </c>
      <c r="BC37" s="73"/>
      <c r="BD37" s="73"/>
      <c r="BE37" s="295"/>
      <c r="BF37" s="110"/>
      <c r="BG37" s="323"/>
      <c r="BH37" s="318"/>
      <c r="BI37" s="318"/>
      <c r="BJ37" s="326"/>
      <c r="BK37" s="326"/>
      <c r="BL37" s="318"/>
      <c r="BM37" s="318"/>
      <c r="BN37" s="318"/>
      <c r="BO37" s="318"/>
      <c r="BP37" s="318"/>
      <c r="BQ37" s="318"/>
      <c r="BR37" s="318"/>
      <c r="BS37" s="318"/>
      <c r="BT37" s="318"/>
      <c r="BU37" s="318"/>
      <c r="BV37" s="318"/>
      <c r="BW37" s="318"/>
      <c r="BX37" s="165"/>
      <c r="CA37" s="426"/>
      <c r="CB37" s="182"/>
      <c r="CC37" s="212"/>
      <c r="CD37" s="197"/>
      <c r="CE37" s="219"/>
      <c r="CF37" s="197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</row>
    <row r="38" spans="2:105">
      <c r="B38" s="150"/>
      <c r="C38" s="220"/>
      <c r="D38" s="95"/>
      <c r="F38" s="152"/>
      <c r="G38" s="753"/>
      <c r="H38" s="765"/>
      <c r="I38" s="765"/>
      <c r="J38" s="765"/>
      <c r="K38" s="765"/>
      <c r="L38" s="765"/>
      <c r="M38" s="765"/>
      <c r="N38" s="765"/>
      <c r="O38" s="765"/>
      <c r="P38" s="765"/>
      <c r="Q38" s="765"/>
      <c r="R38" s="755"/>
      <c r="S38" s="755"/>
      <c r="T38" s="755"/>
      <c r="U38" s="755"/>
      <c r="V38" s="755"/>
      <c r="AA38" s="253"/>
      <c r="AB38" s="253"/>
      <c r="AC38" s="253"/>
      <c r="AH38" s="201">
        <f t="shared" si="13"/>
        <v>2.0000000000000018E-2</v>
      </c>
      <c r="AI38" s="103" t="s">
        <v>233</v>
      </c>
      <c r="AJ38" s="61"/>
      <c r="AK38" s="405" t="s">
        <v>279</v>
      </c>
      <c r="AL38" s="306">
        <f>SUM(AL34:AL37)</f>
        <v>24131.084275599998</v>
      </c>
      <c r="AM38" s="306">
        <f>SUM(AM34:AM37)</f>
        <v>24561.7</v>
      </c>
      <c r="AN38" s="306">
        <f>SUM(AN34:AN37)</f>
        <v>25000</v>
      </c>
      <c r="AO38" s="122">
        <f>SUM(AO34:AO37)</f>
        <v>0.5</v>
      </c>
      <c r="AP38" s="70"/>
      <c r="AQ38" s="123">
        <f>SUM(AQ34:AQ37)</f>
        <v>25000</v>
      </c>
      <c r="AR38" s="123">
        <f>SUM(AR34:AR37)</f>
        <v>25500</v>
      </c>
      <c r="AS38" s="123">
        <f>SUM(AS34:AS37)</f>
        <v>276010</v>
      </c>
      <c r="AT38" s="123">
        <f>SUM(AT34:AT37)</f>
        <v>1526530.2</v>
      </c>
      <c r="AU38" s="123">
        <f t="shared" ref="AU38:BA38" si="16">SUM(AU34:AU37)</f>
        <v>27060.804</v>
      </c>
      <c r="AV38" s="123">
        <f>SUM(AV34:AV37)</f>
        <v>27602.020080000002</v>
      </c>
      <c r="AW38" s="123">
        <f t="shared" si="16"/>
        <v>28154.060481600001</v>
      </c>
      <c r="AX38" s="123">
        <f t="shared" si="16"/>
        <v>28717.141691232002</v>
      </c>
      <c r="AY38" s="123">
        <f t="shared" si="16"/>
        <v>29291.484525056643</v>
      </c>
      <c r="AZ38" s="123">
        <f t="shared" si="16"/>
        <v>29877.314215557777</v>
      </c>
      <c r="BA38" s="123">
        <f t="shared" si="16"/>
        <v>30474.860499868933</v>
      </c>
      <c r="BB38" s="388"/>
      <c r="BC38" s="102"/>
      <c r="BD38" s="102"/>
      <c r="BE38" s="301"/>
      <c r="BF38" s="150" t="s">
        <v>246</v>
      </c>
      <c r="BG38" s="327"/>
      <c r="BH38" s="317"/>
      <c r="BI38" s="320">
        <f ca="1">BI35-BI36+BI37</f>
        <v>102399.9119238751</v>
      </c>
      <c r="BJ38" s="320">
        <f>BJ35-BJ36+BJ37</f>
        <v>67798.631039576489</v>
      </c>
      <c r="BK38" s="320">
        <f>BK35-BK36+BK37</f>
        <v>-219621.98632794246</v>
      </c>
      <c r="BL38" s="320">
        <f>BL35-BL36</f>
        <v>-1510130.3272574055</v>
      </c>
      <c r="BM38" s="320">
        <f t="shared" ref="BM38:BQ38" si="17">BM35-BM36</f>
        <v>-54021.324681891827</v>
      </c>
      <c r="BN38" s="320">
        <f t="shared" si="17"/>
        <v>59885.92946046195</v>
      </c>
      <c r="BO38" s="320">
        <f t="shared" si="17"/>
        <v>8225.1318187151337</v>
      </c>
      <c r="BP38" s="320">
        <f t="shared" si="17"/>
        <v>-47890.226697781589</v>
      </c>
      <c r="BQ38" s="320">
        <f t="shared" si="17"/>
        <v>-108890.52467368287</v>
      </c>
      <c r="BR38" s="320">
        <f>BR35-BR36</f>
        <v>-175248.85158830113</v>
      </c>
      <c r="BS38" s="320"/>
      <c r="BT38" s="317" t="str">
        <f>IF(BU8="","",BT35-BT36)</f>
        <v/>
      </c>
      <c r="BU38" s="317"/>
      <c r="BV38" s="317" t="str">
        <f>IF(BW8="","",BV35-BV36)</f>
        <v/>
      </c>
      <c r="BW38" s="317" t="str">
        <f>IF(BX8="","",BW35-BW36)</f>
        <v/>
      </c>
      <c r="BX38" s="165"/>
      <c r="CA38" s="425" t="s">
        <v>67</v>
      </c>
      <c r="CB38" s="182"/>
      <c r="CC38" s="217"/>
      <c r="CD38" s="197"/>
      <c r="CE38" s="217"/>
      <c r="CF38" s="223"/>
      <c r="CG38" s="224"/>
      <c r="CH38" s="224"/>
      <c r="CI38" s="217"/>
      <c r="CJ38" s="224"/>
      <c r="CK38" s="224"/>
      <c r="CL38" s="224"/>
      <c r="CM38" s="224"/>
      <c r="CN38" s="224"/>
      <c r="CO38" s="224"/>
      <c r="CP38" s="182" t="s">
        <v>1</v>
      </c>
      <c r="CQ38" s="182" t="s">
        <v>1</v>
      </c>
      <c r="CR38" s="182" t="s">
        <v>1</v>
      </c>
      <c r="CS38" s="182" t="s">
        <v>1</v>
      </c>
      <c r="CT38" s="182" t="s">
        <v>1</v>
      </c>
    </row>
    <row r="39" spans="2:105">
      <c r="B39" s="150" t="s">
        <v>247</v>
      </c>
      <c r="C39" s="220"/>
      <c r="D39" s="94">
        <v>0.65</v>
      </c>
      <c r="F39" s="152"/>
      <c r="G39" s="753"/>
      <c r="H39" s="755"/>
      <c r="I39" s="755"/>
      <c r="J39" s="755"/>
      <c r="K39" s="755"/>
      <c r="L39" s="755"/>
      <c r="M39" s="755"/>
      <c r="N39" s="755"/>
      <c r="O39" s="755"/>
      <c r="P39" s="755"/>
      <c r="Q39" s="755"/>
      <c r="R39" s="755"/>
      <c r="S39" s="753"/>
      <c r="T39" s="753"/>
      <c r="U39" s="753"/>
      <c r="V39" s="753"/>
      <c r="AA39" s="253"/>
      <c r="AB39" s="253"/>
      <c r="AC39" s="253"/>
      <c r="AH39" s="201"/>
      <c r="AI39" s="103"/>
      <c r="AJ39" s="61"/>
      <c r="AK39" s="405"/>
      <c r="AL39" s="85"/>
      <c r="AM39" s="85"/>
      <c r="AN39" s="85"/>
      <c r="AO39" s="69"/>
      <c r="AP39" s="70"/>
      <c r="AQ39" s="71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388"/>
      <c r="BC39" s="73"/>
      <c r="BD39" s="73"/>
      <c r="BE39" s="295"/>
      <c r="BF39" s="150"/>
      <c r="BG39" s="327"/>
      <c r="BH39" s="317"/>
      <c r="BI39" s="317"/>
      <c r="BJ39" s="317"/>
      <c r="BK39" s="317"/>
      <c r="BL39" s="317"/>
      <c r="BM39" s="317"/>
      <c r="BN39" s="317"/>
      <c r="BO39" s="317"/>
      <c r="BP39" s="317"/>
      <c r="BQ39" s="317"/>
      <c r="BR39" s="317"/>
      <c r="BS39" s="317"/>
      <c r="BT39" s="317"/>
      <c r="BU39" s="317"/>
      <c r="BV39" s="317"/>
      <c r="BW39" s="317"/>
      <c r="BX39" s="165"/>
      <c r="CA39" s="426" t="s">
        <v>68</v>
      </c>
      <c r="CB39" s="182"/>
      <c r="CC39" s="217" t="e">
        <f>SUM(CE39:CT39)</f>
        <v>#VALUE!</v>
      </c>
      <c r="CD39" s="197"/>
      <c r="CE39" s="217" t="e">
        <f>(CE29&lt;&gt;"") * (CE70 + CE88 + CE103 + CE110)</f>
        <v>#VALUE!</v>
      </c>
      <c r="CF39" s="217" t="e">
        <f t="shared" ref="CF39:CO39" si="18">(CF29&lt;&gt;"") * (CF70 + CF88 + CF103 + CF110)</f>
        <v>#VALUE!</v>
      </c>
      <c r="CG39" s="217" t="e">
        <f t="shared" si="18"/>
        <v>#VALUE!</v>
      </c>
      <c r="CH39" s="217" t="e">
        <f t="shared" si="18"/>
        <v>#VALUE!</v>
      </c>
      <c r="CI39" s="217" t="e">
        <f t="shared" si="18"/>
        <v>#VALUE!</v>
      </c>
      <c r="CJ39" s="217" t="e">
        <f t="shared" si="18"/>
        <v>#VALUE!</v>
      </c>
      <c r="CK39" s="217" t="e">
        <f t="shared" si="18"/>
        <v>#VALUE!</v>
      </c>
      <c r="CL39" s="217" t="e">
        <f t="shared" si="18"/>
        <v>#VALUE!</v>
      </c>
      <c r="CM39" s="217" t="e">
        <f t="shared" si="18"/>
        <v>#VALUE!</v>
      </c>
      <c r="CN39" s="217" t="e">
        <f t="shared" si="18"/>
        <v>#VALUE!</v>
      </c>
      <c r="CO39" s="217" t="e">
        <f t="shared" si="18"/>
        <v>#VALUE!</v>
      </c>
      <c r="CP39" s="197" t="s">
        <v>61</v>
      </c>
      <c r="CQ39" s="197" t="s">
        <v>61</v>
      </c>
      <c r="CR39" s="197" t="s">
        <v>61</v>
      </c>
      <c r="CS39" s="197" t="s">
        <v>61</v>
      </c>
      <c r="CT39" s="197" t="s">
        <v>61</v>
      </c>
    </row>
    <row r="40" spans="2:105">
      <c r="B40" s="150" t="s">
        <v>250</v>
      </c>
      <c r="C40" s="220"/>
      <c r="D40" s="94">
        <v>0.01</v>
      </c>
      <c r="F40" s="152"/>
      <c r="G40" s="753"/>
      <c r="H40" s="755"/>
      <c r="I40" s="755"/>
      <c r="J40" s="755"/>
      <c r="K40" s="755"/>
      <c r="L40" s="755"/>
      <c r="M40" s="755"/>
      <c r="N40" s="755"/>
      <c r="O40" s="755"/>
      <c r="P40" s="755"/>
      <c r="Q40" s="755"/>
      <c r="R40" s="755"/>
      <c r="S40" s="753"/>
      <c r="T40" s="753"/>
      <c r="U40" s="753"/>
      <c r="V40" s="753"/>
      <c r="AA40" s="837" t="s">
        <v>612</v>
      </c>
      <c r="AB40" s="837"/>
      <c r="AC40" s="837"/>
      <c r="AD40" s="55"/>
      <c r="AH40" s="201">
        <f ca="1">_xlfn.RRI($D$10-1,AQ40,INDEX(AQ40:BE40,1,$D$10))</f>
        <v>-3.7184498159477775E-2</v>
      </c>
      <c r="AI40" s="106" t="s">
        <v>237</v>
      </c>
      <c r="AJ40" s="202"/>
      <c r="AK40" s="409" t="s">
        <v>282</v>
      </c>
      <c r="AL40" s="107">
        <f ca="1">AL32-AL38</f>
        <v>848365.01992533274</v>
      </c>
      <c r="AM40" s="107">
        <f ca="1">AM32-AM38</f>
        <v>956788.42385999998</v>
      </c>
      <c r="AN40" s="107">
        <f t="shared" ref="AN40" ca="1" si="19">AN32-AN38</f>
        <v>970045.34919999982</v>
      </c>
      <c r="AO40" s="107">
        <f ca="1">AO32-AO38</f>
        <v>19.216413919722044</v>
      </c>
      <c r="AP40" s="90"/>
      <c r="AQ40" s="83">
        <f ca="1">AQ32-AQ38</f>
        <v>960820.69598610222</v>
      </c>
      <c r="AR40" s="83">
        <f t="shared" ref="AR40:BA40" si="20">AR32-AR38</f>
        <v>926219.41510180361</v>
      </c>
      <c r="AS40" s="83">
        <f t="shared" si="20"/>
        <v>638798.79773428466</v>
      </c>
      <c r="AT40" s="83">
        <f>AT32-AT38</f>
        <v>-651709.54319517827</v>
      </c>
      <c r="AU40" s="83">
        <f t="shared" si="20"/>
        <v>804399.45938033529</v>
      </c>
      <c r="AV40" s="83">
        <f t="shared" si="20"/>
        <v>918306.71352268907</v>
      </c>
      <c r="AW40" s="83">
        <f t="shared" si="20"/>
        <v>866645.91588094225</v>
      </c>
      <c r="AX40" s="83">
        <f t="shared" si="20"/>
        <v>810530.55736444553</v>
      </c>
      <c r="AY40" s="83">
        <f t="shared" si="20"/>
        <v>749530.25938854425</v>
      </c>
      <c r="AZ40" s="83">
        <f t="shared" si="20"/>
        <v>683171.93247392599</v>
      </c>
      <c r="BA40" s="83">
        <f t="shared" si="20"/>
        <v>788591.05087084265</v>
      </c>
      <c r="BB40" s="392"/>
      <c r="BC40" s="73"/>
      <c r="BD40" s="73"/>
      <c r="BE40" s="295"/>
      <c r="BF40" s="106" t="s">
        <v>253</v>
      </c>
      <c r="BG40" s="292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165"/>
      <c r="CA40" s="426" t="s">
        <v>69</v>
      </c>
      <c r="CB40" s="182"/>
      <c r="CC40" s="217">
        <f>SUM(CE40:CT40)</f>
        <v>0</v>
      </c>
      <c r="CD40" s="197"/>
      <c r="CE40" s="217">
        <f>((CE29&lt;&gt;"") * SUM(CE49:CE50))</f>
        <v>0</v>
      </c>
      <c r="CF40" s="217">
        <f t="shared" ref="CF40:CO40" si="21">((CF29&lt;&gt;"") * SUM(CF49:CF50))</f>
        <v>0</v>
      </c>
      <c r="CG40" s="217">
        <f t="shared" si="21"/>
        <v>0</v>
      </c>
      <c r="CH40" s="217">
        <f t="shared" si="21"/>
        <v>0</v>
      </c>
      <c r="CI40" s="217">
        <f t="shared" si="21"/>
        <v>0</v>
      </c>
      <c r="CJ40" s="217">
        <f t="shared" si="21"/>
        <v>0</v>
      </c>
      <c r="CK40" s="217">
        <f t="shared" si="21"/>
        <v>0</v>
      </c>
      <c r="CL40" s="217">
        <f t="shared" si="21"/>
        <v>0</v>
      </c>
      <c r="CM40" s="217">
        <f t="shared" si="21"/>
        <v>0</v>
      </c>
      <c r="CN40" s="217">
        <f t="shared" si="21"/>
        <v>0</v>
      </c>
      <c r="CO40" s="217">
        <f t="shared" si="21"/>
        <v>0</v>
      </c>
      <c r="CP40" s="197" t="s">
        <v>61</v>
      </c>
      <c r="CQ40" s="197" t="s">
        <v>61</v>
      </c>
      <c r="CR40" s="197" t="s">
        <v>61</v>
      </c>
      <c r="CS40" s="197" t="s">
        <v>61</v>
      </c>
      <c r="CT40" s="197" t="s">
        <v>61</v>
      </c>
    </row>
    <row r="41" spans="2:105">
      <c r="F41" s="152"/>
      <c r="G41" s="758"/>
      <c r="H41" s="759"/>
      <c r="I41" s="759"/>
      <c r="J41" s="759"/>
      <c r="K41" s="759"/>
      <c r="L41" s="759"/>
      <c r="M41" s="759"/>
      <c r="N41" s="759"/>
      <c r="O41" s="759"/>
      <c r="P41" s="759"/>
      <c r="Q41" s="759"/>
      <c r="R41" s="753"/>
      <c r="S41" s="753"/>
      <c r="T41" s="753"/>
      <c r="U41" s="753"/>
      <c r="V41" s="753"/>
      <c r="AA41" s="641" t="s">
        <v>613</v>
      </c>
      <c r="AB41" s="642" t="s">
        <v>614</v>
      </c>
      <c r="AC41" s="642" t="s">
        <v>615</v>
      </c>
      <c r="AD41" s="642" t="s">
        <v>616</v>
      </c>
      <c r="AE41" s="642" t="s">
        <v>589</v>
      </c>
      <c r="AH41" s="201"/>
      <c r="AI41" s="103"/>
      <c r="AJ41" s="61"/>
      <c r="AK41" s="405"/>
      <c r="AL41" s="85"/>
      <c r="AM41" s="85"/>
      <c r="AN41" s="85"/>
      <c r="AO41" s="56"/>
      <c r="AP41" s="57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388"/>
      <c r="BC41" s="91"/>
      <c r="BD41" s="91"/>
      <c r="BE41" s="299"/>
      <c r="BF41" s="103" t="s">
        <v>258</v>
      </c>
      <c r="BG41" s="292"/>
      <c r="BH41" s="84"/>
      <c r="BI41" s="108">
        <f>_xlfn.SINGLE(Exit_Cap_Yr_1)</f>
        <v>6.5000000000000002E-2</v>
      </c>
      <c r="BJ41" s="108">
        <f>BI41+($D$15/10000)</f>
        <v>6.5500000000000003E-2</v>
      </c>
      <c r="BK41" s="108">
        <f>BJ41+($D$15/10000)</f>
        <v>6.6000000000000003E-2</v>
      </c>
      <c r="BL41" s="108">
        <f>BK41+($D$15/10000)</f>
        <v>6.6500000000000004E-2</v>
      </c>
      <c r="BM41" s="108">
        <f>BL41+($D$15/10000)</f>
        <v>6.7000000000000004E-2</v>
      </c>
      <c r="BN41" s="108">
        <f>BM41+($D$15/10000)</f>
        <v>6.7500000000000004E-2</v>
      </c>
      <c r="BO41" s="108">
        <f>BN41+($D$15/10000)</f>
        <v>6.8000000000000005E-2</v>
      </c>
      <c r="BP41" s="108">
        <f>BO41+($D$15/10000)</f>
        <v>6.8500000000000005E-2</v>
      </c>
      <c r="BQ41" s="108">
        <f>BP41+($D$15/10000)</f>
        <v>6.9000000000000006E-2</v>
      </c>
      <c r="BR41" s="108">
        <f>BQ41+($D$15/10000)</f>
        <v>6.9500000000000006E-2</v>
      </c>
      <c r="BS41" s="108"/>
      <c r="BT41" s="108"/>
      <c r="BU41" s="108"/>
      <c r="BV41" s="108"/>
      <c r="BW41" s="108" t="str">
        <f>IF(BW31="","",IF(BW8&gt;_xlfn.SINGLE(Analysis_Period),"",BV41+'[1]Property Cash Flow'!$D$15/10000))</f>
        <v/>
      </c>
      <c r="BX41" s="165"/>
      <c r="CA41" s="426" t="s">
        <v>70</v>
      </c>
      <c r="CB41" s="182"/>
      <c r="CC41" s="217">
        <f ca="1">SUM(CE41:CT41)</f>
        <v>13873220.427612409</v>
      </c>
      <c r="CD41" s="197"/>
      <c r="CE41" s="437">
        <f>(CE29&lt;&gt;"") * ( -((CE52*(CE52&lt;0)) + CE61) )</f>
        <v>9477435.9429999981</v>
      </c>
      <c r="CF41" s="437">
        <f t="shared" ref="CF41:CO41" ca="1" si="22">(CF29&lt;&gt;"") * ( -((CF52*(CF52&lt;0)) + CF61) )</f>
        <v>0</v>
      </c>
      <c r="CG41" s="437">
        <f t="shared" si="22"/>
        <v>0</v>
      </c>
      <c r="CH41" s="437">
        <f t="shared" si="22"/>
        <v>219621.98632794246</v>
      </c>
      <c r="CI41" s="437">
        <f>(CI29&lt;&gt;"") * ( -((CI52*(CI52&lt;0)) + CI61) )</f>
        <v>1510130.3272574055</v>
      </c>
      <c r="CJ41" s="437">
        <f t="shared" si="22"/>
        <v>54021.324681891827</v>
      </c>
      <c r="CK41" s="437">
        <f t="shared" si="22"/>
        <v>0</v>
      </c>
      <c r="CL41" s="437">
        <f t="shared" si="22"/>
        <v>0</v>
      </c>
      <c r="CM41" s="437">
        <f t="shared" si="22"/>
        <v>47890.226697781589</v>
      </c>
      <c r="CN41" s="437">
        <f t="shared" si="22"/>
        <v>108890.52467368287</v>
      </c>
      <c r="CO41" s="437">
        <f t="shared" si="22"/>
        <v>2455230.0949737057</v>
      </c>
      <c r="CP41" s="197" t="s">
        <v>61</v>
      </c>
      <c r="CQ41" s="197" t="s">
        <v>61</v>
      </c>
      <c r="CR41" s="197" t="s">
        <v>61</v>
      </c>
      <c r="CS41" s="197" t="s">
        <v>61</v>
      </c>
      <c r="CT41" s="197" t="s">
        <v>61</v>
      </c>
    </row>
    <row r="42" spans="2:105">
      <c r="B42" s="109" t="s">
        <v>259</v>
      </c>
      <c r="C42" s="109"/>
      <c r="D42" s="109"/>
      <c r="Z42" s="780"/>
      <c r="AA42" s="110" t="s">
        <v>214</v>
      </c>
      <c r="AB42" s="644">
        <f>C57/D22</f>
        <v>0.28957301130719998</v>
      </c>
      <c r="AC42" s="643">
        <f>H78</f>
        <v>0.02</v>
      </c>
      <c r="AD42" s="174" t="s">
        <v>617</v>
      </c>
      <c r="AE42" s="646" t="s">
        <v>98</v>
      </c>
      <c r="AH42" s="201"/>
      <c r="AI42" s="106" t="s">
        <v>288</v>
      </c>
      <c r="AJ42" s="61"/>
      <c r="AK42" s="403"/>
      <c r="AL42" s="85"/>
      <c r="AM42" s="85"/>
      <c r="AN42" s="85"/>
      <c r="AO42" s="56"/>
      <c r="AP42" s="57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386"/>
      <c r="BC42" s="73"/>
      <c r="BD42" s="73"/>
      <c r="BE42" s="295"/>
      <c r="BF42" s="103" t="s">
        <v>260</v>
      </c>
      <c r="BG42" s="292"/>
      <c r="BH42" s="84"/>
      <c r="BI42" s="74">
        <f ca="1">BI33/BI41</f>
        <v>15166472.245940033</v>
      </c>
      <c r="BJ42" s="74">
        <f t="shared" ref="BJ42:BR42" si="23">BJ33/BJ41</f>
        <v>14530067.406134406</v>
      </c>
      <c r="BK42" s="74">
        <f t="shared" si="23"/>
        <v>13860739.359610373</v>
      </c>
      <c r="BL42" s="74">
        <f t="shared" si="23"/>
        <v>13155197.846689047</v>
      </c>
      <c r="BM42" s="74">
        <f t="shared" si="23"/>
        <v>12409854.677318437</v>
      </c>
      <c r="BN42" s="74">
        <f t="shared" si="23"/>
        <v>14013462.720039837</v>
      </c>
      <c r="BO42" s="74">
        <f t="shared" si="23"/>
        <v>13158823.18180209</v>
      </c>
      <c r="BP42" s="74">
        <f t="shared" si="23"/>
        <v>12251791.227090182</v>
      </c>
      <c r="BQ42" s="74">
        <f t="shared" si="23"/>
        <v>11287271.650921751</v>
      </c>
      <c r="BR42" s="74">
        <f t="shared" si="23"/>
        <v>10259701.391215593</v>
      </c>
      <c r="BS42" s="74"/>
      <c r="BT42" s="74"/>
      <c r="BU42" s="74"/>
      <c r="BV42" s="74"/>
      <c r="BW42" s="74" t="str">
        <f>IF(BW8&gt;_xlfn.SINGLE(Analysis_Period),"",OR(BW8=15,_xlfn.SINGLE(Cap_Year)="T12")*(BW33/BW41)+AND(BW8&lt;&gt;15,_xlfn.SINGLE(Cap_Year)="Forward 12")*(BX33/BW41))</f>
        <v/>
      </c>
      <c r="BX42" s="165"/>
      <c r="CA42" s="426" t="s">
        <v>71</v>
      </c>
      <c r="CB42" s="182"/>
      <c r="CC42" s="217" t="e">
        <f ca="1">+CC39+CC40-CC41</f>
        <v>#VALUE!</v>
      </c>
      <c r="CD42" s="197"/>
      <c r="CE42" s="438"/>
      <c r="CF42" s="439"/>
      <c r="CG42" s="439"/>
      <c r="CH42" s="439"/>
      <c r="CI42" s="439"/>
      <c r="CJ42" s="439"/>
      <c r="CK42" s="439"/>
      <c r="CL42" s="439"/>
      <c r="CM42" s="439"/>
      <c r="CN42" s="439"/>
      <c r="CO42" s="440"/>
      <c r="CP42" s="182" t="s">
        <v>1</v>
      </c>
      <c r="CQ42" s="182" t="s">
        <v>1</v>
      </c>
      <c r="CR42" s="182" t="s">
        <v>1</v>
      </c>
      <c r="CS42" s="182" t="s">
        <v>1</v>
      </c>
      <c r="CT42" s="182" t="s">
        <v>1</v>
      </c>
    </row>
    <row r="43" spans="2:105">
      <c r="B43" s="110" t="s">
        <v>577</v>
      </c>
      <c r="C43" s="269">
        <v>0.1</v>
      </c>
      <c r="D43" s="225"/>
      <c r="Z43" s="780"/>
      <c r="AA43" s="110" t="s">
        <v>218</v>
      </c>
      <c r="AB43" s="644">
        <f>C58/D22</f>
        <v>1.2548163823312</v>
      </c>
      <c r="AC43" s="643">
        <f>H78</f>
        <v>0.02</v>
      </c>
      <c r="AD43" s="174" t="s">
        <v>617</v>
      </c>
      <c r="AE43" s="646" t="s">
        <v>98</v>
      </c>
      <c r="AH43" s="201">
        <f t="shared" si="13"/>
        <v>1.0646292707510829E-2</v>
      </c>
      <c r="AI43" s="92" t="s">
        <v>290</v>
      </c>
      <c r="AJ43" s="61"/>
      <c r="AK43" s="410" t="s">
        <v>291</v>
      </c>
      <c r="AL43" s="130">
        <f>AL10/$D$22</f>
        <v>32.260007999999999</v>
      </c>
      <c r="AM43" s="130">
        <f>AM10/$D$22</f>
        <v>35.000008000000001</v>
      </c>
      <c r="AN43" s="130">
        <f>AN10/$D$22</f>
        <v>35.000008000000001</v>
      </c>
      <c r="AO43" s="131"/>
      <c r="AP43" s="132"/>
      <c r="AQ43" s="131">
        <f>AQ10/$D$22</f>
        <v>35.000008000000001</v>
      </c>
      <c r="AR43" s="131">
        <f>AR10/$D$22</f>
        <v>35.000008000000001</v>
      </c>
      <c r="AS43" s="131">
        <f>AS10/$D$22</f>
        <v>35.000008000000001</v>
      </c>
      <c r="AT43" s="131">
        <f>AT10/$D$22</f>
        <v>35.000008000000001</v>
      </c>
      <c r="AU43" s="131">
        <f>AU10/$D$22</f>
        <v>35.000008000000001</v>
      </c>
      <c r="AV43" s="131">
        <f>AV10/$D$22</f>
        <v>38.500008799999996</v>
      </c>
      <c r="AW43" s="131">
        <f>AW10/$D$22</f>
        <v>38.500008799999996</v>
      </c>
      <c r="AX43" s="131">
        <f>AX10/$D$22</f>
        <v>38.500008799999996</v>
      </c>
      <c r="AY43" s="131">
        <f>AY10/$D$22</f>
        <v>38.500008799999996</v>
      </c>
      <c r="AZ43" s="131">
        <f>AZ10/$D$22</f>
        <v>38.500008799999996</v>
      </c>
      <c r="BA43" s="131">
        <f>BA10/$D$22</f>
        <v>42.350009680000007</v>
      </c>
      <c r="BB43" s="393"/>
      <c r="BC43" s="112"/>
      <c r="BD43" s="112"/>
      <c r="BE43" s="152"/>
      <c r="BF43" s="92" t="s">
        <v>265</v>
      </c>
      <c r="BG43" s="292"/>
      <c r="BH43" s="84"/>
      <c r="BI43" s="84">
        <f ca="1">BI42*$D$25</f>
        <v>303329.44491880067</v>
      </c>
      <c r="BJ43" s="84">
        <f>BJ42*$D$25</f>
        <v>290601.34812268813</v>
      </c>
      <c r="BK43" s="84">
        <f>BK42*$D$25</f>
        <v>277214.78719220747</v>
      </c>
      <c r="BL43" s="84">
        <f>BL42*$D$25</f>
        <v>263103.95693378092</v>
      </c>
      <c r="BM43" s="84">
        <f>BM42*$D$25</f>
        <v>248197.09354636873</v>
      </c>
      <c r="BN43" s="84">
        <f>BN42*$D$25</f>
        <v>280269.25440079672</v>
      </c>
      <c r="BO43" s="84">
        <f>BO42*$D$25</f>
        <v>263176.46363604179</v>
      </c>
      <c r="BP43" s="84">
        <f>BP42*$D$25</f>
        <v>245035.82454180365</v>
      </c>
      <c r="BQ43" s="84">
        <f>BQ42*$D$25</f>
        <v>225745.43301843503</v>
      </c>
      <c r="BR43" s="84">
        <f>BR42*$D$25</f>
        <v>205194.02782431187</v>
      </c>
      <c r="BS43" s="84"/>
      <c r="BT43" s="84"/>
      <c r="BU43" s="84"/>
      <c r="BV43" s="84"/>
      <c r="BW43" s="84" t="str">
        <f>IF(BW8&gt;_xlfn.SINGLE(Analysis_Period),"",BW42*'[1]Property Cash Flow'!$H$18)</f>
        <v/>
      </c>
      <c r="BX43" s="165"/>
      <c r="CA43" s="426" t="s">
        <v>72</v>
      </c>
      <c r="CB43" s="182"/>
      <c r="CC43" s="221" t="e">
        <f>IRR(CE43:CT43)</f>
        <v>#VALUE!</v>
      </c>
      <c r="CD43" s="197"/>
      <c r="CE43" s="217" t="e">
        <f>(CE29&lt;&gt;"") * ((-CE41)+CE39+CE40)</f>
        <v>#VALUE!</v>
      </c>
      <c r="CF43" s="217" t="e">
        <f t="shared" ref="CF43:CO43" ca="1" si="24">(CF29&lt;&gt;"") * ((-CF41)+CF39+CF40)</f>
        <v>#VALUE!</v>
      </c>
      <c r="CG43" s="217" t="e">
        <f t="shared" si="24"/>
        <v>#VALUE!</v>
      </c>
      <c r="CH43" s="217" t="e">
        <f t="shared" si="24"/>
        <v>#VALUE!</v>
      </c>
      <c r="CI43" s="217" t="e">
        <f t="shared" si="24"/>
        <v>#VALUE!</v>
      </c>
      <c r="CJ43" s="217" t="e">
        <f t="shared" si="24"/>
        <v>#VALUE!</v>
      </c>
      <c r="CK43" s="217" t="e">
        <f t="shared" si="24"/>
        <v>#VALUE!</v>
      </c>
      <c r="CL43" s="217" t="e">
        <f t="shared" si="24"/>
        <v>#VALUE!</v>
      </c>
      <c r="CM43" s="217" t="e">
        <f t="shared" si="24"/>
        <v>#VALUE!</v>
      </c>
      <c r="CN43" s="217" t="e">
        <f t="shared" si="24"/>
        <v>#VALUE!</v>
      </c>
      <c r="CO43" s="217" t="e">
        <f t="shared" si="24"/>
        <v>#VALUE!</v>
      </c>
      <c r="CP43" s="197" t="s">
        <v>61</v>
      </c>
      <c r="CQ43" s="197" t="s">
        <v>61</v>
      </c>
      <c r="CR43" s="197" t="s">
        <v>61</v>
      </c>
      <c r="CS43" s="197" t="s">
        <v>61</v>
      </c>
      <c r="CT43" s="197" t="s">
        <v>61</v>
      </c>
    </row>
    <row r="44" spans="2:105">
      <c r="B44" s="110" t="s">
        <v>266</v>
      </c>
      <c r="C44" s="269">
        <v>0.03</v>
      </c>
      <c r="D44" s="225"/>
      <c r="Z44" s="780"/>
      <c r="AA44" s="110" t="s">
        <v>223</v>
      </c>
      <c r="AB44" s="644">
        <f>C59/D22</f>
        <v>1.4478650565360001</v>
      </c>
      <c r="AC44" s="643">
        <f>H78</f>
        <v>0.02</v>
      </c>
      <c r="AD44" s="174" t="s">
        <v>617</v>
      </c>
      <c r="AE44" s="646" t="s">
        <v>7</v>
      </c>
      <c r="AH44" s="201">
        <f t="shared" ca="1" si="13"/>
        <v>5.6988496301839442E-2</v>
      </c>
      <c r="AI44" s="92" t="s">
        <v>293</v>
      </c>
      <c r="AJ44" s="61"/>
      <c r="AK44" s="410" t="s">
        <v>294</v>
      </c>
      <c r="AL44" s="130">
        <f ca="1">AL30/$D$22</f>
        <v>12.87898143046934</v>
      </c>
      <c r="AM44" s="130">
        <f ca="1">AM30/$D$22</f>
        <v>13.166506722800001</v>
      </c>
      <c r="AN44" s="130">
        <f ca="1">AN30/$D$22</f>
        <v>13.399100216000001</v>
      </c>
      <c r="AO44" s="56"/>
      <c r="AP44" s="57"/>
      <c r="AQ44" s="131">
        <f ca="1">AQ30/$D$22</f>
        <v>13.583593280277952</v>
      </c>
      <c r="AR44" s="131">
        <f>AR30/$D$22</f>
        <v>14.265618897963925</v>
      </c>
      <c r="AS44" s="131">
        <f>AS30/$D$22</f>
        <v>15.003831245314304</v>
      </c>
      <c r="AT44" s="131">
        <f>AT30/$D$22</f>
        <v>15.803594063903564</v>
      </c>
      <c r="AU44" s="131">
        <f>AU30/$D$22</f>
        <v>16.670801932393292</v>
      </c>
      <c r="AV44" s="131">
        <f>AV30/$D$22</f>
        <v>17.711833247946217</v>
      </c>
      <c r="AW44" s="131">
        <f>AW30/$D$22</f>
        <v>18.734008392749153</v>
      </c>
      <c r="AX44" s="131">
        <f>AX30/$D$22</f>
        <v>19.845053938886448</v>
      </c>
      <c r="AY44" s="131">
        <f>AY30/$D$22</f>
        <v>21.053573041727979</v>
      </c>
      <c r="AZ44" s="131">
        <f>AZ30/$D$22</f>
        <v>22.369022986210325</v>
      </c>
      <c r="BA44" s="131">
        <f>BA30/$D$22</f>
        <v>23.911690484585773</v>
      </c>
      <c r="BB44" s="393"/>
      <c r="BC44" s="112"/>
      <c r="BD44" s="112"/>
      <c r="BE44" s="152"/>
      <c r="BF44" s="103" t="s">
        <v>271</v>
      </c>
      <c r="BG44" s="292"/>
      <c r="BH44" s="74"/>
      <c r="BI44" s="74">
        <f ca="1">BI42-BI43</f>
        <v>14863142.801021233</v>
      </c>
      <c r="BJ44" s="74">
        <f>BJ42-BJ43</f>
        <v>14239466.058011718</v>
      </c>
      <c r="BK44" s="74">
        <f>BK42-BK43</f>
        <v>13583524.572418166</v>
      </c>
      <c r="BL44" s="74">
        <f t="shared" ref="BL44:BR44" si="25">BL42-BL43</f>
        <v>12892093.889755266</v>
      </c>
      <c r="BM44" s="74">
        <f t="shared" si="25"/>
        <v>12161657.583772069</v>
      </c>
      <c r="BN44" s="74">
        <f t="shared" si="25"/>
        <v>13733193.46563904</v>
      </c>
      <c r="BO44" s="74">
        <f t="shared" si="25"/>
        <v>12895646.718166048</v>
      </c>
      <c r="BP44" s="74">
        <f t="shared" si="25"/>
        <v>12006755.402548378</v>
      </c>
      <c r="BQ44" s="74">
        <f t="shared" si="25"/>
        <v>11061526.217903316</v>
      </c>
      <c r="BR44" s="74">
        <f t="shared" si="25"/>
        <v>10054507.36339128</v>
      </c>
      <c r="BS44" s="74"/>
      <c r="BT44" s="74"/>
      <c r="BU44" s="74"/>
      <c r="BV44" s="74"/>
      <c r="BW44" s="74" t="str">
        <f t="shared" ref="BW44" si="26">IF(BW43="","",BW42-BW43)</f>
        <v/>
      </c>
      <c r="BX44" s="165"/>
      <c r="CA44" s="426" t="s">
        <v>73</v>
      </c>
      <c r="CB44" s="182"/>
      <c r="CC44" s="221">
        <v>1.5642666586810077</v>
      </c>
      <c r="CD44" s="19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  <c r="CO44" s="217"/>
      <c r="CP44" s="217"/>
      <c r="CQ44" s="182"/>
      <c r="CR44" s="182" t="s">
        <v>1</v>
      </c>
      <c r="CS44" s="182" t="s">
        <v>1</v>
      </c>
      <c r="CT44" s="182" t="s">
        <v>1</v>
      </c>
    </row>
    <row r="45" spans="2:105">
      <c r="B45" s="222"/>
      <c r="C45" s="227"/>
      <c r="E45" s="176"/>
      <c r="Z45" s="780"/>
      <c r="AA45" s="110" t="s">
        <v>225</v>
      </c>
      <c r="AB45" s="644">
        <f>C60/D22</f>
        <v>1.8339624049456</v>
      </c>
      <c r="AC45" s="643">
        <f>H78</f>
        <v>0.02</v>
      </c>
      <c r="AD45" s="174" t="s">
        <v>617</v>
      </c>
      <c r="AE45" s="646" t="s">
        <v>98</v>
      </c>
      <c r="AH45" s="201">
        <f t="shared" ca="1" si="13"/>
        <v>0</v>
      </c>
      <c r="AI45" s="92" t="s">
        <v>298</v>
      </c>
      <c r="AJ45" s="61"/>
      <c r="AK45" s="411"/>
      <c r="AL45" s="133">
        <f ca="1">AL11/AL30</f>
        <v>0</v>
      </c>
      <c r="AM45" s="133">
        <f ca="1">AM11/AM30</f>
        <v>0</v>
      </c>
      <c r="AN45" s="133">
        <f ca="1">AN11/AN30</f>
        <v>0</v>
      </c>
      <c r="AO45" s="56"/>
      <c r="AP45" s="57"/>
      <c r="AQ45" s="134">
        <f ca="1">AQ11/AQ30</f>
        <v>0</v>
      </c>
      <c r="AR45" s="134">
        <f>AR11/AR30</f>
        <v>0</v>
      </c>
      <c r="AS45" s="134">
        <f>AS11/AS30</f>
        <v>0</v>
      </c>
      <c r="AT45" s="134">
        <f>AT11/AT30</f>
        <v>0</v>
      </c>
      <c r="AU45" s="134">
        <f>AU11/AU30</f>
        <v>0</v>
      </c>
      <c r="AV45" s="134">
        <f>AV11/AV30</f>
        <v>0</v>
      </c>
      <c r="AW45" s="134">
        <f>AW11/AW30</f>
        <v>0</v>
      </c>
      <c r="AX45" s="134">
        <f>AX11/AX30</f>
        <v>0</v>
      </c>
      <c r="AY45" s="134">
        <f>AY11/AY30</f>
        <v>0</v>
      </c>
      <c r="AZ45" s="134">
        <f>AZ11/AZ30</f>
        <v>0</v>
      </c>
      <c r="BA45" s="134">
        <f>BA11/BA30</f>
        <v>0</v>
      </c>
      <c r="BB45" s="394"/>
      <c r="BC45" s="71"/>
      <c r="BD45" s="71"/>
      <c r="BE45" s="300"/>
      <c r="BF45" s="103" t="s">
        <v>274</v>
      </c>
      <c r="BG45" s="291"/>
      <c r="BH45" s="114"/>
      <c r="BI45" s="115">
        <f ca="1">BI42/D22</f>
        <v>303.32944491880068</v>
      </c>
      <c r="BJ45" s="115">
        <f t="shared" ref="BJ45:BR45" si="27">BJ42/_xlfn.SINGLE(Property_SF)</f>
        <v>290.60134812268814</v>
      </c>
      <c r="BK45" s="115">
        <f t="shared" si="27"/>
        <v>277.21478719220744</v>
      </c>
      <c r="BL45" s="115">
        <f t="shared" si="27"/>
        <v>263.10395693378092</v>
      </c>
      <c r="BM45" s="115">
        <f t="shared" si="27"/>
        <v>248.19709354636873</v>
      </c>
      <c r="BN45" s="115">
        <f t="shared" si="27"/>
        <v>280.26925440079674</v>
      </c>
      <c r="BO45" s="115">
        <f t="shared" si="27"/>
        <v>263.17646363604183</v>
      </c>
      <c r="BP45" s="115">
        <f t="shared" si="27"/>
        <v>245.03582454180363</v>
      </c>
      <c r="BQ45" s="115">
        <f t="shared" si="27"/>
        <v>225.74543301843502</v>
      </c>
      <c r="BR45" s="115">
        <f t="shared" si="27"/>
        <v>205.19402782431186</v>
      </c>
      <c r="BS45" s="115"/>
      <c r="BT45" s="115"/>
      <c r="BU45" s="115"/>
      <c r="BV45" s="115"/>
      <c r="BW45" s="115" t="str">
        <f t="shared" ref="BW45" si="28">IFERROR(BW42/_xlfn.SINGLE(Property_SF),"")</f>
        <v/>
      </c>
      <c r="BX45" s="165"/>
      <c r="CA45" s="427" t="s">
        <v>1</v>
      </c>
      <c r="CB45" s="228" t="s">
        <v>1</v>
      </c>
      <c r="CC45" s="228"/>
      <c r="CD45" s="182" t="s">
        <v>1</v>
      </c>
      <c r="CE45" s="182" t="s">
        <v>1</v>
      </c>
      <c r="CF45" s="182" t="s">
        <v>1</v>
      </c>
      <c r="CG45" s="182" t="s">
        <v>1</v>
      </c>
      <c r="CH45" s="182" t="s">
        <v>1</v>
      </c>
      <c r="CI45" s="182" t="s">
        <v>1</v>
      </c>
      <c r="CJ45" s="182" t="s">
        <v>1</v>
      </c>
      <c r="CK45" s="182" t="s">
        <v>1</v>
      </c>
      <c r="CL45" s="182" t="s">
        <v>1</v>
      </c>
      <c r="CM45" s="182" t="s">
        <v>1</v>
      </c>
      <c r="CN45" s="182" t="s">
        <v>1</v>
      </c>
      <c r="CO45" s="182" t="s">
        <v>1</v>
      </c>
      <c r="CP45" s="182" t="s">
        <v>1</v>
      </c>
      <c r="CQ45" s="182" t="s">
        <v>1</v>
      </c>
      <c r="CR45" s="182" t="s">
        <v>1</v>
      </c>
      <c r="CS45" s="182" t="s">
        <v>1</v>
      </c>
      <c r="CT45" s="182" t="s">
        <v>1</v>
      </c>
    </row>
    <row r="46" spans="2:105">
      <c r="B46" s="230" t="s">
        <v>275</v>
      </c>
      <c r="C46" s="230"/>
      <c r="D46" s="230"/>
      <c r="E46" s="231"/>
      <c r="Z46" s="780"/>
      <c r="AA46" s="110" t="s">
        <v>231</v>
      </c>
      <c r="AB46" s="644">
        <f>C61/D22</f>
        <v>1.6409137307408002</v>
      </c>
      <c r="AC46" s="643">
        <f>H78</f>
        <v>0.02</v>
      </c>
      <c r="AD46" s="183" t="s">
        <v>617</v>
      </c>
      <c r="AE46" s="646" t="s">
        <v>98</v>
      </c>
      <c r="AH46" s="201">
        <f t="shared" ca="1" si="13"/>
        <v>4.5854028188416329E-2</v>
      </c>
      <c r="AI46" s="92" t="s">
        <v>299</v>
      </c>
      <c r="AJ46" s="61"/>
      <c r="AK46" s="411"/>
      <c r="AL46" s="133">
        <f ca="1">AL30/AL17</f>
        <v>0.42464381952737268</v>
      </c>
      <c r="AM46" s="133">
        <f ca="1">AM30/AM17</f>
        <v>0.40149734029684148</v>
      </c>
      <c r="AN46" s="133">
        <f ca="1">AN30/AN17</f>
        <v>0.40237529486179818</v>
      </c>
      <c r="AO46" s="56"/>
      <c r="AP46" s="57"/>
      <c r="AQ46" s="134">
        <f ca="1">AQ30/AQ17</f>
        <v>0.40791562592448793</v>
      </c>
      <c r="AR46" s="134">
        <f>AR30/AR17</f>
        <v>0.42839687127647008</v>
      </c>
      <c r="AS46" s="134">
        <f>AS30/AS17</f>
        <v>0.45056540544274432</v>
      </c>
      <c r="AT46" s="134">
        <f>AT30/AT17</f>
        <v>0.47458230170903881</v>
      </c>
      <c r="AU46" s="134">
        <f>AU30/AU17</f>
        <v>0.50062457441130204</v>
      </c>
      <c r="AV46" s="134">
        <f>AV30/AV17</f>
        <v>0.48353342665469501</v>
      </c>
      <c r="AW46" s="134">
        <f>AW30/AW17</f>
        <v>0.51143882997962387</v>
      </c>
      <c r="AX46" s="134">
        <f>AX30/AX17</f>
        <v>0.54177039716256903</v>
      </c>
      <c r="AY46" s="134">
        <f>AY30/AY17</f>
        <v>0.57476299452921276</v>
      </c>
      <c r="AZ46" s="134">
        <f>AZ30/AZ17</f>
        <v>0.61067480616068415</v>
      </c>
      <c r="BA46" s="134">
        <f>BA30/BA17</f>
        <v>0.59344514715934893</v>
      </c>
      <c r="BB46" s="394"/>
      <c r="BC46" s="88"/>
      <c r="BD46" s="88"/>
      <c r="BE46" s="298"/>
      <c r="BF46" s="103"/>
      <c r="BG46" s="292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9"/>
      <c r="BU46" s="119"/>
      <c r="BV46" s="119"/>
      <c r="BW46" s="119"/>
      <c r="BX46" s="165"/>
      <c r="BZ46" s="55" t="s">
        <v>278</v>
      </c>
      <c r="CA46" s="186" t="s">
        <v>74</v>
      </c>
      <c r="CB46" s="200" t="s">
        <v>1</v>
      </c>
      <c r="CC46" s="200" t="s">
        <v>1</v>
      </c>
      <c r="CD46" s="200" t="s">
        <v>1</v>
      </c>
      <c r="CE46" s="240" t="s">
        <v>46</v>
      </c>
      <c r="CF46" s="240" t="s">
        <v>47</v>
      </c>
      <c r="CG46" s="240" t="s">
        <v>48</v>
      </c>
      <c r="CH46" s="240" t="s">
        <v>49</v>
      </c>
      <c r="CI46" s="240" t="s">
        <v>50</v>
      </c>
      <c r="CJ46" s="240" t="s">
        <v>51</v>
      </c>
      <c r="CK46" s="240" t="s">
        <v>52</v>
      </c>
      <c r="CL46" s="240" t="s">
        <v>53</v>
      </c>
      <c r="CM46" s="240" t="s">
        <v>54</v>
      </c>
      <c r="CN46" s="240" t="s">
        <v>55</v>
      </c>
      <c r="CO46" s="240" t="s">
        <v>56</v>
      </c>
      <c r="CP46" s="200" t="s">
        <v>1</v>
      </c>
      <c r="CQ46" s="200" t="s">
        <v>1</v>
      </c>
      <c r="CR46" s="200" t="s">
        <v>1</v>
      </c>
      <c r="CS46" s="200" t="s">
        <v>1</v>
      </c>
      <c r="CT46" s="200" t="s">
        <v>1</v>
      </c>
    </row>
    <row r="47" spans="2:105">
      <c r="B47" s="225"/>
      <c r="C47" s="120" t="s">
        <v>46</v>
      </c>
      <c r="D47" s="120" t="s">
        <v>129</v>
      </c>
      <c r="E47" s="121" t="s">
        <v>130</v>
      </c>
      <c r="Z47" s="780"/>
      <c r="AA47" s="110" t="s">
        <v>239</v>
      </c>
      <c r="AB47" s="644">
        <f>C63/D22</f>
        <v>0.67567035971680001</v>
      </c>
      <c r="AC47" s="643">
        <f>H79</f>
        <v>0.03</v>
      </c>
      <c r="AD47" s="183" t="s">
        <v>617</v>
      </c>
      <c r="AE47" s="732" t="s">
        <v>7</v>
      </c>
      <c r="AH47" s="201">
        <f t="shared" ca="1" si="13"/>
        <v>5.7380034447008788E-2</v>
      </c>
      <c r="AI47" s="92" t="s">
        <v>302</v>
      </c>
      <c r="AJ47" s="61"/>
      <c r="AK47" s="412"/>
      <c r="AL47" s="135">
        <f ca="1">AL38/AL32</f>
        <v>2.7657526674804148E-2</v>
      </c>
      <c r="AM47" s="135">
        <f t="shared" ref="AM47:AN47" ca="1" si="29">AM38/AM32</f>
        <v>2.5028478014951561E-2</v>
      </c>
      <c r="AN47" s="135">
        <f t="shared" ca="1" si="29"/>
        <v>2.5124483039993695E-2</v>
      </c>
      <c r="AO47" s="56"/>
      <c r="AP47" s="57"/>
      <c r="AQ47" s="136">
        <f ca="1">AQ38/AQ32</f>
        <v>2.5359581211665334E-2</v>
      </c>
      <c r="AR47" s="136">
        <f>AR38/AR32</f>
        <v>2.6793611221299203E-2</v>
      </c>
      <c r="AS47" s="136">
        <f t="shared" ref="AS47:BA47" si="30">AS38/AS32</f>
        <v>0.30171332051418448</v>
      </c>
      <c r="AT47" s="136">
        <f t="shared" si="30"/>
        <v>1.7449635969679429</v>
      </c>
      <c r="AU47" s="136">
        <f t="shared" si="30"/>
        <v>3.2546118187275971E-2</v>
      </c>
      <c r="AV47" s="136">
        <f t="shared" si="30"/>
        <v>2.9180426292156114E-2</v>
      </c>
      <c r="AW47" s="136">
        <f t="shared" si="30"/>
        <v>3.1464082728353743E-2</v>
      </c>
      <c r="AX47" s="136">
        <f t="shared" si="30"/>
        <v>3.4217718706342076E-2</v>
      </c>
      <c r="AY47" s="136">
        <f t="shared" si="30"/>
        <v>3.7609998377634041E-2</v>
      </c>
      <c r="AZ47" s="136">
        <f t="shared" si="30"/>
        <v>4.1900772428090996E-2</v>
      </c>
      <c r="BA47" s="136">
        <f t="shared" si="30"/>
        <v>3.7206847552560297E-2</v>
      </c>
      <c r="BB47" s="395"/>
      <c r="BC47" s="73"/>
      <c r="BD47" s="73"/>
      <c r="BE47" s="295"/>
      <c r="BF47" s="103" t="s">
        <v>280</v>
      </c>
      <c r="BG47" s="292"/>
      <c r="BH47" s="84"/>
      <c r="BI47" s="118">
        <f>-PV($D$34/12,($D$36-BI8)*12,BI36/12)</f>
        <v>15624773.607873462</v>
      </c>
      <c r="BJ47" s="118">
        <f>-PV($D$34/12,($D$36-BJ8)*12,BJ36/12)</f>
        <v>15308173.14887373</v>
      </c>
      <c r="BK47" s="118">
        <f>-PV($D$34/12,($D$36-BK8)*12,BK36/12)</f>
        <v>14980312.176246081</v>
      </c>
      <c r="BL47" s="118">
        <f>-PV($D$34/12,($D$36-BL8)*12,BL36/12)</f>
        <v>14640790.187832166</v>
      </c>
      <c r="BM47" s="118">
        <f>-PV($D$34/12,($D$36-BM8)*12,BM36/12)</f>
        <v>14289192.43683221</v>
      </c>
      <c r="BN47" s="118">
        <f>-PV($D$34/12,($D$36-BN8)*12,BN36/12)</f>
        <v>13925089.425166529</v>
      </c>
      <c r="BO47" s="118">
        <f>-PV($D$34/12,($D$36-BO8)*12,BO36/12)</f>
        <v>13548036.378817448</v>
      </c>
      <c r="BP47" s="118">
        <f>-PV($D$34/12,($D$36-BP8)*12,BP36/12)</f>
        <v>13157572.704510739</v>
      </c>
      <c r="BQ47" s="118">
        <f>-PV($D$34/12,($D$36-BQ8)*12,BQ36/12)</f>
        <v>12753221.427072851</v>
      </c>
      <c r="BR47" s="118">
        <f>-PV($D$34/12,($D$36-BR8)*12,BR36/12)</f>
        <v>12334488.606776685</v>
      </c>
      <c r="BS47" s="118"/>
      <c r="BT47" s="118"/>
      <c r="BU47" s="118"/>
      <c r="BV47" s="118"/>
      <c r="BW47" s="118" t="str">
        <f>IF(BX8="","",(BW8&lt;='[1]Property Cash Flow'!$H$27)*_xlfn.SINGLE(Debt)+('[1]Property Cash Flow'!$H$27&lt;BW8)*-PV('[1]Property Cash Flow'!$H$26/12,('[1]Property Cash Flow'!$H$28+'[1]Property Cash Flow'!$H$27-BW8)*12,'[1]Property Cash Flow'!$H$33/12))</f>
        <v/>
      </c>
      <c r="BX47" s="165"/>
      <c r="CA47" s="55" t="s">
        <v>1</v>
      </c>
      <c r="CB47" s="55" t="s">
        <v>1</v>
      </c>
      <c r="CC47" s="55" t="s">
        <v>1</v>
      </c>
      <c r="CD47" s="55" t="s">
        <v>75</v>
      </c>
      <c r="CE47" s="415">
        <v>46203</v>
      </c>
      <c r="CF47" s="416">
        <v>46568</v>
      </c>
      <c r="CG47" s="416">
        <v>46934</v>
      </c>
      <c r="CH47" s="416">
        <v>47299</v>
      </c>
      <c r="CI47" s="416">
        <v>11139</v>
      </c>
      <c r="CJ47" s="416">
        <v>11504</v>
      </c>
      <c r="CK47" s="416">
        <v>11870</v>
      </c>
      <c r="CL47" s="416">
        <v>12235</v>
      </c>
      <c r="CM47" s="416">
        <v>12600</v>
      </c>
      <c r="CN47" s="416">
        <v>12965</v>
      </c>
      <c r="CO47" s="416">
        <v>13331</v>
      </c>
      <c r="CP47" s="55" t="s">
        <v>1</v>
      </c>
      <c r="CQ47" s="55" t="s">
        <v>1</v>
      </c>
      <c r="CR47" s="55" t="s">
        <v>1</v>
      </c>
      <c r="CS47" s="55" t="s">
        <v>1</v>
      </c>
      <c r="CT47" s="55" t="s">
        <v>1</v>
      </c>
    </row>
    <row r="48" spans="2:105">
      <c r="B48" s="110"/>
      <c r="C48" s="124"/>
      <c r="D48" s="124"/>
      <c r="E48" s="125"/>
      <c r="Z48" s="780"/>
      <c r="AA48" s="110" t="s">
        <v>244</v>
      </c>
      <c r="AB48" s="644">
        <f>C64/D22</f>
        <v>4.8263133794571003</v>
      </c>
      <c r="AC48" s="643">
        <f>AB48*(H78)</f>
        <v>9.6526267589142012E-2</v>
      </c>
      <c r="AD48" s="183" t="s">
        <v>617</v>
      </c>
      <c r="AE48" s="732" t="s">
        <v>7</v>
      </c>
      <c r="AH48" s="201" t="e">
        <f ca="1">_xlfn.RRI($D$10-1,AQ48,INDEX(AQ48:BE48,1,$D$10))</f>
        <v>#REF!</v>
      </c>
      <c r="AI48" s="92" t="s">
        <v>304</v>
      </c>
      <c r="AJ48" s="61"/>
      <c r="AK48" s="412"/>
      <c r="AL48" s="135" t="e">
        <f ca="1">#REF!/$BI$42</f>
        <v>#REF!</v>
      </c>
      <c r="AM48" s="135">
        <f ca="1">AM29/$BI$42</f>
        <v>1.6195058966712011E-2</v>
      </c>
      <c r="AN48" s="135">
        <f ca="1">AN29/$BI$42</f>
        <v>1.648405746213822E-2</v>
      </c>
      <c r="AO48" s="56"/>
      <c r="AP48" s="57"/>
      <c r="AQ48" s="136" t="e">
        <f ca="1">#REF!/BI42</f>
        <v>#REF!</v>
      </c>
      <c r="AR48" s="136" t="e">
        <f>#REF!/BJ42</f>
        <v>#REF!</v>
      </c>
      <c r="AS48" s="136" t="e">
        <f>#REF!/BK42</f>
        <v>#REF!</v>
      </c>
      <c r="AT48" s="136" t="e">
        <f>#REF!/BL42</f>
        <v>#REF!</v>
      </c>
      <c r="AU48" s="136" t="e">
        <f>#REF!/BM42</f>
        <v>#REF!</v>
      </c>
      <c r="AV48" s="136" t="e">
        <f>#REF!/BN42</f>
        <v>#REF!</v>
      </c>
      <c r="AW48" s="136" t="e">
        <f>#REF!/BO42</f>
        <v>#REF!</v>
      </c>
      <c r="AX48" s="136" t="e">
        <f>#REF!/BP42</f>
        <v>#REF!</v>
      </c>
      <c r="AY48" s="136" t="e">
        <f>#REF!/BQ42</f>
        <v>#REF!</v>
      </c>
      <c r="AZ48" s="136" t="e">
        <f>#REF!/BR42</f>
        <v>#REF!</v>
      </c>
      <c r="BA48" s="136" t="e">
        <f>IFERROR(#REF!/BS42,AZ48)</f>
        <v>#REF!</v>
      </c>
      <c r="BB48" s="395"/>
      <c r="BC48" s="73"/>
      <c r="BD48" s="73"/>
      <c r="BE48" s="295"/>
      <c r="BF48" s="103"/>
      <c r="BG48" s="292"/>
      <c r="BH48" s="118"/>
      <c r="BI48" s="118"/>
      <c r="BJ48" s="118"/>
      <c r="BK48" s="118"/>
      <c r="BL48" s="285"/>
      <c r="BM48" s="118"/>
      <c r="BN48" s="118"/>
      <c r="BO48" s="118"/>
      <c r="BP48" s="118"/>
      <c r="BQ48" s="118"/>
      <c r="BR48" s="118"/>
      <c r="BS48" s="118"/>
      <c r="BT48" s="119"/>
      <c r="BU48" s="119"/>
      <c r="BV48" s="119"/>
      <c r="BW48" s="119"/>
      <c r="BX48" s="165"/>
      <c r="CA48" s="423" t="s">
        <v>76</v>
      </c>
      <c r="CB48" s="55" t="s">
        <v>1</v>
      </c>
      <c r="CC48" s="55" t="s">
        <v>1</v>
      </c>
      <c r="CD48" s="55" t="s">
        <v>1</v>
      </c>
      <c r="CE48" s="417">
        <f t="shared" ref="CE48:CO48" si="31">BH64</f>
        <v>-9477435.9429999981</v>
      </c>
      <c r="CF48" s="417">
        <f t="shared" ca="1" si="31"/>
        <v>102399.9119238751</v>
      </c>
      <c r="CG48" s="417">
        <f t="shared" si="31"/>
        <v>67798.631039576489</v>
      </c>
      <c r="CH48" s="417">
        <f t="shared" si="31"/>
        <v>-219621.98632794246</v>
      </c>
      <c r="CI48" s="417">
        <f t="shared" si="31"/>
        <v>-1510130.3272574055</v>
      </c>
      <c r="CJ48" s="417">
        <f t="shared" si="31"/>
        <v>-54021.324681891827</v>
      </c>
      <c r="CK48" s="417">
        <f t="shared" si="31"/>
        <v>59885.92946046195</v>
      </c>
      <c r="CL48" s="417">
        <f t="shared" si="31"/>
        <v>8225.1318187151337</v>
      </c>
      <c r="CM48" s="417">
        <f t="shared" si="31"/>
        <v>-47890.226697781589</v>
      </c>
      <c r="CN48" s="417">
        <f t="shared" si="31"/>
        <v>-108890.52467368287</v>
      </c>
      <c r="CO48" s="417">
        <f t="shared" si="31"/>
        <v>-2455230.0949737057</v>
      </c>
      <c r="CP48" s="418"/>
      <c r="CQ48" s="418" t="s">
        <v>61</v>
      </c>
      <c r="CR48" s="418" t="s">
        <v>61</v>
      </c>
      <c r="CS48" s="418" t="s">
        <v>61</v>
      </c>
      <c r="CT48" s="418" t="s">
        <v>61</v>
      </c>
    </row>
    <row r="49" spans="2:98">
      <c r="B49" s="110" t="s">
        <v>167</v>
      </c>
      <c r="C49" s="124"/>
      <c r="D49" s="124"/>
      <c r="E49" s="125"/>
      <c r="Z49" s="780"/>
      <c r="AA49" s="110" t="s">
        <v>236</v>
      </c>
      <c r="AH49" s="58"/>
      <c r="AI49" s="103"/>
      <c r="AJ49" s="61"/>
      <c r="AK49" s="405"/>
      <c r="AL49" s="137"/>
      <c r="AM49" s="137"/>
      <c r="AN49" s="137"/>
      <c r="AO49" s="138"/>
      <c r="AP49" s="56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388"/>
      <c r="BC49" s="91"/>
      <c r="BD49" s="91"/>
      <c r="BE49" s="299"/>
      <c r="BF49" s="106" t="s">
        <v>283</v>
      </c>
      <c r="BG49" s="292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9"/>
      <c r="BU49" s="119"/>
      <c r="BV49" s="119"/>
      <c r="BW49" s="119"/>
      <c r="BX49" s="165"/>
      <c r="CA49" s="424" t="s">
        <v>77</v>
      </c>
      <c r="CB49" s="55" t="s">
        <v>1</v>
      </c>
      <c r="CC49" s="55" t="s">
        <v>1</v>
      </c>
      <c r="CD49" s="55" t="s">
        <v>1</v>
      </c>
      <c r="CE49" s="227">
        <v>0</v>
      </c>
      <c r="CF49" s="227">
        <f t="shared" ref="CF49:CO49" si="32">$C$136</f>
        <v>0</v>
      </c>
      <c r="CG49" s="227">
        <f t="shared" si="32"/>
        <v>0</v>
      </c>
      <c r="CH49" s="227">
        <f t="shared" si="32"/>
        <v>0</v>
      </c>
      <c r="CI49" s="227">
        <f t="shared" si="32"/>
        <v>0</v>
      </c>
      <c r="CJ49" s="227">
        <f t="shared" si="32"/>
        <v>0</v>
      </c>
      <c r="CK49" s="227">
        <f t="shared" si="32"/>
        <v>0</v>
      </c>
      <c r="CL49" s="227">
        <f t="shared" si="32"/>
        <v>0</v>
      </c>
      <c r="CM49" s="227">
        <f t="shared" si="32"/>
        <v>0</v>
      </c>
      <c r="CN49" s="227">
        <f t="shared" si="32"/>
        <v>0</v>
      </c>
      <c r="CO49" s="227">
        <f t="shared" si="32"/>
        <v>0</v>
      </c>
      <c r="CP49" s="176" t="s">
        <v>284</v>
      </c>
      <c r="CQ49" s="176" t="s">
        <v>285</v>
      </c>
      <c r="CR49" s="176" t="s">
        <v>285</v>
      </c>
      <c r="CS49" s="176" t="s">
        <v>284</v>
      </c>
      <c r="CT49" s="176" t="s">
        <v>284</v>
      </c>
    </row>
    <row r="50" spans="2:98">
      <c r="B50" s="110" t="s">
        <v>173</v>
      </c>
      <c r="C50" s="126">
        <v>98751</v>
      </c>
      <c r="D50" s="126">
        <v>99152</v>
      </c>
      <c r="E50" s="127">
        <v>100000</v>
      </c>
      <c r="Z50" s="781"/>
      <c r="AA50" s="35"/>
      <c r="AB50" s="35"/>
      <c r="AC50" s="35"/>
      <c r="AD50" s="35"/>
      <c r="AE50" s="35"/>
      <c r="BC50" s="73"/>
      <c r="BD50" s="73"/>
      <c r="BE50" s="295"/>
      <c r="BF50" s="92" t="s">
        <v>163</v>
      </c>
      <c r="BG50" s="292"/>
      <c r="BH50" s="74">
        <f t="shared" ref="BH50:BR50" si="33">BH23</f>
        <v>25248631.239999998</v>
      </c>
      <c r="BI50" s="74">
        <f t="shared" si="33"/>
        <v>0</v>
      </c>
      <c r="BJ50" s="74">
        <f t="shared" si="33"/>
        <v>0</v>
      </c>
      <c r="BK50" s="74">
        <f>BK23</f>
        <v>0</v>
      </c>
      <c r="BL50" s="74">
        <f t="shared" si="33"/>
        <v>0</v>
      </c>
      <c r="BM50" s="74">
        <f t="shared" si="33"/>
        <v>0</v>
      </c>
      <c r="BN50" s="74">
        <f t="shared" si="33"/>
        <v>0</v>
      </c>
      <c r="BO50" s="74">
        <f t="shared" si="33"/>
        <v>0</v>
      </c>
      <c r="BP50" s="74">
        <f t="shared" si="33"/>
        <v>0</v>
      </c>
      <c r="BQ50" s="74">
        <f t="shared" si="33"/>
        <v>0</v>
      </c>
      <c r="BR50" s="74">
        <f t="shared" si="33"/>
        <v>0</v>
      </c>
      <c r="BS50" s="74" t="str">
        <f>IF(BS8&gt;_xlfn.SINGLE(Analysis_Period),"",BS23)</f>
        <v/>
      </c>
      <c r="BT50" s="74" t="str">
        <f>IF(BT8&gt;_xlfn.SINGLE(Analysis_Period),"",BT23)</f>
        <v/>
      </c>
      <c r="BU50" s="74" t="str">
        <f>IF(BU8&gt;_xlfn.SINGLE(Analysis_Period),"",BU23)</f>
        <v/>
      </c>
      <c r="BV50" s="74" t="str">
        <f>IF(BV8&gt;_xlfn.SINGLE(Analysis_Period),"",BV23)</f>
        <v/>
      </c>
      <c r="BW50" s="74" t="str">
        <f>IF(BW8&gt;_xlfn.SINGLE(Analysis_Period),"",BW23)</f>
        <v/>
      </c>
      <c r="BX50" s="165"/>
      <c r="CA50" s="424" t="s">
        <v>79</v>
      </c>
      <c r="CB50" s="55" t="s">
        <v>1</v>
      </c>
      <c r="CC50" s="55" t="s">
        <v>1</v>
      </c>
      <c r="CD50" s="55" t="s">
        <v>1</v>
      </c>
      <c r="CE50" s="227">
        <f>C137</f>
        <v>0</v>
      </c>
      <c r="CF50" s="227">
        <v>0</v>
      </c>
      <c r="CG50" s="227">
        <v>0</v>
      </c>
      <c r="CH50" s="227">
        <v>0</v>
      </c>
      <c r="CI50" s="227">
        <v>0</v>
      </c>
      <c r="CJ50" s="227">
        <v>0</v>
      </c>
      <c r="CK50" s="227">
        <v>0</v>
      </c>
      <c r="CL50" s="227">
        <v>0</v>
      </c>
      <c r="CM50" s="227">
        <v>0</v>
      </c>
      <c r="CN50" s="227">
        <v>0</v>
      </c>
      <c r="CO50" s="227">
        <v>0</v>
      </c>
      <c r="CP50" s="176" t="s">
        <v>284</v>
      </c>
      <c r="CQ50" s="176" t="s">
        <v>285</v>
      </c>
      <c r="CR50" s="176" t="s">
        <v>285</v>
      </c>
      <c r="CS50" s="176" t="s">
        <v>284</v>
      </c>
      <c r="CT50" s="176" t="s">
        <v>284</v>
      </c>
    </row>
    <row r="51" spans="2:98">
      <c r="B51" s="264"/>
      <c r="C51" s="128"/>
      <c r="D51" s="128"/>
      <c r="E51" s="128"/>
      <c r="Z51" s="781"/>
      <c r="AA51" s="35" t="s">
        <v>618</v>
      </c>
      <c r="AB51" s="644" t="str">
        <f>B62</f>
        <v>- Mgmt (% of EGR)</v>
      </c>
      <c r="AC51" s="643"/>
      <c r="AD51" s="174" t="s">
        <v>619</v>
      </c>
      <c r="AE51" s="646"/>
      <c r="BC51" s="65"/>
      <c r="BD51" s="65"/>
      <c r="BE51" s="294"/>
      <c r="BF51" s="92" t="s">
        <v>216</v>
      </c>
      <c r="BG51" s="292"/>
      <c r="BH51" s="74">
        <f t="shared" ref="BH51:BR51" si="34">BH35</f>
        <v>0</v>
      </c>
      <c r="BI51" s="74">
        <f t="shared" ca="1" si="34"/>
        <v>960820.69598610222</v>
      </c>
      <c r="BJ51" s="74">
        <f t="shared" si="34"/>
        <v>926219.41510180361</v>
      </c>
      <c r="BK51" s="74">
        <f t="shared" si="34"/>
        <v>638798.79773428466</v>
      </c>
      <c r="BL51" s="74">
        <f t="shared" si="34"/>
        <v>-651709.54319517827</v>
      </c>
      <c r="BM51" s="74">
        <f t="shared" si="34"/>
        <v>804399.45938033529</v>
      </c>
      <c r="BN51" s="74">
        <f t="shared" si="34"/>
        <v>918306.71352268907</v>
      </c>
      <c r="BO51" s="74">
        <f t="shared" si="34"/>
        <v>866645.91588094225</v>
      </c>
      <c r="BP51" s="74">
        <f t="shared" si="34"/>
        <v>810530.55736444553</v>
      </c>
      <c r="BQ51" s="74">
        <f t="shared" si="34"/>
        <v>749530.25938854425</v>
      </c>
      <c r="BR51" s="74">
        <f t="shared" si="34"/>
        <v>683171.93247392599</v>
      </c>
      <c r="BS51" s="74" t="str">
        <f>IF(BS8&gt;_xlfn.SINGLE(Analysis_Period),"",BS35)</f>
        <v/>
      </c>
      <c r="BT51" s="74" t="str">
        <f>IF(BT8&gt;_xlfn.SINGLE(Analysis_Period),"",BT35)</f>
        <v/>
      </c>
      <c r="BU51" s="74" t="str">
        <f>IF(BU8&gt;_xlfn.SINGLE(Analysis_Period),"",BU35)</f>
        <v/>
      </c>
      <c r="BV51" s="74" t="str">
        <f>IF(BV8&gt;_xlfn.SINGLE(Analysis_Period),"",BV35)</f>
        <v/>
      </c>
      <c r="BW51" s="74" t="str">
        <f>IF(BW8&gt;_xlfn.SINGLE(Analysis_Period),"",BW35)</f>
        <v/>
      </c>
      <c r="BX51" s="165"/>
      <c r="CA51" s="424"/>
      <c r="CB51" s="55" t="s">
        <v>1</v>
      </c>
      <c r="CC51" s="55" t="s">
        <v>1</v>
      </c>
      <c r="CD51" s="55" t="s">
        <v>1</v>
      </c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176"/>
      <c r="CQ51" s="176"/>
      <c r="CR51" s="176"/>
      <c r="CS51" s="176"/>
      <c r="CT51" s="176"/>
    </row>
    <row r="52" spans="2:98">
      <c r="B52" s="150"/>
      <c r="C52" s="124"/>
      <c r="D52" s="124"/>
      <c r="E52" s="129"/>
      <c r="AA52" s="35"/>
      <c r="AB52" s="644"/>
      <c r="AC52" s="643"/>
      <c r="AD52" s="174"/>
      <c r="AE52" s="646"/>
      <c r="BC52" s="131"/>
      <c r="BD52" s="131"/>
      <c r="BE52" s="302"/>
      <c r="BF52" s="92" t="s">
        <v>292</v>
      </c>
      <c r="BG52" s="292"/>
      <c r="BH52" s="84">
        <f>(BH8&lt;=$D$10)*(BH8=$D$10)*BH44</f>
        <v>0</v>
      </c>
      <c r="BI52" s="84">
        <f ca="1">(BI8&lt;=$D$10)*(BI8=$D$10)*BI44</f>
        <v>0</v>
      </c>
      <c r="BJ52" s="84">
        <f>(BJ8&lt;=$D$10)*(BJ8=$D$10)*BJ44</f>
        <v>0</v>
      </c>
      <c r="BK52" s="84">
        <f>(BK8&lt;=$D$10)*(BK8=$D$10)*BK44</f>
        <v>0</v>
      </c>
      <c r="BL52" s="84">
        <f>(BL8&lt;=$D$10)*(BL8=$D$10)*BL44</f>
        <v>0</v>
      </c>
      <c r="BM52" s="84">
        <f>(BM8&lt;=$D$10)*(BM8=$D$10)*BM44</f>
        <v>0</v>
      </c>
      <c r="BN52" s="84">
        <f>(BN8&lt;=$D$10)*(BN8=$D$10)*BN44</f>
        <v>0</v>
      </c>
      <c r="BO52" s="84">
        <f>(BO8&lt;=$D$10)*(BO8=$D$10)*BO44</f>
        <v>0</v>
      </c>
      <c r="BP52" s="84">
        <f>(BP8&lt;=$D$10)*(BP8=$D$10)*BP44</f>
        <v>0</v>
      </c>
      <c r="BQ52" s="84">
        <f>(BQ8&lt;=$D$10)*(BQ8=$D$10)*BQ44</f>
        <v>0</v>
      </c>
      <c r="BR52" s="84">
        <f>(BR8&lt;=$D$10)*(BR8=$D$10)*BR44</f>
        <v>10054507.36339128</v>
      </c>
      <c r="BS52" s="84" t="str">
        <f>IF(BS8&gt;_xlfn.SINGLE(Analysis_Period),"",(BS8=_xlfn.SINGLE(Analysis_Period))*BS44)</f>
        <v/>
      </c>
      <c r="BT52" s="84" t="str">
        <f>IF(BT8&gt;_xlfn.SINGLE(Analysis_Period),"",(BT8=_xlfn.SINGLE(Analysis_Period))*BT44)</f>
        <v/>
      </c>
      <c r="BU52" s="84" t="str">
        <f>IF(BU8&gt;_xlfn.SINGLE(Analysis_Period),"",(BU8=_xlfn.SINGLE(Analysis_Period))*BU44)</f>
        <v/>
      </c>
      <c r="BV52" s="84" t="str">
        <f>IF(BV8&gt;_xlfn.SINGLE(Analysis_Period),"",(BV8=_xlfn.SINGLE(Analysis_Period))*BV44)</f>
        <v/>
      </c>
      <c r="BW52" s="84" t="str">
        <f>IF(BW8&gt;_xlfn.SINGLE(Analysis_Period),"",(BW8=_xlfn.SINGLE(Analysis_Period))*BW44)</f>
        <v/>
      </c>
      <c r="BX52" s="165"/>
      <c r="CA52" s="423" t="s">
        <v>80</v>
      </c>
      <c r="CB52" s="55" t="s">
        <v>1</v>
      </c>
      <c r="CC52" s="55" t="s">
        <v>1</v>
      </c>
      <c r="CD52" s="434"/>
      <c r="CE52" s="419">
        <f t="shared" ref="CE52:CO52" si="35">CE48-CE49-CE50</f>
        <v>-9477435.9429999981</v>
      </c>
      <c r="CF52" s="419">
        <f t="shared" ca="1" si="35"/>
        <v>102399.9119238751</v>
      </c>
      <c r="CG52" s="419">
        <f t="shared" si="35"/>
        <v>67798.631039576489</v>
      </c>
      <c r="CH52" s="419">
        <f t="shared" si="35"/>
        <v>-219621.98632794246</v>
      </c>
      <c r="CI52" s="419">
        <f t="shared" si="35"/>
        <v>-1510130.3272574055</v>
      </c>
      <c r="CJ52" s="419">
        <f t="shared" si="35"/>
        <v>-54021.324681891827</v>
      </c>
      <c r="CK52" s="419">
        <f t="shared" si="35"/>
        <v>59885.92946046195</v>
      </c>
      <c r="CL52" s="419">
        <f t="shared" si="35"/>
        <v>8225.1318187151337</v>
      </c>
      <c r="CM52" s="419">
        <f t="shared" si="35"/>
        <v>-47890.226697781589</v>
      </c>
      <c r="CN52" s="419">
        <f t="shared" si="35"/>
        <v>-108890.52467368287</v>
      </c>
      <c r="CO52" s="419">
        <f t="shared" si="35"/>
        <v>-2455230.0949737057</v>
      </c>
      <c r="CP52" s="178"/>
      <c r="CQ52" s="178" t="s">
        <v>61</v>
      </c>
      <c r="CR52" s="178" t="s">
        <v>61</v>
      </c>
      <c r="CS52" s="178" t="s">
        <v>61</v>
      </c>
      <c r="CT52" s="178" t="s">
        <v>61</v>
      </c>
    </row>
    <row r="53" spans="2:98">
      <c r="B53" s="110" t="s">
        <v>190</v>
      </c>
      <c r="C53" s="124">
        <v>-24131.084275599998</v>
      </c>
      <c r="D53" s="124">
        <v>-24561.7</v>
      </c>
      <c r="E53" s="125">
        <v>0</v>
      </c>
      <c r="AA53" s="35"/>
      <c r="AB53" s="644"/>
      <c r="AC53" s="643"/>
      <c r="AD53" s="174"/>
      <c r="AE53" s="646"/>
      <c r="BC53" s="131"/>
      <c r="BD53" s="131"/>
      <c r="BE53" s="302"/>
      <c r="BF53" s="103" t="s">
        <v>295</v>
      </c>
      <c r="BG53" s="292"/>
      <c r="BH53" s="74">
        <f t="shared" ref="BH53:BR53" si="36">-BH50+BH51+BH52</f>
        <v>-25248631.239999998</v>
      </c>
      <c r="BI53" s="74">
        <f t="shared" ca="1" si="36"/>
        <v>960820.69598610222</v>
      </c>
      <c r="BJ53" s="74">
        <f t="shared" si="36"/>
        <v>926219.41510180361</v>
      </c>
      <c r="BK53" s="74">
        <f t="shared" si="36"/>
        <v>638798.79773428466</v>
      </c>
      <c r="BL53" s="74">
        <f t="shared" si="36"/>
        <v>-651709.54319517827</v>
      </c>
      <c r="BM53" s="74">
        <f t="shared" si="36"/>
        <v>804399.45938033529</v>
      </c>
      <c r="BN53" s="74">
        <f t="shared" si="36"/>
        <v>918306.71352268907</v>
      </c>
      <c r="BO53" s="74">
        <f t="shared" si="36"/>
        <v>866645.91588094225</v>
      </c>
      <c r="BP53" s="74">
        <f t="shared" si="36"/>
        <v>810530.55736444553</v>
      </c>
      <c r="BQ53" s="74">
        <f t="shared" si="36"/>
        <v>749530.25938854425</v>
      </c>
      <c r="BR53" s="74">
        <f t="shared" si="36"/>
        <v>10737679.295865206</v>
      </c>
      <c r="BS53" s="74" t="str">
        <f>IF(BS8&gt;_xlfn.SINGLE(Analysis_Period),"",-BS50+BS51+BS52)</f>
        <v/>
      </c>
      <c r="BT53" s="74" t="str">
        <f>IF(BT8&gt;_xlfn.SINGLE(Analysis_Period),"",-BT50+BT51+BT52)</f>
        <v/>
      </c>
      <c r="BU53" s="74" t="str">
        <f>IF(BU8&gt;_xlfn.SINGLE(Analysis_Period),"",-BU50+BU51+BU52)</f>
        <v/>
      </c>
      <c r="BV53" s="74" t="str">
        <f>IF(BV8&gt;_xlfn.SINGLE(Analysis_Period),"",-BV50+BV51+BV52)</f>
        <v/>
      </c>
      <c r="BW53" s="74" t="str">
        <f>IF(BW8&gt;_xlfn.SINGLE(Analysis_Period),"",-BW50+BW51+BW52)</f>
        <v/>
      </c>
      <c r="BX53" s="165"/>
      <c r="CA53" s="253" t="s">
        <v>81</v>
      </c>
      <c r="CB53" s="55" t="s">
        <v>1</v>
      </c>
      <c r="CC53" s="55" t="s">
        <v>1</v>
      </c>
      <c r="CD53" s="55" t="s">
        <v>1</v>
      </c>
      <c r="CE53" s="177" t="e">
        <f ca="1">IRR(CE52:CT52)</f>
        <v>#NUM!</v>
      </c>
      <c r="CQ53" s="55" t="s">
        <v>1</v>
      </c>
      <c r="CR53" s="55" t="s">
        <v>1</v>
      </c>
      <c r="CS53" s="55" t="s">
        <v>1</v>
      </c>
      <c r="CT53" s="55" t="s">
        <v>1</v>
      </c>
    </row>
    <row r="54" spans="2:98">
      <c r="B54" s="447"/>
      <c r="C54" s="448"/>
      <c r="D54" s="448"/>
      <c r="E54" s="448"/>
      <c r="AA54" s="35"/>
      <c r="AB54" s="644"/>
      <c r="AC54" s="643"/>
      <c r="AD54" s="174"/>
      <c r="AE54" s="646"/>
      <c r="BC54" s="134"/>
      <c r="BD54" s="134"/>
      <c r="BE54" s="303"/>
      <c r="BF54" s="103"/>
      <c r="BG54" s="292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165"/>
      <c r="CA54" s="253" t="s">
        <v>27</v>
      </c>
      <c r="CB54" s="55" t="s">
        <v>1</v>
      </c>
      <c r="CC54" s="55" t="s">
        <v>1</v>
      </c>
      <c r="CD54" s="55" t="s">
        <v>1</v>
      </c>
      <c r="CE54" s="420">
        <f ca="1">SUMIF(CE52:CO52,"&gt;0")/-SUMIF(CE52:CO52,"&lt;0")</f>
        <v>1.7177670136943244E-2</v>
      </c>
      <c r="CF54" s="420"/>
      <c r="CI54" s="420"/>
      <c r="CK54" s="420"/>
      <c r="CQ54" s="55" t="s">
        <v>1</v>
      </c>
      <c r="CR54" s="55" t="s">
        <v>1</v>
      </c>
      <c r="CS54" s="55" t="s">
        <v>1</v>
      </c>
      <c r="CT54" s="55" t="s">
        <v>1</v>
      </c>
    </row>
    <row r="55" spans="2:98">
      <c r="B55" s="110" t="s">
        <v>200</v>
      </c>
      <c r="C55" s="126">
        <v>0</v>
      </c>
      <c r="D55" s="126">
        <v>0</v>
      </c>
      <c r="E55" s="127">
        <v>0</v>
      </c>
      <c r="AA55" s="35"/>
      <c r="AB55" s="644"/>
      <c r="AC55" s="643"/>
      <c r="AD55" s="174"/>
      <c r="AE55" s="646"/>
      <c r="BC55" s="134"/>
      <c r="BD55" s="134"/>
      <c r="BE55" s="303"/>
      <c r="BF55" s="103" t="s">
        <v>300</v>
      </c>
      <c r="BG55" s="292"/>
      <c r="BH55" s="108"/>
      <c r="BI55" s="108">
        <f ca="1">BI35/SUM($BH$23:BI23)</f>
        <v>3.8054367654747463E-2</v>
      </c>
      <c r="BJ55" s="108">
        <f>BJ35/SUM($BH$23:BJ23)</f>
        <v>3.668394560868099E-2</v>
      </c>
      <c r="BK55" s="108">
        <f>BK35/SUM($BH$23:BK23)</f>
        <v>2.530033377501555E-2</v>
      </c>
      <c r="BL55" s="108">
        <f>BL35/SUM($BH$23:BL23)</f>
        <v>-2.5811678146049802E-2</v>
      </c>
      <c r="BM55" s="108">
        <f>BM35/SUM($BH$23:BM23)</f>
        <v>3.1859131361781312E-2</v>
      </c>
      <c r="BN55" s="108">
        <f>BN35/SUM($BH$23:BN23)</f>
        <v>3.6370554300300721E-2</v>
      </c>
      <c r="BO55" s="108">
        <f>BO35/SUM($BH$23:BO23)</f>
        <v>3.4324471201748294E-2</v>
      </c>
      <c r="BP55" s="108">
        <f>BP35/SUM($BH$23:BP23)</f>
        <v>3.2101960286875557E-2</v>
      </c>
      <c r="BQ55" s="108">
        <f>BQ35/SUM($BH$23:BQ23)</f>
        <v>2.9685975935246155E-2</v>
      </c>
      <c r="BR55" s="108">
        <f>BR35/SUM($BH$23:BR23)</f>
        <v>2.7057780914143764E-2</v>
      </c>
      <c r="BS55" s="108" t="str">
        <f>IF(BT8="","",BS35/SUM($AY$22:BS23))</f>
        <v/>
      </c>
      <c r="BT55" s="108" t="str">
        <f>IF(BU8="","",BT35/SUM($AY$22:BT23))</f>
        <v/>
      </c>
      <c r="BU55" s="108" t="str">
        <f>IF(BV8="","",BU35/SUM($AY$22:BU23))</f>
        <v/>
      </c>
      <c r="BV55" s="108" t="str">
        <f>IF(BW8="","",BV35/SUM($AY$22:BV23))</f>
        <v/>
      </c>
      <c r="BW55" s="108" t="str">
        <f>IF(BX8="","",BW35/SUM($AY$22:BW23))</f>
        <v/>
      </c>
      <c r="BX55" s="165"/>
      <c r="CA55" s="253" t="s">
        <v>1</v>
      </c>
      <c r="CB55" s="55" t="s">
        <v>1</v>
      </c>
      <c r="CC55" s="55" t="s">
        <v>1</v>
      </c>
      <c r="CD55" s="55" t="s">
        <v>1</v>
      </c>
      <c r="CE55" s="421"/>
      <c r="CO55" s="421"/>
      <c r="CP55" s="55" t="s">
        <v>1</v>
      </c>
      <c r="CQ55" s="55" t="s">
        <v>1</v>
      </c>
      <c r="CR55" s="55" t="s">
        <v>1</v>
      </c>
      <c r="CS55" s="55" t="s">
        <v>1</v>
      </c>
      <c r="CT55" s="55" t="s">
        <v>1</v>
      </c>
    </row>
    <row r="56" spans="2:98">
      <c r="B56" s="263" t="s">
        <v>620</v>
      </c>
      <c r="C56" s="270">
        <v>0</v>
      </c>
      <c r="D56" s="270">
        <v>0</v>
      </c>
      <c r="E56" s="270">
        <v>0</v>
      </c>
      <c r="BC56" s="136"/>
      <c r="BD56" s="136"/>
      <c r="BE56" s="304"/>
      <c r="BF56" s="92" t="s">
        <v>205</v>
      </c>
      <c r="BG56" s="292"/>
      <c r="BH56" s="108"/>
      <c r="BI56" s="108">
        <f ca="1">AVERAGE(BI55)</f>
        <v>3.8054367654747463E-2</v>
      </c>
      <c r="BJ56" s="108">
        <f ca="1">AVERAGE(BI55:BJ55)</f>
        <v>3.7369156631714223E-2</v>
      </c>
      <c r="BK56" s="108">
        <f ca="1">AVERAGE(BI55:BK55)</f>
        <v>3.3346215679481331E-2</v>
      </c>
      <c r="BL56" s="108">
        <f ca="1">AVERAGE(BI55:BL55)</f>
        <v>1.8556742223098548E-2</v>
      </c>
      <c r="BM56" s="108">
        <f ca="1">AVERAGE(BI55:BM55)</f>
        <v>2.1217220050835102E-2</v>
      </c>
      <c r="BN56" s="108">
        <f ca="1">AVERAGE(BI55:BN55)</f>
        <v>2.3742775759079373E-2</v>
      </c>
      <c r="BO56" s="108">
        <f ca="1">AVERAGE(BI55:BO55)</f>
        <v>2.5254446536603501E-2</v>
      </c>
      <c r="BP56" s="108">
        <f ca="1">AVERAGE(BI55:BP55)</f>
        <v>2.6110385755387509E-2</v>
      </c>
      <c r="BQ56" s="108">
        <f ca="1">AVERAGE(BI55:BQ55)</f>
        <v>2.6507673553149581E-2</v>
      </c>
      <c r="BR56" s="108">
        <f ca="1">AVERAGE(BI55:BR55)</f>
        <v>2.6562684289248999E-2</v>
      </c>
      <c r="BS56" s="108" t="str">
        <f>IF(BT8="","",IF(BS55="","",AVERAGE($AZ$54:BS55)))</f>
        <v/>
      </c>
      <c r="BT56" s="108" t="str">
        <f>IF(BU8="","",IF(BT55="","",AVERAGE($AZ$54:BT55)))</f>
        <v/>
      </c>
      <c r="BU56" s="108" t="str">
        <f>IF(BV8="","",IF(BU55="","",AVERAGE($AZ$54:BU55)))</f>
        <v/>
      </c>
      <c r="BV56" s="108" t="str">
        <f>IF(BW8="","",IF(BV55="","",AVERAGE($AZ$54:BV55)))</f>
        <v/>
      </c>
      <c r="BW56" s="108" t="str">
        <f>IF(BX8="","",IF(BW55="","",AVERAGE($AZ$54:BW55)))</f>
        <v/>
      </c>
      <c r="BX56" s="165"/>
      <c r="CA56" s="239" t="s">
        <v>303</v>
      </c>
      <c r="CB56" s="240"/>
      <c r="CC56" s="240"/>
      <c r="CD56" s="240"/>
      <c r="CE56" s="240"/>
      <c r="CF56" s="240"/>
      <c r="CG56" s="240"/>
      <c r="CH56" s="240"/>
      <c r="CI56" s="240"/>
      <c r="CJ56" s="240"/>
      <c r="CK56" s="240"/>
      <c r="CL56" s="240"/>
      <c r="CM56" s="240"/>
      <c r="CN56" s="240"/>
      <c r="CO56" s="240"/>
      <c r="CP56" s="240"/>
      <c r="CQ56" s="240"/>
      <c r="CR56" s="240"/>
      <c r="CS56" s="240"/>
      <c r="CT56" s="240"/>
    </row>
    <row r="57" spans="2:98">
      <c r="B57" s="110" t="s">
        <v>214</v>
      </c>
      <c r="C57" s="125">
        <v>14478.65056536</v>
      </c>
      <c r="D57" s="125">
        <v>14737.02</v>
      </c>
      <c r="E57" s="125">
        <v>15000</v>
      </c>
      <c r="G57" s="435"/>
      <c r="BC57" s="136"/>
      <c r="BD57" s="136"/>
      <c r="BE57" s="304"/>
      <c r="BF57" s="103" t="s">
        <v>193</v>
      </c>
      <c r="BG57" s="291"/>
      <c r="BH57" s="108">
        <f ca="1">IRR(BH53:BW53)</f>
        <v>-4.7372985798895595E-2</v>
      </c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65"/>
      <c r="CA57" s="241" t="s">
        <v>305</v>
      </c>
      <c r="CB57" s="432">
        <f>D132</f>
        <v>0</v>
      </c>
      <c r="CC57" s="240"/>
      <c r="CD57" s="240"/>
      <c r="CE57" s="344" t="str">
        <f t="shared" ref="CE57:CO57" si="37">CE46</f>
        <v>Year 0</v>
      </c>
      <c r="CF57" s="344" t="str">
        <f t="shared" si="37"/>
        <v>Year 1</v>
      </c>
      <c r="CG57" s="344" t="str">
        <f t="shared" si="37"/>
        <v>Year 2</v>
      </c>
      <c r="CH57" s="344" t="str">
        <f t="shared" si="37"/>
        <v>Year 3</v>
      </c>
      <c r="CI57" s="344" t="str">
        <f t="shared" si="37"/>
        <v>Year 4</v>
      </c>
      <c r="CJ57" s="344" t="str">
        <f t="shared" si="37"/>
        <v>Year 5</v>
      </c>
      <c r="CK57" s="344" t="str">
        <f t="shared" si="37"/>
        <v>Year 6</v>
      </c>
      <c r="CL57" s="344" t="str">
        <f t="shared" si="37"/>
        <v>Year 7</v>
      </c>
      <c r="CM57" s="344" t="str">
        <f t="shared" si="37"/>
        <v>Year 8</v>
      </c>
      <c r="CN57" s="344" t="str">
        <f t="shared" si="37"/>
        <v>Year 9</v>
      </c>
      <c r="CO57" s="344" t="str">
        <f t="shared" si="37"/>
        <v>Year 10</v>
      </c>
      <c r="CP57" s="200" t="s">
        <v>1</v>
      </c>
      <c r="CQ57" s="242" t="str">
        <f>CQ$30</f>
        <v> </v>
      </c>
      <c r="CR57" s="242" t="str">
        <f>CR$30</f>
        <v> </v>
      </c>
      <c r="CS57" s="242" t="str">
        <f>CS$30</f>
        <v> </v>
      </c>
      <c r="CT57" s="242" t="str">
        <f>CT$30</f>
        <v> </v>
      </c>
    </row>
    <row r="58" spans="2:98">
      <c r="B58" s="110" t="s">
        <v>218</v>
      </c>
      <c r="C58" s="125">
        <v>62740.81911656</v>
      </c>
      <c r="D58" s="125">
        <v>63860.42</v>
      </c>
      <c r="E58" s="125">
        <v>65000</v>
      </c>
      <c r="G58" s="435"/>
      <c r="AA58" s="253"/>
      <c r="AB58" s="253"/>
      <c r="AC58" s="253"/>
      <c r="AE58" s="233"/>
      <c r="BC58" s="73"/>
      <c r="BD58" s="73"/>
      <c r="BE58" s="295"/>
      <c r="BF58" s="103" t="s">
        <v>199</v>
      </c>
      <c r="BG58" s="292"/>
      <c r="BH58" s="139">
        <f ca="1">SUMIF(BH53:BW53,"&gt;0")/-SUMIF(BH53:BW53,"&lt;0")</f>
        <v>0.67230509652298942</v>
      </c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65"/>
      <c r="CA58" s="253" t="s">
        <v>306</v>
      </c>
      <c r="CE58" s="235"/>
      <c r="CF58" s="235">
        <f>CE63</f>
        <v>0</v>
      </c>
      <c r="CG58" s="235">
        <f t="shared" ref="CG58:CP58" si="38">CF63</f>
        <v>0</v>
      </c>
      <c r="CH58" s="235">
        <f t="shared" si="38"/>
        <v>0</v>
      </c>
      <c r="CI58" s="235">
        <f t="shared" si="38"/>
        <v>0</v>
      </c>
      <c r="CJ58" s="235">
        <f t="shared" si="38"/>
        <v>0</v>
      </c>
      <c r="CK58" s="235">
        <f t="shared" si="38"/>
        <v>0</v>
      </c>
      <c r="CL58" s="235">
        <f t="shared" si="38"/>
        <v>0</v>
      </c>
      <c r="CM58" s="235">
        <f t="shared" si="38"/>
        <v>0</v>
      </c>
      <c r="CN58" s="235">
        <f t="shared" si="38"/>
        <v>0</v>
      </c>
      <c r="CO58" s="235">
        <f t="shared" si="38"/>
        <v>0</v>
      </c>
      <c r="CP58" s="235">
        <f t="shared" si="38"/>
        <v>0</v>
      </c>
    </row>
    <row r="59" spans="2:98">
      <c r="B59" s="110" t="s">
        <v>223</v>
      </c>
      <c r="C59" s="125">
        <v>72393.252826800002</v>
      </c>
      <c r="D59" s="125">
        <v>73685.100000000006</v>
      </c>
      <c r="E59" s="125">
        <v>75000</v>
      </c>
      <c r="G59" s="435">
        <f>(D59/$D$22)*SUM($R$98:$R$101)</f>
        <v>73685.100000000006</v>
      </c>
      <c r="AA59" s="450" t="s">
        <v>281</v>
      </c>
      <c r="AB59" s="450" t="s">
        <v>1</v>
      </c>
      <c r="AC59" s="451" t="s">
        <v>11</v>
      </c>
      <c r="AE59" s="35"/>
      <c r="AH59" s="58"/>
      <c r="AI59" s="265"/>
      <c r="AJ59" s="61"/>
      <c r="AK59" s="403"/>
      <c r="AL59" s="85"/>
      <c r="AM59" s="85"/>
      <c r="AN59" s="85"/>
      <c r="AO59" s="140"/>
      <c r="AP59" s="141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386"/>
      <c r="BC59" s="65"/>
      <c r="BD59" s="65"/>
      <c r="BE59" s="294"/>
      <c r="BF59" s="103"/>
      <c r="BG59" s="292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9"/>
      <c r="BU59" s="119"/>
      <c r="BV59" s="119"/>
      <c r="BW59" s="119"/>
      <c r="BX59" s="165"/>
      <c r="CA59" s="253" t="s">
        <v>307</v>
      </c>
      <c r="CE59" s="55" t="b">
        <f>ROUND(SUM(CF61:CP61),0)=ROUND(SUM(CF59:CP59),0)</f>
        <v>1</v>
      </c>
      <c r="CF59" s="55">
        <f>CF60 - CF65</f>
        <v>0</v>
      </c>
      <c r="CG59" s="55">
        <f>CG60 - CG65</f>
        <v>0</v>
      </c>
      <c r="CH59" s="55">
        <f t="shared" ref="CH59:CP59" si="39">CH60 - CH65</f>
        <v>0</v>
      </c>
      <c r="CI59" s="55">
        <f t="shared" si="39"/>
        <v>0</v>
      </c>
      <c r="CJ59" s="55">
        <f t="shared" si="39"/>
        <v>0</v>
      </c>
      <c r="CK59" s="55">
        <f t="shared" si="39"/>
        <v>0</v>
      </c>
      <c r="CL59" s="55">
        <f t="shared" si="39"/>
        <v>0</v>
      </c>
      <c r="CM59" s="55">
        <f t="shared" si="39"/>
        <v>0</v>
      </c>
      <c r="CN59" s="55">
        <f t="shared" si="39"/>
        <v>0</v>
      </c>
      <c r="CO59" s="55">
        <f t="shared" si="39"/>
        <v>0</v>
      </c>
      <c r="CP59" s="55">
        <f t="shared" si="39"/>
        <v>0</v>
      </c>
    </row>
    <row r="60" spans="2:98">
      <c r="B60" s="110" t="s">
        <v>225</v>
      </c>
      <c r="C60" s="125">
        <v>91698.120247280007</v>
      </c>
      <c r="D60" s="125">
        <v>93334.46</v>
      </c>
      <c r="E60" s="125">
        <v>95000</v>
      </c>
      <c r="G60" s="435"/>
      <c r="AA60" s="452" t="s">
        <v>4</v>
      </c>
      <c r="AB60" s="452" t="s">
        <v>1</v>
      </c>
      <c r="AC60" s="453">
        <f>D142</f>
        <v>0</v>
      </c>
      <c r="AE60" s="35"/>
      <c r="AH60" s="58"/>
      <c r="AI60" s="143"/>
      <c r="AJ60" s="61"/>
      <c r="AK60" s="413"/>
      <c r="AL60" s="603"/>
      <c r="AM60" s="603"/>
      <c r="AN60" s="85"/>
      <c r="AO60" s="140"/>
      <c r="AP60" s="141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396"/>
      <c r="BC60" s="145"/>
      <c r="BD60" s="145"/>
      <c r="BE60" s="305"/>
      <c r="BF60" s="106" t="s">
        <v>308</v>
      </c>
      <c r="BG60" s="292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9"/>
      <c r="BU60" s="119"/>
      <c r="BV60" s="119"/>
      <c r="BW60" s="119"/>
      <c r="BX60" s="165"/>
      <c r="CA60" s="253" t="s">
        <v>309</v>
      </c>
      <c r="CF60" s="435">
        <f>($CB$57="Equity Multiple")*(CE61*$C$120 - CE61) + ($CB$57&lt;&gt;"Equity Multiple")*(H121*$C$120)</f>
        <v>0</v>
      </c>
    </row>
    <row r="61" spans="2:98">
      <c r="B61" s="110" t="s">
        <v>231</v>
      </c>
      <c r="C61" s="125">
        <v>82045.686537040005</v>
      </c>
      <c r="D61" s="125">
        <v>83509.78</v>
      </c>
      <c r="E61" s="125">
        <v>85000</v>
      </c>
      <c r="F61" s="152"/>
      <c r="G61" s="435"/>
      <c r="AA61" s="452" t="s">
        <v>286</v>
      </c>
      <c r="AB61" s="452" t="s">
        <v>1</v>
      </c>
      <c r="AC61" s="454">
        <f>D144</f>
        <v>0</v>
      </c>
      <c r="AE61" s="35"/>
      <c r="AH61" s="58"/>
      <c r="AI61" s="143"/>
      <c r="AJ61" s="61"/>
      <c r="AK61" s="413"/>
      <c r="AL61" s="85"/>
      <c r="AM61" s="85"/>
      <c r="AN61" s="85"/>
      <c r="AO61" s="140"/>
      <c r="AP61" s="141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396"/>
      <c r="BC61" s="145"/>
      <c r="BD61" s="145"/>
      <c r="BE61" s="305"/>
      <c r="BF61" s="92" t="s">
        <v>163</v>
      </c>
      <c r="BG61" s="292"/>
      <c r="BH61" s="74">
        <f t="shared" ref="BH61:BR61" si="40">BH23-BH28</f>
        <v>9477435.9429999981</v>
      </c>
      <c r="BI61" s="74">
        <f t="shared" si="40"/>
        <v>0</v>
      </c>
      <c r="BJ61" s="74">
        <f t="shared" si="40"/>
        <v>0</v>
      </c>
      <c r="BK61" s="74">
        <f t="shared" si="40"/>
        <v>0</v>
      </c>
      <c r="BL61" s="74">
        <f t="shared" si="40"/>
        <v>0</v>
      </c>
      <c r="BM61" s="74">
        <f t="shared" si="40"/>
        <v>0</v>
      </c>
      <c r="BN61" s="74">
        <f t="shared" si="40"/>
        <v>0</v>
      </c>
      <c r="BO61" s="74">
        <f t="shared" si="40"/>
        <v>0</v>
      </c>
      <c r="BP61" s="74">
        <f t="shared" si="40"/>
        <v>0</v>
      </c>
      <c r="BQ61" s="74">
        <f t="shared" si="40"/>
        <v>0</v>
      </c>
      <c r="BR61" s="74">
        <f t="shared" si="40"/>
        <v>0</v>
      </c>
      <c r="BS61" s="74"/>
      <c r="BT61" s="74" t="str">
        <f>IF(BT8&gt;_xlfn.SINGLE(Analysis_Period),"",BT23-BT28)</f>
        <v/>
      </c>
      <c r="BU61" s="74" t="str">
        <f>IF(BU8&gt;_xlfn.SINGLE(Analysis_Period),"",BU23-BU28)</f>
        <v/>
      </c>
      <c r="BV61" s="74" t="str">
        <f>IF(BV8&gt;_xlfn.SINGLE(Analysis_Period),"",BV23-BV28)</f>
        <v/>
      </c>
      <c r="BW61" s="74" t="str">
        <f>IF(BW8&gt;_xlfn.SINGLE(Analysis_Period),"",BW23-BW28)</f>
        <v/>
      </c>
      <c r="BX61" s="165"/>
      <c r="CA61" s="253" t="s">
        <v>311</v>
      </c>
      <c r="CE61" s="435">
        <f>(CE57&lt;&gt;"") * -MIN(0, CE52 * $C$126)</f>
        <v>0</v>
      </c>
    </row>
    <row r="62" spans="2:98">
      <c r="B62" s="110" t="s">
        <v>236</v>
      </c>
      <c r="C62" s="146">
        <v>63313.344471732002</v>
      </c>
      <c r="D62" s="146">
        <v>65255.252999999997</v>
      </c>
      <c r="E62" s="124">
        <v>68445</v>
      </c>
      <c r="F62" s="762"/>
      <c r="G62" s="435"/>
      <c r="AA62" s="452" t="s">
        <v>287</v>
      </c>
      <c r="AB62" s="452" t="s">
        <v>1</v>
      </c>
      <c r="AC62" s="454">
        <f>D145</f>
        <v>0</v>
      </c>
      <c r="AE62" s="35"/>
      <c r="AH62" s="58"/>
      <c r="AI62" s="143"/>
      <c r="AJ62" s="61"/>
      <c r="AK62" s="413"/>
      <c r="AL62" s="85"/>
      <c r="AM62" s="85"/>
      <c r="AN62" s="85"/>
      <c r="AO62" s="140"/>
      <c r="AP62" s="141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396"/>
      <c r="BC62" s="145"/>
      <c r="BD62" s="145"/>
      <c r="BE62" s="305"/>
      <c r="BF62" s="92" t="s">
        <v>216</v>
      </c>
      <c r="BG62" s="292"/>
      <c r="BH62" s="74">
        <f>BH38</f>
        <v>0</v>
      </c>
      <c r="BI62" s="74">
        <f ca="1">BI38</f>
        <v>102399.9119238751</v>
      </c>
      <c r="BJ62" s="74">
        <f t="shared" ref="BJ62:BW62" si="41">BJ38</f>
        <v>67798.631039576489</v>
      </c>
      <c r="BK62" s="74">
        <f t="shared" si="41"/>
        <v>-219621.98632794246</v>
      </c>
      <c r="BL62" s="74">
        <f>BL38</f>
        <v>-1510130.3272574055</v>
      </c>
      <c r="BM62" s="74">
        <f t="shared" si="41"/>
        <v>-54021.324681891827</v>
      </c>
      <c r="BN62" s="74">
        <f t="shared" si="41"/>
        <v>59885.92946046195</v>
      </c>
      <c r="BO62" s="74">
        <f t="shared" si="41"/>
        <v>8225.1318187151337</v>
      </c>
      <c r="BP62" s="74">
        <f t="shared" si="41"/>
        <v>-47890.226697781589</v>
      </c>
      <c r="BQ62" s="74">
        <f t="shared" si="41"/>
        <v>-108890.52467368287</v>
      </c>
      <c r="BR62" s="74">
        <f t="shared" si="41"/>
        <v>-175248.85158830113</v>
      </c>
      <c r="BS62" s="74"/>
      <c r="BT62" s="74" t="str">
        <f t="shared" si="41"/>
        <v/>
      </c>
      <c r="BU62" s="74">
        <f t="shared" si="41"/>
        <v>0</v>
      </c>
      <c r="BV62" s="74" t="str">
        <f t="shared" si="41"/>
        <v/>
      </c>
      <c r="BW62" s="74" t="str">
        <f t="shared" si="41"/>
        <v/>
      </c>
      <c r="BX62" s="165"/>
      <c r="CA62" s="253" t="s">
        <v>313</v>
      </c>
    </row>
    <row r="63" spans="2:98">
      <c r="B63" s="110" t="s">
        <v>239</v>
      </c>
      <c r="C63" s="125">
        <v>33783.517985840001</v>
      </c>
      <c r="D63" s="125">
        <v>34386.379999999997</v>
      </c>
      <c r="E63" s="125">
        <v>35000</v>
      </c>
      <c r="F63" s="152"/>
      <c r="G63" s="435"/>
      <c r="AA63" s="452" t="s">
        <v>289</v>
      </c>
      <c r="AB63" s="452" t="s">
        <v>1</v>
      </c>
      <c r="AC63" s="454">
        <f>D146</f>
        <v>0</v>
      </c>
      <c r="AE63" s="35"/>
      <c r="AH63" s="58"/>
      <c r="AI63" s="143"/>
      <c r="AJ63" s="61"/>
      <c r="AK63" s="413"/>
      <c r="AL63" s="85"/>
      <c r="AM63" s="85"/>
      <c r="AN63" s="85"/>
      <c r="AO63" s="140"/>
      <c r="AP63" s="141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396"/>
      <c r="BC63" s="145"/>
      <c r="BD63" s="145"/>
      <c r="BE63" s="305"/>
      <c r="BF63" s="92" t="s">
        <v>292</v>
      </c>
      <c r="BG63" s="292"/>
      <c r="BH63" s="148">
        <f>((BH8=$D$10)*(BH44-BH47))*(BH8&lt;=$D$10)</f>
        <v>0</v>
      </c>
      <c r="BI63" s="148">
        <f ca="1">((BI8=$D$10)*(BI44-BI47))*(BI8&lt;=$D$10)</f>
        <v>0</v>
      </c>
      <c r="BJ63" s="148">
        <f>((BJ8=$D$10)*(BJ44-BJ47))*(BJ8&lt;=$D$10)</f>
        <v>0</v>
      </c>
      <c r="BK63" s="148">
        <f>((BK8=$D$10)*(BK44-BK47))*(BK8&lt;=$D$10)</f>
        <v>0</v>
      </c>
      <c r="BL63" s="148">
        <f>((BL8=$D$10)*(BL44-BL47))*(BL8&lt;=$D$10)</f>
        <v>0</v>
      </c>
      <c r="BM63" s="148">
        <f>((BM8=$D$10)*(BM44-BM47))*(BM8&lt;=$D$10)</f>
        <v>0</v>
      </c>
      <c r="BN63" s="148">
        <f>((BN8=$D$10)*(BN44-BN47))*(BN8&lt;=$D$10)</f>
        <v>0</v>
      </c>
      <c r="BO63" s="148">
        <f>((BO8=$D$10)*(BO44-BO47))*(BO8&lt;=$D$10)</f>
        <v>0</v>
      </c>
      <c r="BP63" s="148">
        <f>((BP8=$D$10)*(BP44-BP47))*(BP8&lt;=$D$10)</f>
        <v>0</v>
      </c>
      <c r="BQ63" s="148">
        <f>((BQ8=$D$10)*(BQ44-BQ47))*(BQ8&lt;=$D$10)</f>
        <v>0</v>
      </c>
      <c r="BR63" s="148">
        <f>((BR8=$D$10)*(BR44-BR47))*(BR8&lt;=$D$10)</f>
        <v>-2279981.2433854043</v>
      </c>
      <c r="BS63" s="84"/>
      <c r="BT63" s="84" t="str">
        <f>IF(BT8&gt;_xlfn.SINGLE(Analysis_Period),"",(BT8=_xlfn.SINGLE(Analysis_Period))*(BT44-BT47))</f>
        <v/>
      </c>
      <c r="BU63" s="84" t="str">
        <f>IF(BU8&gt;_xlfn.SINGLE(Analysis_Period),"",(BU8=_xlfn.SINGLE(Analysis_Period))*(BU44-BU47))</f>
        <v/>
      </c>
      <c r="BV63" s="84" t="str">
        <f>IF(BV8&gt;_xlfn.SINGLE(Analysis_Period),"",(BV8=_xlfn.SINGLE(Analysis_Period))*(BV44-BV47))</f>
        <v/>
      </c>
      <c r="BW63" s="84" t="str">
        <f>IF(BW8&gt;_xlfn.SINGLE(Analysis_Period),"",(BW8=_xlfn.SINGLE(Analysis_Period))*(BW44-BW47))</f>
        <v/>
      </c>
      <c r="BX63" s="165"/>
      <c r="CA63" s="253" t="s">
        <v>314</v>
      </c>
    </row>
    <row r="64" spans="2:98">
      <c r="B64" s="110" t="s">
        <v>244</v>
      </c>
      <c r="C64" s="149">
        <v>241315.668972855</v>
      </c>
      <c r="D64" s="149">
        <v>245621.91234000001</v>
      </c>
      <c r="E64" s="149">
        <v>250005</v>
      </c>
      <c r="F64" s="763"/>
      <c r="G64" s="435">
        <f>(D64/$D$22)*SUM($R$98:$R$101)</f>
        <v>245621.91233999998</v>
      </c>
      <c r="AA64" s="452" t="s">
        <v>27</v>
      </c>
      <c r="AB64" s="452" t="s">
        <v>1</v>
      </c>
      <c r="AC64" s="455">
        <f>D133</f>
        <v>0</v>
      </c>
      <c r="AE64" s="35"/>
      <c r="AH64" s="58"/>
      <c r="AI64" s="243"/>
      <c r="AJ64" s="61"/>
      <c r="AK64" s="413"/>
      <c r="AL64" s="85"/>
      <c r="AM64" s="85"/>
      <c r="AN64" s="85"/>
      <c r="AO64" s="140"/>
      <c r="AP64" s="141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396"/>
      <c r="BC64" s="145"/>
      <c r="BD64" s="145"/>
      <c r="BE64" s="305"/>
      <c r="BF64" s="103" t="s">
        <v>295</v>
      </c>
      <c r="BG64" s="292"/>
      <c r="BH64" s="74">
        <f>-BH61-BH62-BH63</f>
        <v>-9477435.9429999981</v>
      </c>
      <c r="BI64" s="74">
        <f t="shared" ref="BI64:BR64" ca="1" si="42">SUM(BI61:BI63)</f>
        <v>102399.9119238751</v>
      </c>
      <c r="BJ64" s="74">
        <f t="shared" si="42"/>
        <v>67798.631039576489</v>
      </c>
      <c r="BK64" s="74">
        <f t="shared" si="42"/>
        <v>-219621.98632794246</v>
      </c>
      <c r="BL64" s="74">
        <f t="shared" si="42"/>
        <v>-1510130.3272574055</v>
      </c>
      <c r="BM64" s="74">
        <f t="shared" si="42"/>
        <v>-54021.324681891827</v>
      </c>
      <c r="BN64" s="74">
        <f t="shared" si="42"/>
        <v>59885.92946046195</v>
      </c>
      <c r="BO64" s="74">
        <f t="shared" si="42"/>
        <v>8225.1318187151337</v>
      </c>
      <c r="BP64" s="74">
        <f t="shared" si="42"/>
        <v>-47890.226697781589</v>
      </c>
      <c r="BQ64" s="74">
        <f t="shared" si="42"/>
        <v>-108890.52467368287</v>
      </c>
      <c r="BR64" s="74">
        <f t="shared" si="42"/>
        <v>-2455230.0949737057</v>
      </c>
      <c r="BS64" s="74"/>
      <c r="BT64" s="74" t="str">
        <f>IF(BT8&gt;_xlfn.SINGLE(Analysis_Period),"",-BT61+BT62+BT63)</f>
        <v/>
      </c>
      <c r="BU64" s="74" t="str">
        <f>IF(BU8&gt;_xlfn.SINGLE(Analysis_Period),"",-BU61+BU62+BU63)</f>
        <v/>
      </c>
      <c r="BV64" s="74" t="str">
        <f>IF(BV8&gt;_xlfn.SINGLE(Analysis_Period),"",-BV61+BV62+BV63)</f>
        <v/>
      </c>
      <c r="BW64" s="74" t="str">
        <f>IF(BW8&gt;_xlfn.SINGLE(Analysis_Period),"",-BW61+BW62+BW63)</f>
        <v/>
      </c>
      <c r="BX64" s="165"/>
      <c r="CA64" s="433" t="str">
        <f>IF(CC22="Equity Multiple", "LP EMx Check","LP IRR Check")</f>
        <v>LP IRR Check</v>
      </c>
    </row>
    <row r="65" spans="2:98">
      <c r="B65" s="150" t="s">
        <v>224</v>
      </c>
      <c r="C65" s="124"/>
      <c r="D65" s="124"/>
      <c r="E65" s="125"/>
      <c r="F65" s="152"/>
      <c r="AA65" s="450" t="s">
        <v>281</v>
      </c>
      <c r="AB65" s="452"/>
      <c r="AC65" s="451" t="s">
        <v>297</v>
      </c>
      <c r="AE65" s="35"/>
      <c r="AH65" s="165"/>
      <c r="AI65" s="165"/>
      <c r="AJ65" s="165"/>
      <c r="AK65" s="397"/>
      <c r="AL65" s="244"/>
      <c r="AM65" s="244"/>
      <c r="AN65" s="165"/>
      <c r="AO65" s="165"/>
      <c r="AP65" s="244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397"/>
      <c r="BC65" s="245"/>
      <c r="BD65" s="245"/>
      <c r="BE65" s="165"/>
      <c r="BF65" s="103"/>
      <c r="BG65" s="292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165"/>
      <c r="CA65" s="253" t="s">
        <v>315</v>
      </c>
    </row>
    <row r="66" spans="2:98">
      <c r="B66" s="165"/>
      <c r="C66" s="227"/>
      <c r="D66" s="227"/>
      <c r="E66" s="246"/>
      <c r="F66" s="246"/>
      <c r="AA66" s="452" t="s">
        <v>4</v>
      </c>
      <c r="AB66" s="452"/>
      <c r="AC66" s="453">
        <f>G142</f>
        <v>0</v>
      </c>
      <c r="AE66" s="35"/>
      <c r="AH66" s="165"/>
      <c r="AI66" s="165"/>
      <c r="AJ66" s="165"/>
      <c r="AK66" s="398"/>
      <c r="AL66" s="247"/>
      <c r="AM66" s="247"/>
      <c r="AN66" s="165"/>
      <c r="AO66" s="165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398"/>
      <c r="BC66" s="247"/>
      <c r="BD66" s="247"/>
      <c r="BE66" s="165"/>
      <c r="BF66" s="103" t="s">
        <v>316</v>
      </c>
      <c r="BG66" s="292"/>
      <c r="BH66" s="108"/>
      <c r="BI66" s="108">
        <f ca="1">(BI8 &lt;= D10) * (BI38 / (SUM($BH$23:BI23) - SUM($BH$28:BI28)))</f>
        <v>1.0804600794955235E-2</v>
      </c>
      <c r="BJ66" s="108">
        <f t="shared" ref="BJ66:BR66" si="43">(BJ38-BJ37)/($BH$23-$BH$28)</f>
        <v>7.1536891884405006E-3</v>
      </c>
      <c r="BK66" s="108">
        <f t="shared" si="43"/>
        <v>-2.3173143838566855E-2</v>
      </c>
      <c r="BL66" s="108">
        <f t="shared" si="43"/>
        <v>-0.15933954461309577</v>
      </c>
      <c r="BM66" s="108">
        <f t="shared" si="43"/>
        <v>-5.6999936487876551E-3</v>
      </c>
      <c r="BN66" s="108">
        <f t="shared" si="43"/>
        <v>6.3187902108368769E-3</v>
      </c>
      <c r="BO66" s="108">
        <f t="shared" si="43"/>
        <v>8.6786467016853729E-4</v>
      </c>
      <c r="BP66" s="108">
        <f t="shared" si="43"/>
        <v>-5.0530783838378928E-3</v>
      </c>
      <c r="BQ66" s="108">
        <f t="shared" si="43"/>
        <v>-1.1489449818345545E-2</v>
      </c>
      <c r="BR66" s="108">
        <f t="shared" si="43"/>
        <v>-1.849116708804973E-2</v>
      </c>
      <c r="BS66" s="108"/>
      <c r="BT66" s="108" t="str">
        <f>IF(BT8&gt;_xlfn.SINGLE(Analysis_Period),"",BT38/(SUM($AY$22:BT23)-SUM($AY$26:BT28)))</f>
        <v/>
      </c>
      <c r="BU66" s="108" t="str">
        <f>IF(BU8&gt;_xlfn.SINGLE(Analysis_Period),"",BU38/(SUM($AY$22:BU23)-SUM($AY$26:BU28)))</f>
        <v/>
      </c>
      <c r="BV66" s="108" t="str">
        <f>IF(BV8&gt;_xlfn.SINGLE(Analysis_Period),"",BV38/(SUM($AY$22:BV23)-SUM($AY$26:BV28)))</f>
        <v/>
      </c>
      <c r="BW66" s="108" t="str">
        <f>IF(BW8&gt;_xlfn.SINGLE(Analysis_Period),"",BW38/(SUM($AY$22:BW23)-SUM($AY$26:BW28)))</f>
        <v/>
      </c>
      <c r="BX66" s="165"/>
      <c r="CA66" s="253"/>
    </row>
    <row r="67" spans="2:98">
      <c r="B67" s="165"/>
      <c r="C67" s="227"/>
      <c r="D67" s="227"/>
      <c r="AA67" s="452" t="s">
        <v>286</v>
      </c>
      <c r="AB67" s="452"/>
      <c r="AC67" s="454">
        <f>G143</f>
        <v>0</v>
      </c>
      <c r="AV67" s="165"/>
      <c r="AW67" s="165"/>
      <c r="AX67" s="165"/>
      <c r="AY67" s="165"/>
      <c r="AZ67" s="165"/>
      <c r="BA67" s="165"/>
      <c r="BB67" s="381"/>
      <c r="BC67" s="165"/>
      <c r="BD67" s="165"/>
      <c r="BE67" s="165"/>
      <c r="BF67" s="92" t="s">
        <v>221</v>
      </c>
      <c r="BG67" s="292"/>
      <c r="BH67" s="108"/>
      <c r="BI67" s="108">
        <f ca="1">AVERAGE(BI66)</f>
        <v>1.0804600794955235E-2</v>
      </c>
      <c r="BJ67" s="108">
        <f ca="1">AVERAGE(BI66:BJ66)</f>
        <v>8.9791449916978676E-3</v>
      </c>
      <c r="BK67" s="108">
        <f ca="1">AVERAGE(BI66:BK66)</f>
        <v>-1.7382846183903733E-3</v>
      </c>
      <c r="BL67" s="108">
        <f ca="1">AVERAGE(BI66:BL66)</f>
        <v>-4.1138599617066722E-2</v>
      </c>
      <c r="BM67" s="108">
        <f ca="1">AVERAGE(BI66:BM66)</f>
        <v>-3.405087842341091E-2</v>
      </c>
      <c r="BN67" s="108">
        <f ca="1">AVERAGE(BI66:BN66)</f>
        <v>-2.7322600317702946E-2</v>
      </c>
      <c r="BO67" s="108">
        <f ca="1">AVERAGE(BI66:BO66)</f>
        <v>-2.3295391033721306E-2</v>
      </c>
      <c r="BP67" s="108">
        <f ca="1">AVERAGE(BI66:BP66)</f>
        <v>-2.101510195248588E-2</v>
      </c>
      <c r="BQ67" s="108">
        <f ca="1">AVERAGE(BI66:BQ66)</f>
        <v>-1.9956696159803621E-2</v>
      </c>
      <c r="BR67" s="108">
        <f ca="1">AVERAGE(BI66:BR66)</f>
        <v>-1.9810143252628233E-2</v>
      </c>
      <c r="BS67" s="108" t="str">
        <f>IF(BS8&gt;_xlfn.SINGLE(Analysis_Period),"",AVERAGE($AY$65:BS66))</f>
        <v/>
      </c>
      <c r="BT67" s="108" t="str">
        <f>IF(BT8&gt;_xlfn.SINGLE(Analysis_Period),"",AVERAGE($AY$65:BT66))</f>
        <v/>
      </c>
      <c r="BU67" s="108" t="str">
        <f>IF(BU8&gt;_xlfn.SINGLE(Analysis_Period),"",AVERAGE($AY$65:BU66))</f>
        <v/>
      </c>
      <c r="BV67" s="108" t="str">
        <f>IF(BV8&gt;_xlfn.SINGLE(Analysis_Period),"",AVERAGE($AY$65:BV66))</f>
        <v/>
      </c>
      <c r="BW67" s="108" t="str">
        <f>IF(BW8&gt;_xlfn.SINGLE(Analysis_Period),"",AVERAGE($AY$65:BW66))</f>
        <v/>
      </c>
      <c r="BX67" s="165"/>
      <c r="CA67" s="253" t="s">
        <v>317</v>
      </c>
    </row>
    <row r="68" spans="2:98">
      <c r="B68" s="231"/>
      <c r="C68" s="231" t="s">
        <v>46</v>
      </c>
      <c r="D68" s="231" t="s">
        <v>129</v>
      </c>
      <c r="E68" s="248" t="s">
        <v>130</v>
      </c>
      <c r="F68" s="248"/>
      <c r="G68" s="598" t="s">
        <v>47</v>
      </c>
      <c r="H68" s="249">
        <v>2</v>
      </c>
      <c r="I68" s="249">
        <v>3</v>
      </c>
      <c r="J68" s="249">
        <v>4</v>
      </c>
      <c r="K68" s="249">
        <v>5</v>
      </c>
      <c r="L68" s="249">
        <v>6</v>
      </c>
      <c r="M68" s="249">
        <v>7</v>
      </c>
      <c r="N68" s="249">
        <v>8</v>
      </c>
      <c r="O68" s="249">
        <v>9</v>
      </c>
      <c r="P68" s="249">
        <v>10</v>
      </c>
      <c r="Q68" s="249">
        <v>11</v>
      </c>
      <c r="R68" s="249">
        <v>12</v>
      </c>
      <c r="S68" s="249">
        <v>13</v>
      </c>
      <c r="T68" s="249">
        <v>14</v>
      </c>
      <c r="U68" s="249">
        <v>15</v>
      </c>
      <c r="AA68" s="452" t="s">
        <v>287</v>
      </c>
      <c r="AB68" s="452"/>
      <c r="AC68" s="454">
        <f>G144</f>
        <v>0</v>
      </c>
      <c r="AV68" s="771"/>
      <c r="AW68" s="771"/>
      <c r="AX68" s="771"/>
      <c r="AY68" s="768"/>
      <c r="AZ68" s="768"/>
      <c r="BA68" s="768"/>
      <c r="BB68" s="769"/>
      <c r="BC68" s="768"/>
      <c r="BD68" s="768"/>
      <c r="BE68" s="165"/>
      <c r="BF68" s="103" t="s">
        <v>81</v>
      </c>
      <c r="BG68" s="291"/>
      <c r="BH68" s="108" t="e">
        <f ca="1">IRR(BH64:BW64)</f>
        <v>#NUM!</v>
      </c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65"/>
      <c r="CA68" s="253" t="s">
        <v>318</v>
      </c>
    </row>
    <row r="69" spans="2:98">
      <c r="B69" s="110" t="s">
        <v>263</v>
      </c>
      <c r="C69" s="124">
        <v>0</v>
      </c>
      <c r="D69" s="124">
        <v>0</v>
      </c>
      <c r="E69" s="124">
        <v>0</v>
      </c>
      <c r="F69" s="124"/>
      <c r="G69" s="271"/>
      <c r="H69" s="124">
        <v>0</v>
      </c>
      <c r="I69" s="124">
        <v>0</v>
      </c>
      <c r="J69" s="124">
        <v>1250000</v>
      </c>
      <c r="K69" s="124">
        <v>0</v>
      </c>
      <c r="L69" s="124">
        <v>0</v>
      </c>
      <c r="M69" s="124">
        <v>0</v>
      </c>
      <c r="N69" s="124">
        <v>0</v>
      </c>
      <c r="O69" s="124">
        <v>0</v>
      </c>
      <c r="P69" s="124">
        <v>0</v>
      </c>
      <c r="Q69" s="124">
        <v>0</v>
      </c>
      <c r="R69" s="270"/>
      <c r="S69" s="270"/>
      <c r="T69" s="154"/>
      <c r="U69" s="154"/>
      <c r="AA69" s="452" t="s">
        <v>289</v>
      </c>
      <c r="AB69" s="452"/>
      <c r="AC69" s="454">
        <f>G145</f>
        <v>0</v>
      </c>
      <c r="AV69" s="768"/>
      <c r="AW69" s="768"/>
      <c r="AX69" s="768"/>
      <c r="AY69" s="768"/>
      <c r="AZ69" s="768"/>
      <c r="BA69" s="768"/>
      <c r="BB69" s="769"/>
      <c r="BC69" s="768"/>
      <c r="BD69" s="768"/>
      <c r="BE69" s="165"/>
      <c r="BF69" s="103" t="s">
        <v>217</v>
      </c>
      <c r="BG69" s="292"/>
      <c r="BH69" s="139">
        <f ca="1">SUMIF(BH64:BW64,"&gt;0")/-SUMIF(BH64:BW64,"&lt;0")</f>
        <v>1.7177670136943244E-2</v>
      </c>
      <c r="BI69" s="139"/>
      <c r="BJ69" s="139"/>
      <c r="BK69" s="139"/>
      <c r="BL69" s="139"/>
      <c r="BM69" s="139"/>
      <c r="BN69" s="139"/>
      <c r="BO69" s="139"/>
      <c r="BP69" s="139"/>
      <c r="BQ69" s="139"/>
      <c r="BR69" s="139"/>
      <c r="BS69" s="139"/>
      <c r="BT69" s="139"/>
      <c r="BU69" s="139"/>
      <c r="BV69" s="139"/>
      <c r="BW69" s="139"/>
      <c r="BX69" s="165"/>
      <c r="CA69" s="253" t="s">
        <v>319</v>
      </c>
    </row>
    <row r="70" spans="2:98">
      <c r="B70" s="110" t="s">
        <v>269</v>
      </c>
      <c r="C70" s="124">
        <v>0</v>
      </c>
      <c r="D70" s="124">
        <v>0</v>
      </c>
      <c r="E70" s="124">
        <v>0</v>
      </c>
      <c r="F70" s="124"/>
      <c r="G70" s="272"/>
      <c r="H70" s="124">
        <v>0</v>
      </c>
      <c r="I70" s="124">
        <v>0</v>
      </c>
      <c r="J70" s="124">
        <v>250000</v>
      </c>
      <c r="K70" s="124">
        <v>0</v>
      </c>
      <c r="L70" s="124">
        <v>0</v>
      </c>
      <c r="M70" s="124">
        <v>0</v>
      </c>
      <c r="N70" s="124">
        <v>0</v>
      </c>
      <c r="O70" s="124">
        <v>0</v>
      </c>
      <c r="P70" s="124">
        <v>0</v>
      </c>
      <c r="Q70" s="124">
        <v>0</v>
      </c>
      <c r="R70" s="270"/>
      <c r="S70" s="270"/>
      <c r="T70" s="270"/>
      <c r="U70" s="270"/>
      <c r="AA70" s="452" t="s">
        <v>27</v>
      </c>
      <c r="AB70" s="452"/>
      <c r="AC70" s="455">
        <f>G146</f>
        <v>0</v>
      </c>
      <c r="AV70" s="768"/>
      <c r="AW70" s="768"/>
      <c r="AX70" s="768"/>
      <c r="AY70" s="768"/>
      <c r="AZ70" s="768"/>
      <c r="BA70" s="768"/>
      <c r="BB70" s="769"/>
      <c r="BC70" s="768"/>
      <c r="BD70" s="768"/>
      <c r="BE70" s="165"/>
      <c r="BF70" s="103"/>
      <c r="BG70" s="292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9"/>
      <c r="BU70" s="119"/>
      <c r="BV70" s="119"/>
      <c r="BW70" s="119"/>
      <c r="BX70" s="165"/>
      <c r="CA70" s="253" t="s">
        <v>321</v>
      </c>
    </row>
    <row r="71" spans="2:98">
      <c r="B71" s="110" t="s">
        <v>272</v>
      </c>
      <c r="C71" s="124">
        <v>24131.084275599998</v>
      </c>
      <c r="D71" s="124">
        <v>24561.7</v>
      </c>
      <c r="E71" s="124">
        <v>25000</v>
      </c>
      <c r="F71" s="124"/>
      <c r="G71" s="273"/>
      <c r="H71" s="126">
        <v>0</v>
      </c>
      <c r="I71" s="126">
        <v>0</v>
      </c>
      <c r="J71" s="126"/>
      <c r="K71" s="126"/>
      <c r="L71" s="126"/>
      <c r="M71" s="126"/>
      <c r="N71" s="126"/>
      <c r="O71" s="126"/>
      <c r="P71" s="126"/>
      <c r="Q71" s="126"/>
      <c r="R71" s="270"/>
      <c r="S71" s="270"/>
      <c r="T71" s="270"/>
      <c r="U71" s="270"/>
      <c r="AA71" s="253"/>
      <c r="AB71" s="253"/>
      <c r="AC71" s="253"/>
      <c r="AV71" s="768"/>
      <c r="AW71" s="768"/>
      <c r="AX71" s="768"/>
      <c r="AY71" s="768"/>
      <c r="AZ71" s="768"/>
      <c r="BA71" s="768"/>
      <c r="BB71" s="769"/>
      <c r="BC71" s="768"/>
      <c r="BD71" s="768"/>
      <c r="BE71" s="165"/>
      <c r="BF71" s="103" t="s">
        <v>322</v>
      </c>
      <c r="BG71" s="292"/>
      <c r="BH71" s="139"/>
      <c r="BI71" s="139">
        <f t="shared" ref="BI71:BR71" ca="1" si="44">BI33/BI36</f>
        <v>1.1484119609977195</v>
      </c>
      <c r="BJ71" s="139">
        <f t="shared" si="44"/>
        <v>1.1086863607822586</v>
      </c>
      <c r="BK71" s="139">
        <f t="shared" si="44"/>
        <v>1.0656880806231388</v>
      </c>
      <c r="BL71" s="139">
        <f t="shared" si="44"/>
        <v>1.0191047013854755</v>
      </c>
      <c r="BM71" s="139">
        <f t="shared" si="44"/>
        <v>0.96859288453582293</v>
      </c>
      <c r="BN71" s="139">
        <f t="shared" si="44"/>
        <v>1.1019173244227041</v>
      </c>
      <c r="BO71" s="139">
        <f t="shared" si="44"/>
        <v>1.0423792072323332</v>
      </c>
      <c r="BP71" s="139">
        <f t="shared" si="44"/>
        <v>0.97766470085239721</v>
      </c>
      <c r="BQ71" s="139">
        <f t="shared" si="44"/>
        <v>0.90727270165576979</v>
      </c>
      <c r="BR71" s="139">
        <f t="shared" si="44"/>
        <v>0.83065235596368625</v>
      </c>
      <c r="BS71" s="139" t="str">
        <f t="shared" ref="BS71:BW71" si="45">IFERROR(BS33/BS36,"")</f>
        <v/>
      </c>
      <c r="BT71" s="139" t="str">
        <f t="shared" si="45"/>
        <v/>
      </c>
      <c r="BU71" s="139" t="str">
        <f t="shared" si="45"/>
        <v/>
      </c>
      <c r="BV71" s="139" t="str">
        <f t="shared" si="45"/>
        <v/>
      </c>
      <c r="BW71" s="139" t="str">
        <f t="shared" si="45"/>
        <v/>
      </c>
      <c r="BX71" s="165"/>
      <c r="CA71" s="253" t="s">
        <v>323</v>
      </c>
    </row>
    <row r="72" spans="2:98">
      <c r="B72" s="110" t="s">
        <v>276</v>
      </c>
      <c r="C72" s="126">
        <v>0</v>
      </c>
      <c r="D72" s="126">
        <v>0</v>
      </c>
      <c r="E72" s="126">
        <v>0</v>
      </c>
      <c r="F72" s="126"/>
      <c r="G72" s="270"/>
      <c r="H72" s="126">
        <v>0</v>
      </c>
      <c r="I72" s="126">
        <v>250000</v>
      </c>
      <c r="J72" s="126">
        <v>0</v>
      </c>
      <c r="K72" s="126">
        <v>0</v>
      </c>
      <c r="L72" s="126">
        <v>0</v>
      </c>
      <c r="M72" s="126">
        <v>0</v>
      </c>
      <c r="N72" s="126">
        <v>0</v>
      </c>
      <c r="O72" s="126">
        <v>0</v>
      </c>
      <c r="P72" s="126">
        <v>0</v>
      </c>
      <c r="Q72" s="126">
        <v>0</v>
      </c>
      <c r="R72" s="270"/>
      <c r="S72" s="270"/>
      <c r="T72" s="270"/>
      <c r="U72" s="270"/>
      <c r="AA72" s="260"/>
      <c r="AB72" s="266"/>
      <c r="AC72" s="266"/>
      <c r="AD72" s="198"/>
      <c r="AV72" s="768"/>
      <c r="AW72" s="768"/>
      <c r="AX72" s="768"/>
      <c r="AY72" s="768"/>
      <c r="AZ72" s="768"/>
      <c r="BA72" s="768"/>
      <c r="BB72" s="769"/>
      <c r="BC72" s="768"/>
      <c r="BD72" s="768"/>
      <c r="BE72" s="165"/>
      <c r="BF72" s="103" t="s">
        <v>324</v>
      </c>
      <c r="BG72" s="292"/>
      <c r="BH72" s="108"/>
      <c r="BI72" s="108">
        <f t="shared" ref="BI72:BR72" ca="1" si="46">(BI33/BI47)</f>
        <v>6.3093438710007194E-2</v>
      </c>
      <c r="BJ72" s="108">
        <f t="shared" si="46"/>
        <v>6.2170672218443294E-2</v>
      </c>
      <c r="BK72" s="108">
        <f t="shared" si="46"/>
        <v>6.1067405470019168E-2</v>
      </c>
      <c r="BL72" s="108">
        <f t="shared" si="46"/>
        <v>5.9752284240223427E-2</v>
      </c>
      <c r="BM72" s="108">
        <f t="shared" si="46"/>
        <v>5.8188051358111795E-2</v>
      </c>
      <c r="BN72" s="108">
        <f t="shared" si="46"/>
        <v>6.7928377672976922E-2</v>
      </c>
      <c r="BO72" s="108">
        <f t="shared" si="46"/>
        <v>6.6046469860501333E-2</v>
      </c>
      <c r="BP72" s="108">
        <f t="shared" si="46"/>
        <v>6.3784386216460945E-2</v>
      </c>
      <c r="BQ72" s="108">
        <f t="shared" si="46"/>
        <v>6.1068628688615019E-2</v>
      </c>
      <c r="BR72" s="108">
        <f t="shared" si="46"/>
        <v>5.7809388732803058E-2</v>
      </c>
      <c r="BS72" s="108" t="str">
        <f t="shared" ref="BS72:BW72" si="47">IFERROR(BS33/BS47,"")</f>
        <v/>
      </c>
      <c r="BT72" s="108" t="str">
        <f t="shared" si="47"/>
        <v/>
      </c>
      <c r="BU72" s="108" t="str">
        <f t="shared" si="47"/>
        <v/>
      </c>
      <c r="BV72" s="108" t="str">
        <f t="shared" si="47"/>
        <v/>
      </c>
      <c r="BW72" s="108" t="str">
        <f t="shared" si="47"/>
        <v/>
      </c>
      <c r="BX72" s="165"/>
      <c r="CA72" s="433" t="str">
        <f>IF(CC22="Equity Multiple", "GP EMx Check","GP IRR Check")</f>
        <v>GP IRR Check</v>
      </c>
    </row>
    <row r="73" spans="2:98">
      <c r="B73" s="150"/>
      <c r="C73" s="155"/>
      <c r="D73" s="155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AA73" s="260" t="s">
        <v>312</v>
      </c>
      <c r="AB73" s="260"/>
      <c r="AC73" s="147" t="str">
        <f>"/"&amp;D9</f>
        <v>/SF</v>
      </c>
      <c r="AD73" s="198"/>
      <c r="AF73" s="187"/>
      <c r="AV73" s="768"/>
      <c r="AW73" s="768"/>
      <c r="AX73" s="768"/>
      <c r="AY73" s="768"/>
      <c r="AZ73" s="768"/>
      <c r="BA73" s="768"/>
      <c r="BB73" s="769"/>
      <c r="BC73" s="768"/>
      <c r="BD73" s="768"/>
      <c r="BE73" s="165"/>
      <c r="BF73" s="103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165"/>
      <c r="CA73" s="253"/>
    </row>
    <row r="74" spans="2:98">
      <c r="B74" s="263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AA74" s="67" t="s">
        <v>161</v>
      </c>
      <c r="AB74" s="260"/>
      <c r="AC74" s="69">
        <f>E48/$D$22</f>
        <v>0</v>
      </c>
      <c r="AD74" s="198"/>
      <c r="AV74" s="165"/>
      <c r="AW74" s="165"/>
      <c r="AX74" s="165"/>
      <c r="AY74" s="165"/>
      <c r="AZ74" s="165"/>
      <c r="BA74" s="165"/>
      <c r="BB74" s="381"/>
      <c r="BC74" s="165"/>
      <c r="BD74" s="165"/>
      <c r="BE74" s="165"/>
      <c r="BF74" s="267" t="s">
        <v>325</v>
      </c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65"/>
      <c r="CA74" s="253" t="str">
        <f>"Total Distributions ("&amp;CA56&amp;")"</f>
        <v>Total Distributions (Tier 1 - Preferred Return + Return of Capital)</v>
      </c>
    </row>
    <row r="75" spans="2:98">
      <c r="B75" s="264" t="s">
        <v>326</v>
      </c>
      <c r="C75" s="94"/>
      <c r="D75" s="94"/>
      <c r="E75" s="274"/>
      <c r="F75" s="274"/>
      <c r="G75" s="270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232"/>
      <c r="W75" s="232"/>
      <c r="AA75" s="67" t="s">
        <v>167</v>
      </c>
      <c r="AB75" s="260"/>
      <c r="AC75" s="69">
        <f>E49/$D$22</f>
        <v>0</v>
      </c>
      <c r="AD75" s="198"/>
      <c r="AV75" s="771"/>
      <c r="AW75" s="771"/>
      <c r="AX75" s="771"/>
      <c r="AY75" s="768"/>
      <c r="AZ75" s="768"/>
      <c r="BA75" s="768"/>
      <c r="BB75" s="769"/>
      <c r="BC75" s="768"/>
      <c r="BD75" s="768"/>
      <c r="BE75" s="165"/>
      <c r="BF75" s="268" t="s">
        <v>327</v>
      </c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165"/>
      <c r="CA75" s="253" t="s">
        <v>328</v>
      </c>
    </row>
    <row r="76" spans="2:98">
      <c r="B76" s="110" t="s">
        <v>329</v>
      </c>
      <c r="C76" s="275"/>
      <c r="D76" s="270"/>
      <c r="E76" s="270"/>
      <c r="F76" s="270"/>
      <c r="G76" s="270"/>
      <c r="H76" s="46">
        <v>0.1</v>
      </c>
      <c r="I76" s="46">
        <v>0.1</v>
      </c>
      <c r="J76" s="46">
        <v>0.1</v>
      </c>
      <c r="K76" s="46">
        <v>0.1</v>
      </c>
      <c r="L76" s="46">
        <v>0.1</v>
      </c>
      <c r="M76" s="46">
        <v>0.1</v>
      </c>
      <c r="N76" s="46">
        <v>0.1</v>
      </c>
      <c r="O76" s="46">
        <v>0.1</v>
      </c>
      <c r="P76" s="46">
        <v>0.1</v>
      </c>
      <c r="Q76" s="46">
        <v>0.1</v>
      </c>
      <c r="R76" s="46">
        <v>0.1</v>
      </c>
      <c r="S76" s="46">
        <v>0.1</v>
      </c>
      <c r="T76" s="46">
        <v>0.1</v>
      </c>
      <c r="U76" s="46">
        <v>0.1</v>
      </c>
      <c r="V76" s="250"/>
      <c r="W76" s="250"/>
      <c r="AA76" s="67" t="s">
        <v>173</v>
      </c>
      <c r="AB76" s="260"/>
      <c r="AC76" s="69">
        <f>E50/$D$22</f>
        <v>2</v>
      </c>
      <c r="AD76" s="198"/>
      <c r="AV76" s="768"/>
      <c r="AW76" s="768"/>
      <c r="AX76" s="768"/>
      <c r="AY76" s="768"/>
      <c r="AZ76" s="768"/>
      <c r="BA76" s="768"/>
      <c r="BB76" s="769"/>
      <c r="BC76" s="768"/>
      <c r="BD76" s="768"/>
      <c r="BE76" s="165"/>
      <c r="BF76" s="66" t="s">
        <v>330</v>
      </c>
      <c r="BG76" s="59"/>
      <c r="BH76" s="157">
        <f>IF(BH$52="","",BH$7)</f>
        <v>0</v>
      </c>
      <c r="BI76" s="157">
        <f t="shared" ref="BI76:BR76" si="48">BI8</f>
        <v>1</v>
      </c>
      <c r="BJ76" s="157">
        <f t="shared" si="48"/>
        <v>2</v>
      </c>
      <c r="BK76" s="157">
        <f t="shared" si="48"/>
        <v>3</v>
      </c>
      <c r="BL76" s="157">
        <f t="shared" si="48"/>
        <v>4</v>
      </c>
      <c r="BM76" s="157">
        <f t="shared" si="48"/>
        <v>5</v>
      </c>
      <c r="BN76" s="157">
        <f t="shared" si="48"/>
        <v>6</v>
      </c>
      <c r="BO76" s="157">
        <f t="shared" si="48"/>
        <v>7</v>
      </c>
      <c r="BP76" s="157">
        <f t="shared" si="48"/>
        <v>8</v>
      </c>
      <c r="BQ76" s="157">
        <f t="shared" si="48"/>
        <v>9</v>
      </c>
      <c r="BR76" s="157">
        <f t="shared" si="48"/>
        <v>10</v>
      </c>
      <c r="BS76" s="65" t="str">
        <f>IF(BS$52="","",BS$7)</f>
        <v/>
      </c>
      <c r="BT76" s="65" t="str">
        <f>IF(BT$52="","",BT$7)</f>
        <v/>
      </c>
      <c r="BU76" s="65" t="str">
        <f>IF(BU$52="","",BU$7)</f>
        <v/>
      </c>
      <c r="BV76" s="65" t="str">
        <f>IF(BV$52="","",BV$7)</f>
        <v/>
      </c>
      <c r="BW76" s="65" t="str">
        <f>IF(BW$52="","",BW$7)</f>
        <v/>
      </c>
      <c r="BX76" s="165"/>
    </row>
    <row r="77" spans="2:98">
      <c r="B77" s="110" t="s">
        <v>331</v>
      </c>
      <c r="C77" s="275"/>
      <c r="D77" s="270"/>
      <c r="E77" s="270"/>
      <c r="F77" s="270"/>
      <c r="G77" s="270"/>
      <c r="H77" s="46">
        <v>0</v>
      </c>
      <c r="I77" s="46">
        <v>0</v>
      </c>
      <c r="J77" s="46">
        <v>0</v>
      </c>
      <c r="K77" s="46">
        <v>0</v>
      </c>
      <c r="L77" s="46">
        <v>0.1</v>
      </c>
      <c r="M77" s="46">
        <v>0</v>
      </c>
      <c r="N77" s="46">
        <v>0</v>
      </c>
      <c r="O77" s="46">
        <v>0</v>
      </c>
      <c r="P77" s="46">
        <v>0</v>
      </c>
      <c r="Q77" s="46">
        <v>0.1</v>
      </c>
      <c r="R77" s="46">
        <v>0</v>
      </c>
      <c r="S77" s="46">
        <v>0</v>
      </c>
      <c r="T77" s="46">
        <v>0</v>
      </c>
      <c r="U77" s="46">
        <v>0</v>
      </c>
      <c r="V77" s="250"/>
      <c r="W77" s="250"/>
      <c r="AA77" s="106" t="s">
        <v>180</v>
      </c>
      <c r="AB77" s="260"/>
      <c r="AC77" s="153">
        <f>E51/$D$22</f>
        <v>0</v>
      </c>
      <c r="AD77" s="198"/>
      <c r="AV77" s="768"/>
      <c r="AW77" s="768"/>
      <c r="AX77" s="768"/>
      <c r="AY77" s="768"/>
      <c r="AZ77" s="768"/>
      <c r="BA77" s="768"/>
      <c r="BB77" s="769"/>
      <c r="BC77" s="768"/>
      <c r="BD77" s="768"/>
      <c r="BE77" s="165"/>
      <c r="BF77" s="103" t="s">
        <v>4</v>
      </c>
      <c r="BG77" s="59"/>
      <c r="BH77" s="59"/>
      <c r="BI77" s="136" t="str">
        <f t="shared" ref="BI77:BW77" ca="1" si="49">IF(BI76="","",IFERROR(IRR(BI78:BI93),""))</f>
        <v/>
      </c>
      <c r="BJ77" s="136" t="str">
        <f t="shared" si="49"/>
        <v/>
      </c>
      <c r="BK77" s="136" t="str">
        <f t="shared" si="49"/>
        <v/>
      </c>
      <c r="BL77" s="136">
        <f t="shared" si="49"/>
        <v>-0.25286960949439119</v>
      </c>
      <c r="BM77" s="136" t="str">
        <f t="shared" si="49"/>
        <v/>
      </c>
      <c r="BN77" s="136" t="str">
        <f t="shared" si="49"/>
        <v/>
      </c>
      <c r="BO77" s="136" t="str">
        <f t="shared" si="49"/>
        <v/>
      </c>
      <c r="BP77" s="136" t="str">
        <f t="shared" si="49"/>
        <v/>
      </c>
      <c r="BQ77" s="136" t="str">
        <f t="shared" si="49"/>
        <v/>
      </c>
      <c r="BR77" s="136" t="str">
        <f t="shared" si="49"/>
        <v/>
      </c>
      <c r="BS77" s="136" t="str">
        <f t="shared" si="49"/>
        <v/>
      </c>
      <c r="BT77" s="136" t="str">
        <f t="shared" si="49"/>
        <v/>
      </c>
      <c r="BU77" s="136" t="str">
        <f t="shared" si="49"/>
        <v/>
      </c>
      <c r="BV77" s="136" t="str">
        <f t="shared" si="49"/>
        <v/>
      </c>
      <c r="BW77" s="136" t="str">
        <f t="shared" si="49"/>
        <v/>
      </c>
      <c r="BX77" s="165"/>
      <c r="CA77" s="431" t="s">
        <v>332</v>
      </c>
      <c r="CB77" s="240"/>
      <c r="CC77" s="240"/>
      <c r="CD77" s="240"/>
      <c r="CE77" s="344" t="str">
        <f t="shared" ref="CE77:CT77" si="50">CE57</f>
        <v>Year 0</v>
      </c>
      <c r="CF77" s="344" t="str">
        <f t="shared" si="50"/>
        <v>Year 1</v>
      </c>
      <c r="CG77" s="344" t="str">
        <f t="shared" si="50"/>
        <v>Year 2</v>
      </c>
      <c r="CH77" s="344" t="str">
        <f t="shared" si="50"/>
        <v>Year 3</v>
      </c>
      <c r="CI77" s="344" t="str">
        <f t="shared" si="50"/>
        <v>Year 4</v>
      </c>
      <c r="CJ77" s="344" t="str">
        <f t="shared" si="50"/>
        <v>Year 5</v>
      </c>
      <c r="CK77" s="344" t="str">
        <f t="shared" si="50"/>
        <v>Year 6</v>
      </c>
      <c r="CL77" s="344" t="str">
        <f t="shared" si="50"/>
        <v>Year 7</v>
      </c>
      <c r="CM77" s="344" t="str">
        <f t="shared" si="50"/>
        <v>Year 8</v>
      </c>
      <c r="CN77" s="344" t="str">
        <f t="shared" si="50"/>
        <v>Year 9</v>
      </c>
      <c r="CO77" s="344" t="str">
        <f t="shared" si="50"/>
        <v>Year 10</v>
      </c>
      <c r="CP77" s="344" t="str">
        <f t="shared" si="50"/>
        <v> </v>
      </c>
      <c r="CQ77" s="344" t="str">
        <f t="shared" si="50"/>
        <v> </v>
      </c>
      <c r="CR77" s="344" t="str">
        <f t="shared" si="50"/>
        <v> </v>
      </c>
      <c r="CS77" s="344" t="str">
        <f t="shared" si="50"/>
        <v> </v>
      </c>
      <c r="CT77" s="344" t="str">
        <f t="shared" si="50"/>
        <v> </v>
      </c>
    </row>
    <row r="78" spans="2:98">
      <c r="B78" s="110" t="s">
        <v>333</v>
      </c>
      <c r="C78" s="275"/>
      <c r="D78" s="270"/>
      <c r="E78" s="270"/>
      <c r="F78" s="270"/>
      <c r="G78" s="270"/>
      <c r="H78" s="46">
        <v>0.02</v>
      </c>
      <c r="I78" s="46">
        <v>0.02</v>
      </c>
      <c r="J78" s="46">
        <v>0.02</v>
      </c>
      <c r="K78" s="46">
        <v>0.02</v>
      </c>
      <c r="L78" s="46">
        <v>0.02</v>
      </c>
      <c r="M78" s="46">
        <v>0.02</v>
      </c>
      <c r="N78" s="46">
        <v>0.02</v>
      </c>
      <c r="O78" s="46">
        <v>0.02</v>
      </c>
      <c r="P78" s="46">
        <v>0.02</v>
      </c>
      <c r="Q78" s="46">
        <v>0.02</v>
      </c>
      <c r="R78" s="46">
        <v>0.02</v>
      </c>
      <c r="S78" s="46">
        <v>0.02</v>
      </c>
      <c r="T78" s="46">
        <v>0.02</v>
      </c>
      <c r="U78" s="46">
        <v>0.02</v>
      </c>
      <c r="V78" s="250"/>
      <c r="W78" s="250"/>
      <c r="AA78" s="103"/>
      <c r="AB78" s="260"/>
      <c r="AC78" s="69"/>
      <c r="AD78" s="198"/>
      <c r="AV78" s="768"/>
      <c r="AW78" s="768"/>
      <c r="AX78" s="768"/>
      <c r="AY78" s="768"/>
      <c r="AZ78" s="768"/>
      <c r="BA78" s="768"/>
      <c r="BB78" s="769"/>
      <c r="BC78" s="768"/>
      <c r="BD78" s="768"/>
      <c r="BE78" s="165"/>
      <c r="BF78" s="256">
        <f>BH76</f>
        <v>0</v>
      </c>
      <c r="BG78" s="56"/>
      <c r="BH78" s="73">
        <f t="shared" ref="BH78:BH88" si="51">$BH$53</f>
        <v>-25248631.239999998</v>
      </c>
      <c r="BI78" s="71"/>
      <c r="BJ78" s="71" t="str">
        <f t="shared" ref="BJ78:BW93" si="52">IF(OR(BJ$75="",$AV78=""),"",(BJ$75&lt;=$AV78)*(-BJ$22+BJ$34)+(BJ$75=$AV78)*BJ$43)</f>
        <v/>
      </c>
      <c r="BK78" s="71" t="str">
        <f t="shared" si="52"/>
        <v/>
      </c>
      <c r="BL78" s="71" t="str">
        <f t="shared" si="52"/>
        <v/>
      </c>
      <c r="BM78" s="71" t="str">
        <f t="shared" si="52"/>
        <v/>
      </c>
      <c r="BN78" s="71" t="str">
        <f t="shared" si="52"/>
        <v/>
      </c>
      <c r="BO78" s="71" t="str">
        <f t="shared" si="52"/>
        <v/>
      </c>
      <c r="BP78" s="71" t="str">
        <f t="shared" si="52"/>
        <v/>
      </c>
      <c r="BQ78" s="71" t="str">
        <f t="shared" si="52"/>
        <v/>
      </c>
      <c r="BR78" s="71" t="str">
        <f t="shared" si="52"/>
        <v/>
      </c>
      <c r="BS78" s="71" t="str">
        <f t="shared" si="52"/>
        <v/>
      </c>
      <c r="BT78" s="71" t="str">
        <f t="shared" si="52"/>
        <v/>
      </c>
      <c r="BU78" s="71" t="str">
        <f t="shared" si="52"/>
        <v/>
      </c>
      <c r="BV78" s="71" t="str">
        <f t="shared" si="52"/>
        <v/>
      </c>
      <c r="BW78" s="71" t="str">
        <f t="shared" si="52"/>
        <v/>
      </c>
      <c r="BX78" s="165"/>
      <c r="CA78" s="428" t="s">
        <v>305</v>
      </c>
      <c r="CB78" s="251" t="str">
        <f>CB28</f>
        <v> </v>
      </c>
    </row>
    <row r="79" spans="2:98">
      <c r="B79" s="110" t="s">
        <v>334</v>
      </c>
      <c r="C79" s="275"/>
      <c r="D79" s="270"/>
      <c r="E79" s="270"/>
      <c r="F79" s="270"/>
      <c r="G79" s="270"/>
      <c r="H79" s="46">
        <v>0.03</v>
      </c>
      <c r="I79" s="46">
        <v>0.03</v>
      </c>
      <c r="J79" s="46">
        <v>0.03</v>
      </c>
      <c r="K79" s="46">
        <v>0.03</v>
      </c>
      <c r="L79" s="46">
        <v>0.03</v>
      </c>
      <c r="M79" s="46">
        <v>0.03</v>
      </c>
      <c r="N79" s="46">
        <v>0.03</v>
      </c>
      <c r="O79" s="46">
        <v>0.03</v>
      </c>
      <c r="P79" s="46">
        <v>0.03</v>
      </c>
      <c r="Q79" s="46">
        <v>0.03</v>
      </c>
      <c r="R79" s="46">
        <v>0.03</v>
      </c>
      <c r="S79" s="46">
        <v>0.03</v>
      </c>
      <c r="T79" s="46">
        <v>0.03</v>
      </c>
      <c r="U79" s="46">
        <v>0.03</v>
      </c>
      <c r="V79" s="250"/>
      <c r="W79" s="250"/>
      <c r="AA79" s="67" t="s">
        <v>190</v>
      </c>
      <c r="AB79" s="260"/>
      <c r="AC79" s="69">
        <f>E53/$D$22</f>
        <v>0</v>
      </c>
      <c r="AD79" s="198"/>
      <c r="AV79" s="768"/>
      <c r="AW79" s="768"/>
      <c r="AX79" s="768"/>
      <c r="AY79" s="768"/>
      <c r="AZ79" s="768"/>
      <c r="BA79" s="768"/>
      <c r="BB79" s="769"/>
      <c r="BC79" s="768"/>
      <c r="BD79" s="768"/>
      <c r="BE79" s="165"/>
      <c r="BF79" s="256">
        <f>BI76</f>
        <v>1</v>
      </c>
      <c r="BG79" s="136">
        <f ca="1">IF(BF79="","",IRR(BH79:BW79))</f>
        <v>-0.37327440261639555</v>
      </c>
      <c r="BH79" s="73">
        <f t="shared" si="51"/>
        <v>-25248631.239999998</v>
      </c>
      <c r="BI79" s="73">
        <f ca="1">(BI76&lt;&gt;"") * (BF79&lt;&gt;"") * ((BI76&lt;=BF79)*(-BI23+BI35) + (BI76=BF79)*BI44)</f>
        <v>15823963.497007335</v>
      </c>
      <c r="BJ79" s="73"/>
      <c r="BK79" s="73"/>
      <c r="BL79" s="73"/>
      <c r="BM79" s="73"/>
      <c r="BN79" s="73"/>
      <c r="BO79" s="73"/>
      <c r="BP79" s="73"/>
      <c r="BQ79" s="73"/>
      <c r="BR79" s="73"/>
      <c r="BS79" s="73" t="str">
        <f t="shared" si="52"/>
        <v/>
      </c>
      <c r="BT79" s="73" t="str">
        <f t="shared" si="52"/>
        <v/>
      </c>
      <c r="BU79" s="73" t="str">
        <f t="shared" si="52"/>
        <v/>
      </c>
      <c r="BV79" s="73" t="str">
        <f t="shared" si="52"/>
        <v/>
      </c>
      <c r="BW79" s="73" t="str">
        <f t="shared" si="52"/>
        <v/>
      </c>
      <c r="BX79" s="165"/>
      <c r="CA79" s="422" t="s">
        <v>306</v>
      </c>
      <c r="CB79" s="216"/>
    </row>
    <row r="80" spans="2:98">
      <c r="B80" s="110" t="s">
        <v>335</v>
      </c>
      <c r="C80" s="275"/>
      <c r="D80" s="270"/>
      <c r="E80" s="270"/>
      <c r="F80" s="270"/>
      <c r="G80" s="270"/>
      <c r="H80" s="46">
        <v>0.02</v>
      </c>
      <c r="I80" s="46">
        <v>0.02</v>
      </c>
      <c r="J80" s="46">
        <v>0.02</v>
      </c>
      <c r="K80" s="46">
        <v>0.02</v>
      </c>
      <c r="L80" s="46">
        <v>0.02</v>
      </c>
      <c r="M80" s="46">
        <v>0.02</v>
      </c>
      <c r="N80" s="46">
        <v>0.02</v>
      </c>
      <c r="O80" s="46">
        <v>0.02</v>
      </c>
      <c r="P80" s="46">
        <v>0.02</v>
      </c>
      <c r="Q80" s="46">
        <v>0.02</v>
      </c>
      <c r="R80" s="46">
        <v>0.02</v>
      </c>
      <c r="S80" s="46">
        <v>0.02</v>
      </c>
      <c r="T80" s="46">
        <v>0.02</v>
      </c>
      <c r="U80" s="46">
        <v>0.02</v>
      </c>
      <c r="V80" s="250"/>
      <c r="W80" s="250"/>
      <c r="AA80" s="67" t="s">
        <v>194</v>
      </c>
      <c r="AB80" s="260"/>
      <c r="AC80" s="69">
        <f>E54/$D$22</f>
        <v>0</v>
      </c>
      <c r="AD80" s="198"/>
      <c r="AV80" s="768"/>
      <c r="AW80" s="768"/>
      <c r="AX80" s="768"/>
      <c r="AY80" s="768"/>
      <c r="AZ80" s="768"/>
      <c r="BA80" s="768"/>
      <c r="BB80" s="769"/>
      <c r="BC80" s="768"/>
      <c r="BD80" s="768"/>
      <c r="BE80" s="165"/>
      <c r="BF80" s="256">
        <f>BJ76</f>
        <v>2</v>
      </c>
      <c r="BG80" s="136">
        <f t="shared" ref="BG80:BG93" ca="1" si="53">IF(BF80="","",IRR(BH80:BW80))</f>
        <v>-0.20572072748785197</v>
      </c>
      <c r="BH80" s="73">
        <f t="shared" si="51"/>
        <v>-25248631.239999998</v>
      </c>
      <c r="BI80" s="73">
        <f t="shared" ref="BI80:BR88" ca="1" si="54">(BI$76&lt;&gt;"") * ($BF80&lt;&gt;"") * ((BI$76&lt;=$BF80)*(-BI$23+BI$35) + (BI$76=$BF80)*BI$44)</f>
        <v>960820.69598610222</v>
      </c>
      <c r="BJ80" s="73">
        <f t="shared" si="54"/>
        <v>15165685.473113522</v>
      </c>
      <c r="BK80" s="73">
        <f>(BK$76&lt;&gt;"") * ($BF$80&lt;&gt;"") * ((BK$76&lt;=$BF$80)*(-BK$23+BK$35) + (BK$76=$BF$80)*BK$44)</f>
        <v>0</v>
      </c>
      <c r="BL80" s="73" t="str">
        <f t="shared" ref="BL80:BR81" si="55">IF(OR(BL$75="",$AV80=""),"",(BL$75&lt;=$AV80)*(-BL$22+BL$34)+(BL$75=$AV80)*BL$43)</f>
        <v/>
      </c>
      <c r="BM80" s="73" t="str">
        <f t="shared" si="55"/>
        <v/>
      </c>
      <c r="BN80" s="73" t="str">
        <f t="shared" si="55"/>
        <v/>
      </c>
      <c r="BO80" s="73" t="str">
        <f t="shared" si="55"/>
        <v/>
      </c>
      <c r="BP80" s="73" t="str">
        <f t="shared" si="55"/>
        <v/>
      </c>
      <c r="BQ80" s="73" t="str">
        <f t="shared" si="55"/>
        <v/>
      </c>
      <c r="BR80" s="73" t="str">
        <f t="shared" si="55"/>
        <v/>
      </c>
      <c r="BS80" s="73" t="str">
        <f t="shared" si="52"/>
        <v/>
      </c>
      <c r="BT80" s="73" t="str">
        <f t="shared" si="52"/>
        <v/>
      </c>
      <c r="BU80" s="73" t="str">
        <f t="shared" si="52"/>
        <v/>
      </c>
      <c r="BV80" s="73" t="str">
        <f t="shared" si="52"/>
        <v/>
      </c>
      <c r="BW80" s="73" t="str">
        <f t="shared" si="52"/>
        <v/>
      </c>
      <c r="BX80" s="165"/>
      <c r="CA80" s="422" t="s">
        <v>336</v>
      </c>
      <c r="CB80" s="216"/>
    </row>
    <row r="81" spans="2:98">
      <c r="B81" s="110" t="s">
        <v>337</v>
      </c>
      <c r="C81" s="275"/>
      <c r="D81" s="270"/>
      <c r="E81" s="270"/>
      <c r="F81" s="270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250"/>
      <c r="W81" s="250"/>
      <c r="AA81" s="67" t="s">
        <v>200</v>
      </c>
      <c r="AB81" s="260"/>
      <c r="AC81" s="69">
        <f>E55/$D$22</f>
        <v>0</v>
      </c>
      <c r="AD81" s="198"/>
      <c r="AE81" s="233"/>
      <c r="AH81" s="165"/>
      <c r="AI81" s="165"/>
      <c r="AJ81" s="165"/>
      <c r="AK81" s="381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381"/>
      <c r="BC81" s="165"/>
      <c r="BD81" s="165"/>
      <c r="BE81" s="165"/>
      <c r="BF81" s="256">
        <f>BK76</f>
        <v>3</v>
      </c>
      <c r="BG81" s="136">
        <f t="shared" ca="1" si="53"/>
        <v>-0.14622210635741195</v>
      </c>
      <c r="BH81" s="73">
        <f t="shared" si="51"/>
        <v>-25248631.239999998</v>
      </c>
      <c r="BI81" s="73">
        <f t="shared" ca="1" si="54"/>
        <v>960820.69598610222</v>
      </c>
      <c r="BJ81" s="73">
        <f t="shared" si="54"/>
        <v>926219.41510180361</v>
      </c>
      <c r="BK81" s="73">
        <f t="shared" si="54"/>
        <v>14222323.370152451</v>
      </c>
      <c r="BL81" s="73" t="str">
        <f t="shared" si="55"/>
        <v/>
      </c>
      <c r="BM81" s="73" t="str">
        <f t="shared" si="55"/>
        <v/>
      </c>
      <c r="BN81" s="73" t="str">
        <f t="shared" si="55"/>
        <v/>
      </c>
      <c r="BO81" s="73" t="str">
        <f t="shared" si="55"/>
        <v/>
      </c>
      <c r="BP81" s="73" t="str">
        <f t="shared" si="55"/>
        <v/>
      </c>
      <c r="BQ81" s="73" t="str">
        <f t="shared" si="55"/>
        <v/>
      </c>
      <c r="BR81" s="73" t="str">
        <f t="shared" si="55"/>
        <v/>
      </c>
      <c r="BS81" s="73" t="str">
        <f t="shared" si="52"/>
        <v/>
      </c>
      <c r="BT81" s="73" t="str">
        <f t="shared" si="52"/>
        <v/>
      </c>
      <c r="BU81" s="73" t="str">
        <f t="shared" si="52"/>
        <v/>
      </c>
      <c r="BV81" s="73" t="str">
        <f t="shared" si="52"/>
        <v/>
      </c>
      <c r="BW81" s="73" t="str">
        <f t="shared" si="52"/>
        <v/>
      </c>
      <c r="BX81" s="165"/>
      <c r="CA81" s="422" t="s">
        <v>311</v>
      </c>
      <c r="CB81" s="216"/>
    </row>
    <row r="82" spans="2:98"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32"/>
      <c r="W82" s="232"/>
      <c r="AA82" s="89" t="s">
        <v>207</v>
      </c>
      <c r="AB82" s="260"/>
      <c r="AC82" s="153">
        <f>AC77+(SUM(AC79:AC81))</f>
        <v>0</v>
      </c>
      <c r="AD82" s="198"/>
      <c r="AH82" s="165"/>
      <c r="AI82" s="165"/>
      <c r="AJ82" s="165"/>
      <c r="AK82" s="381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381"/>
      <c r="BC82" s="165"/>
      <c r="BD82" s="165"/>
      <c r="BE82" s="165"/>
      <c r="BF82" s="256">
        <f>BL76</f>
        <v>4</v>
      </c>
      <c r="BG82" s="136">
        <f t="shared" ca="1" si="53"/>
        <v>-0.13544957446984518</v>
      </c>
      <c r="BH82" s="73">
        <f t="shared" si="51"/>
        <v>-25248631.239999998</v>
      </c>
      <c r="BI82" s="73">
        <f t="shared" ca="1" si="54"/>
        <v>960820.69598610222</v>
      </c>
      <c r="BJ82" s="73">
        <f t="shared" si="54"/>
        <v>926219.41510180361</v>
      </c>
      <c r="BK82" s="73">
        <f t="shared" si="54"/>
        <v>638798.79773428466</v>
      </c>
      <c r="BL82" s="73">
        <f t="shared" si="54"/>
        <v>12240384.346560087</v>
      </c>
      <c r="BM82" s="73">
        <f t="shared" si="54"/>
        <v>0</v>
      </c>
      <c r="BN82" s="73">
        <f t="shared" si="54"/>
        <v>0</v>
      </c>
      <c r="BO82" s="73">
        <f t="shared" si="54"/>
        <v>0</v>
      </c>
      <c r="BP82" s="73">
        <f t="shared" si="54"/>
        <v>0</v>
      </c>
      <c r="BQ82" s="73">
        <f t="shared" si="54"/>
        <v>0</v>
      </c>
      <c r="BR82" s="73">
        <f t="shared" si="54"/>
        <v>0</v>
      </c>
      <c r="BS82" s="73" t="str">
        <f t="shared" si="52"/>
        <v/>
      </c>
      <c r="BT82" s="73" t="str">
        <f t="shared" si="52"/>
        <v/>
      </c>
      <c r="BU82" s="73" t="str">
        <f t="shared" si="52"/>
        <v/>
      </c>
      <c r="BV82" s="73" t="str">
        <f t="shared" si="52"/>
        <v/>
      </c>
      <c r="BW82" s="73" t="str">
        <f t="shared" si="52"/>
        <v/>
      </c>
      <c r="BX82" s="165"/>
      <c r="CA82" s="422" t="s">
        <v>338</v>
      </c>
      <c r="CB82" s="216"/>
    </row>
    <row r="83" spans="2:98">
      <c r="AA83" s="103"/>
      <c r="AB83" s="260"/>
      <c r="AC83" s="69"/>
      <c r="AD83" s="198"/>
      <c r="AH83" s="165"/>
      <c r="AI83" s="165"/>
      <c r="AK83" s="381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381"/>
      <c r="BC83" s="165"/>
      <c r="BD83" s="165"/>
      <c r="BE83" s="165"/>
      <c r="BF83" s="256">
        <f>BM76</f>
        <v>5</v>
      </c>
      <c r="BG83" s="136">
        <f t="shared" ca="1" si="53"/>
        <v>-0.10933934497414211</v>
      </c>
      <c r="BH83" s="73">
        <f t="shared" si="51"/>
        <v>-25248631.239999998</v>
      </c>
      <c r="BI83" s="73">
        <f t="shared" ca="1" si="54"/>
        <v>960820.69598610222</v>
      </c>
      <c r="BJ83" s="73">
        <f t="shared" si="54"/>
        <v>926219.41510180361</v>
      </c>
      <c r="BK83" s="73">
        <f t="shared" si="54"/>
        <v>638798.79773428466</v>
      </c>
      <c r="BL83" s="73">
        <f t="shared" si="54"/>
        <v>-651709.54319517827</v>
      </c>
      <c r="BM83" s="73">
        <f t="shared" si="54"/>
        <v>12966057.043152405</v>
      </c>
      <c r="BN83" s="73">
        <f t="shared" si="54"/>
        <v>0</v>
      </c>
      <c r="BO83" s="73">
        <f t="shared" si="54"/>
        <v>0</v>
      </c>
      <c r="BP83" s="73">
        <f t="shared" si="54"/>
        <v>0</v>
      </c>
      <c r="BQ83" s="73">
        <f t="shared" si="54"/>
        <v>0</v>
      </c>
      <c r="BR83" s="73">
        <f t="shared" si="54"/>
        <v>0</v>
      </c>
      <c r="BS83" s="73" t="str">
        <f t="shared" si="52"/>
        <v/>
      </c>
      <c r="BT83" s="73" t="str">
        <f t="shared" si="52"/>
        <v/>
      </c>
      <c r="BU83" s="73" t="str">
        <f t="shared" si="52"/>
        <v/>
      </c>
      <c r="BV83" s="73" t="str">
        <f t="shared" si="52"/>
        <v/>
      </c>
      <c r="BW83" s="73" t="str">
        <f t="shared" si="52"/>
        <v/>
      </c>
      <c r="BX83" s="165"/>
      <c r="CA83" s="422" t="str">
        <f>"Distributions to LP "&amp;CA77</f>
        <v>Distributions to LP Tier 2</v>
      </c>
      <c r="CB83" s="216"/>
    </row>
    <row r="84" spans="2:98"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AA84" s="67" t="s">
        <v>214</v>
      </c>
      <c r="AB84" s="260"/>
      <c r="AC84" s="69">
        <f>E57/$D$22</f>
        <v>0.3</v>
      </c>
      <c r="AD84" s="198"/>
      <c r="AH84" s="165"/>
      <c r="AI84" s="165"/>
      <c r="AJ84" s="165"/>
      <c r="AK84" s="381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381"/>
      <c r="BC84" s="165"/>
      <c r="BD84" s="165"/>
      <c r="BE84" s="165"/>
      <c r="BF84" s="256">
        <f>BN76</f>
        <v>6</v>
      </c>
      <c r="BG84" s="136">
        <f t="shared" ca="1" si="53"/>
        <v>-6.6192435621831303E-2</v>
      </c>
      <c r="BH84" s="73">
        <f t="shared" si="51"/>
        <v>-25248631.239999998</v>
      </c>
      <c r="BI84" s="73">
        <f t="shared" ca="1" si="54"/>
        <v>960820.69598610222</v>
      </c>
      <c r="BJ84" s="73">
        <f t="shared" si="54"/>
        <v>926219.41510180361</v>
      </c>
      <c r="BK84" s="73">
        <f t="shared" si="54"/>
        <v>638798.79773428466</v>
      </c>
      <c r="BL84" s="73">
        <f t="shared" si="54"/>
        <v>-651709.54319517827</v>
      </c>
      <c r="BM84" s="73">
        <f t="shared" si="54"/>
        <v>804399.45938033529</v>
      </c>
      <c r="BN84" s="73">
        <f t="shared" si="54"/>
        <v>14651500.179161729</v>
      </c>
      <c r="BO84" s="73">
        <f t="shared" si="54"/>
        <v>0</v>
      </c>
      <c r="BP84" s="73">
        <f t="shared" si="54"/>
        <v>0</v>
      </c>
      <c r="BQ84" s="73">
        <f t="shared" si="54"/>
        <v>0</v>
      </c>
      <c r="BR84" s="73">
        <f t="shared" si="54"/>
        <v>0</v>
      </c>
      <c r="BS84" s="73" t="str">
        <f t="shared" si="52"/>
        <v/>
      </c>
      <c r="BT84" s="73" t="str">
        <f t="shared" si="52"/>
        <v/>
      </c>
      <c r="BU84" s="73" t="str">
        <f t="shared" si="52"/>
        <v/>
      </c>
      <c r="BV84" s="73" t="str">
        <f t="shared" si="52"/>
        <v/>
      </c>
      <c r="BW84" s="73" t="str">
        <f t="shared" si="52"/>
        <v/>
      </c>
      <c r="BX84" s="165"/>
      <c r="CA84" s="422" t="s">
        <v>314</v>
      </c>
      <c r="CB84" s="216"/>
    </row>
    <row r="85" spans="2:98"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232"/>
      <c r="W85" s="232"/>
      <c r="AA85" s="67" t="s">
        <v>218</v>
      </c>
      <c r="AB85" s="260"/>
      <c r="AC85" s="69">
        <f>E58/$D$22</f>
        <v>1.3</v>
      </c>
      <c r="AD85" s="198"/>
      <c r="AH85" s="165"/>
      <c r="AI85" s="165"/>
      <c r="AJ85" s="165"/>
      <c r="AK85" s="381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381"/>
      <c r="BC85" s="165"/>
      <c r="BD85" s="165"/>
      <c r="BE85" s="165"/>
      <c r="BF85" s="256">
        <f>BO76</f>
        <v>7</v>
      </c>
      <c r="BG85" s="136">
        <f t="shared" ca="1" si="53"/>
        <v>-5.7653145688722929E-2</v>
      </c>
      <c r="BH85" s="73">
        <f t="shared" si="51"/>
        <v>-25248631.239999998</v>
      </c>
      <c r="BI85" s="73">
        <f t="shared" ca="1" si="54"/>
        <v>960820.69598610222</v>
      </c>
      <c r="BJ85" s="73">
        <f t="shared" si="54"/>
        <v>926219.41510180361</v>
      </c>
      <c r="BK85" s="73">
        <f t="shared" si="54"/>
        <v>638798.79773428466</v>
      </c>
      <c r="BL85" s="73">
        <f t="shared" si="54"/>
        <v>-651709.54319517827</v>
      </c>
      <c r="BM85" s="73">
        <f t="shared" si="54"/>
        <v>804399.45938033529</v>
      </c>
      <c r="BN85" s="73">
        <f t="shared" si="54"/>
        <v>918306.71352268907</v>
      </c>
      <c r="BO85" s="73">
        <f t="shared" si="54"/>
        <v>13762292.63404699</v>
      </c>
      <c r="BP85" s="73">
        <f t="shared" si="54"/>
        <v>0</v>
      </c>
      <c r="BQ85" s="73">
        <f t="shared" si="54"/>
        <v>0</v>
      </c>
      <c r="BR85" s="73">
        <f t="shared" si="54"/>
        <v>0</v>
      </c>
      <c r="BS85" s="73" t="str">
        <f t="shared" si="52"/>
        <v/>
      </c>
      <c r="BT85" s="73" t="str">
        <f t="shared" si="52"/>
        <v/>
      </c>
      <c r="BU85" s="73" t="str">
        <f t="shared" si="52"/>
        <v/>
      </c>
      <c r="BV85" s="73" t="str">
        <f t="shared" si="52"/>
        <v/>
      </c>
      <c r="BW85" s="73" t="str">
        <f t="shared" si="52"/>
        <v/>
      </c>
      <c r="BX85" s="165"/>
      <c r="CA85" s="429" t="str">
        <f>CB78</f>
        <v> </v>
      </c>
      <c r="CB85" s="216"/>
    </row>
    <row r="86" spans="2:98"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AA86" s="67" t="s">
        <v>223</v>
      </c>
      <c r="AB86" s="260"/>
      <c r="AC86" s="69">
        <f>E59/$D$22</f>
        <v>1.5</v>
      </c>
      <c r="AD86" s="198"/>
      <c r="AH86" s="165"/>
      <c r="AI86" s="165"/>
      <c r="AJ86" s="165"/>
      <c r="AK86" s="381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381"/>
      <c r="BC86" s="165"/>
      <c r="BD86" s="165"/>
      <c r="BE86" s="165"/>
      <c r="BF86" s="256">
        <f>BP76</f>
        <v>8</v>
      </c>
      <c r="BG86" s="136">
        <f t="shared" ca="1" si="53"/>
        <v>-5.2198529753776479E-2</v>
      </c>
      <c r="BH86" s="73">
        <f t="shared" si="51"/>
        <v>-25248631.239999998</v>
      </c>
      <c r="BI86" s="73">
        <f t="shared" ca="1" si="54"/>
        <v>960820.69598610222</v>
      </c>
      <c r="BJ86" s="73">
        <f t="shared" si="54"/>
        <v>926219.41510180361</v>
      </c>
      <c r="BK86" s="73">
        <f t="shared" si="54"/>
        <v>638798.79773428466</v>
      </c>
      <c r="BL86" s="73">
        <f t="shared" si="54"/>
        <v>-651709.54319517827</v>
      </c>
      <c r="BM86" s="73">
        <f t="shared" si="54"/>
        <v>804399.45938033529</v>
      </c>
      <c r="BN86" s="73">
        <f t="shared" si="54"/>
        <v>918306.71352268907</v>
      </c>
      <c r="BO86" s="73">
        <f t="shared" si="54"/>
        <v>866645.91588094225</v>
      </c>
      <c r="BP86" s="73">
        <f t="shared" si="54"/>
        <v>12817285.959912824</v>
      </c>
      <c r="BQ86" s="73">
        <f t="shared" si="54"/>
        <v>0</v>
      </c>
      <c r="BR86" s="73">
        <f t="shared" si="54"/>
        <v>0</v>
      </c>
      <c r="BS86" s="73" t="str">
        <f t="shared" si="52"/>
        <v/>
      </c>
      <c r="BT86" s="73" t="str">
        <f t="shared" si="52"/>
        <v/>
      </c>
      <c r="BU86" s="73" t="str">
        <f t="shared" si="52"/>
        <v/>
      </c>
      <c r="BV86" s="73" t="str">
        <f t="shared" si="52"/>
        <v/>
      </c>
      <c r="BW86" s="73" t="str">
        <f t="shared" si="52"/>
        <v/>
      </c>
      <c r="BX86" s="165"/>
      <c r="CA86" s="430" t="s">
        <v>158</v>
      </c>
      <c r="CB86" s="252" t="s">
        <v>158</v>
      </c>
    </row>
    <row r="87" spans="2:98"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AA87" s="67" t="s">
        <v>225</v>
      </c>
      <c r="AB87" s="260"/>
      <c r="AC87" s="69">
        <f>E60/$D$22</f>
        <v>1.9</v>
      </c>
      <c r="AD87" s="198"/>
      <c r="AH87" s="165"/>
      <c r="AI87" s="165"/>
      <c r="AJ87" s="165"/>
      <c r="AK87" s="381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381"/>
      <c r="BC87" s="165"/>
      <c r="BD87" s="165"/>
      <c r="BE87" s="165"/>
      <c r="BF87" s="256">
        <f>BQ76</f>
        <v>9</v>
      </c>
      <c r="BG87" s="136">
        <f t="shared" ca="1" si="53"/>
        <v>-4.8931747771077005E-2</v>
      </c>
      <c r="BH87" s="73">
        <f t="shared" si="51"/>
        <v>-25248631.239999998</v>
      </c>
      <c r="BI87" s="73">
        <f t="shared" ca="1" si="54"/>
        <v>960820.69598610222</v>
      </c>
      <c r="BJ87" s="73">
        <f t="shared" si="54"/>
        <v>926219.41510180361</v>
      </c>
      <c r="BK87" s="73">
        <f t="shared" si="54"/>
        <v>638798.79773428466</v>
      </c>
      <c r="BL87" s="73">
        <f t="shared" si="54"/>
        <v>-651709.54319517827</v>
      </c>
      <c r="BM87" s="73">
        <f t="shared" si="54"/>
        <v>804399.45938033529</v>
      </c>
      <c r="BN87" s="73">
        <f t="shared" si="54"/>
        <v>918306.71352268907</v>
      </c>
      <c r="BO87" s="73">
        <f t="shared" si="54"/>
        <v>866645.91588094225</v>
      </c>
      <c r="BP87" s="73">
        <f t="shared" si="54"/>
        <v>810530.55736444553</v>
      </c>
      <c r="BQ87" s="73">
        <f t="shared" si="54"/>
        <v>11811056.47729186</v>
      </c>
      <c r="BR87" s="73">
        <f t="shared" si="54"/>
        <v>0</v>
      </c>
      <c r="BS87" s="73" t="str">
        <f t="shared" si="52"/>
        <v/>
      </c>
      <c r="BT87" s="73" t="str">
        <f t="shared" si="52"/>
        <v/>
      </c>
      <c r="BU87" s="73" t="str">
        <f t="shared" si="52"/>
        <v/>
      </c>
      <c r="BV87" s="73" t="str">
        <f t="shared" si="52"/>
        <v/>
      </c>
      <c r="BW87" s="73" t="str">
        <f t="shared" si="52"/>
        <v/>
      </c>
      <c r="BX87" s="165"/>
      <c r="CA87" s="422" t="s">
        <v>315</v>
      </c>
      <c r="CB87" s="216"/>
    </row>
    <row r="88" spans="2:98">
      <c r="V88" s="164"/>
      <c r="W88" s="164"/>
      <c r="AA88" s="67" t="s">
        <v>231</v>
      </c>
      <c r="AB88" s="260"/>
      <c r="AC88" s="69">
        <f>E61/$D$22</f>
        <v>1.7</v>
      </c>
      <c r="AD88" s="198"/>
      <c r="AH88" s="457"/>
      <c r="AI88" s="165"/>
      <c r="AJ88" s="165"/>
      <c r="AK88" s="381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381"/>
      <c r="BC88" s="165"/>
      <c r="BD88" s="165"/>
      <c r="BE88" s="165"/>
      <c r="BF88" s="256">
        <f>BR76</f>
        <v>10</v>
      </c>
      <c r="BG88" s="136">
        <f t="shared" ca="1" si="53"/>
        <v>-4.7372985798895595E-2</v>
      </c>
      <c r="BH88" s="73">
        <f t="shared" si="51"/>
        <v>-25248631.239999998</v>
      </c>
      <c r="BI88" s="73">
        <f t="shared" ca="1" si="54"/>
        <v>960820.69598610222</v>
      </c>
      <c r="BJ88" s="73">
        <f t="shared" si="54"/>
        <v>926219.41510180361</v>
      </c>
      <c r="BK88" s="73">
        <f t="shared" si="54"/>
        <v>638798.79773428466</v>
      </c>
      <c r="BL88" s="73">
        <f t="shared" si="54"/>
        <v>-651709.54319517827</v>
      </c>
      <c r="BM88" s="73">
        <f t="shared" si="54"/>
        <v>804399.45938033529</v>
      </c>
      <c r="BN88" s="73">
        <f t="shared" si="54"/>
        <v>918306.71352268907</v>
      </c>
      <c r="BO88" s="73">
        <f t="shared" si="54"/>
        <v>866645.91588094225</v>
      </c>
      <c r="BP88" s="73">
        <f t="shared" si="54"/>
        <v>810530.55736444553</v>
      </c>
      <c r="BQ88" s="73">
        <f t="shared" si="54"/>
        <v>749530.25938854425</v>
      </c>
      <c r="BR88" s="137">
        <f t="shared" si="54"/>
        <v>10737679.295865206</v>
      </c>
      <c r="BS88" s="73" t="str">
        <f t="shared" si="52"/>
        <v/>
      </c>
      <c r="BT88" s="73" t="str">
        <f t="shared" si="52"/>
        <v/>
      </c>
      <c r="BU88" s="73" t="str">
        <f t="shared" si="52"/>
        <v/>
      </c>
      <c r="BV88" s="73" t="str">
        <f t="shared" si="52"/>
        <v/>
      </c>
      <c r="BW88" s="73" t="str">
        <f t="shared" si="52"/>
        <v/>
      </c>
      <c r="BX88" s="165"/>
      <c r="CA88" s="422" t="s">
        <v>321</v>
      </c>
      <c r="CB88" s="216"/>
    </row>
    <row r="89" spans="2:98">
      <c r="AA89" s="67" t="s">
        <v>236</v>
      </c>
      <c r="AB89" s="260"/>
      <c r="AC89" s="69">
        <f>E62/$D$22</f>
        <v>1.3689</v>
      </c>
      <c r="AD89" s="198"/>
      <c r="AH89" s="767"/>
      <c r="AI89" s="770"/>
      <c r="AJ89" s="771"/>
      <c r="AK89" s="771"/>
      <c r="AL89" s="771"/>
      <c r="AM89" s="771"/>
      <c r="AN89" s="771"/>
      <c r="AO89" s="771"/>
      <c r="AP89" s="771"/>
      <c r="AQ89" s="771"/>
      <c r="AR89" s="771"/>
      <c r="AS89" s="771"/>
      <c r="AT89" s="771"/>
      <c r="AU89" s="771"/>
      <c r="AV89" s="165"/>
      <c r="AW89" s="165"/>
      <c r="AX89" s="165"/>
      <c r="AY89" s="165"/>
      <c r="AZ89" s="165"/>
      <c r="BA89" s="165"/>
      <c r="BB89" s="381"/>
      <c r="BC89" s="165"/>
      <c r="BD89" s="165"/>
      <c r="BE89" s="165"/>
      <c r="BF89" s="256" t="str">
        <f>BS76</f>
        <v/>
      </c>
      <c r="BG89" s="136" t="str">
        <f t="shared" si="53"/>
        <v/>
      </c>
      <c r="BH89" s="73" t="str">
        <f t="shared" ref="BH89:BR93" si="56">IF(OR(BH$75="",$AV89=""),"",(BH$75&lt;=$AV89)*(-BH$22+BH$34)+(BH$75=$AV89)*BH$43)</f>
        <v/>
      </c>
      <c r="BI89" s="73" t="str">
        <f t="shared" si="56"/>
        <v/>
      </c>
      <c r="BJ89" s="73" t="str">
        <f t="shared" si="56"/>
        <v/>
      </c>
      <c r="BK89" s="73" t="str">
        <f t="shared" si="56"/>
        <v/>
      </c>
      <c r="BL89" s="73" t="str">
        <f t="shared" si="56"/>
        <v/>
      </c>
      <c r="BM89" s="73" t="str">
        <f t="shared" si="56"/>
        <v/>
      </c>
      <c r="BN89" s="73" t="str">
        <f t="shared" si="56"/>
        <v/>
      </c>
      <c r="BO89" s="73" t="str">
        <f t="shared" si="56"/>
        <v/>
      </c>
      <c r="BP89" s="73" t="str">
        <f t="shared" si="56"/>
        <v/>
      </c>
      <c r="BQ89" s="73" t="str">
        <f t="shared" si="56"/>
        <v/>
      </c>
      <c r="BR89" s="73" t="str">
        <f t="shared" si="56"/>
        <v/>
      </c>
      <c r="BS89" s="73" t="str">
        <f t="shared" si="52"/>
        <v/>
      </c>
      <c r="BT89" s="73" t="str">
        <f t="shared" si="52"/>
        <v/>
      </c>
      <c r="BU89" s="73" t="str">
        <f t="shared" si="52"/>
        <v/>
      </c>
      <c r="BV89" s="73" t="str">
        <f t="shared" si="52"/>
        <v/>
      </c>
      <c r="BW89" s="73" t="str">
        <f t="shared" si="52"/>
        <v/>
      </c>
      <c r="BX89" s="165"/>
      <c r="CA89" s="422" t="str">
        <f>"Total Distributions ("&amp;CA77&amp;")"</f>
        <v>Total Distributions (Tier 2)</v>
      </c>
      <c r="CB89" s="216"/>
    </row>
    <row r="90" spans="2:98">
      <c r="B90" s="172"/>
      <c r="C90" s="173" t="s">
        <v>1</v>
      </c>
      <c r="D90" s="176"/>
      <c r="E90" s="173" t="s">
        <v>1</v>
      </c>
      <c r="F90" s="173"/>
      <c r="H90" s="332"/>
      <c r="I90" s="332"/>
      <c r="J90" s="332"/>
      <c r="K90" s="332" t="s">
        <v>1</v>
      </c>
      <c r="L90" s="332" t="s">
        <v>1</v>
      </c>
      <c r="M90" s="332" t="s">
        <v>1</v>
      </c>
      <c r="N90" s="332" t="s">
        <v>1</v>
      </c>
      <c r="O90" s="332" t="s">
        <v>1</v>
      </c>
      <c r="P90" s="332" t="s">
        <v>1</v>
      </c>
      <c r="Q90" s="173" t="s">
        <v>1</v>
      </c>
      <c r="AA90" s="67" t="s">
        <v>239</v>
      </c>
      <c r="AB90" s="260"/>
      <c r="AC90" s="69">
        <f>E63/$D$22</f>
        <v>0.7</v>
      </c>
      <c r="AD90" s="198"/>
      <c r="AH90" s="767"/>
      <c r="AU90" s="768"/>
      <c r="AV90" s="165"/>
      <c r="AW90" s="165"/>
      <c r="AX90" s="165"/>
      <c r="AY90" s="165"/>
      <c r="AZ90" s="165"/>
      <c r="BA90" s="165"/>
      <c r="BB90" s="381"/>
      <c r="BC90" s="165"/>
      <c r="BD90" s="165"/>
      <c r="BE90" s="165"/>
      <c r="BF90" s="256" t="str">
        <f>BT76</f>
        <v/>
      </c>
      <c r="BG90" s="136" t="str">
        <f t="shared" si="53"/>
        <v/>
      </c>
      <c r="BH90" s="73" t="str">
        <f t="shared" si="56"/>
        <v/>
      </c>
      <c r="BI90" s="73" t="str">
        <f t="shared" si="56"/>
        <v/>
      </c>
      <c r="BJ90" s="73" t="str">
        <f t="shared" si="56"/>
        <v/>
      </c>
      <c r="BK90" s="73" t="str">
        <f t="shared" si="56"/>
        <v/>
      </c>
      <c r="BL90" s="73" t="str">
        <f t="shared" si="56"/>
        <v/>
      </c>
      <c r="BM90" s="73" t="str">
        <f t="shared" si="56"/>
        <v/>
      </c>
      <c r="BN90" s="73" t="str">
        <f t="shared" si="56"/>
        <v/>
      </c>
      <c r="BO90" s="73" t="str">
        <f t="shared" si="56"/>
        <v/>
      </c>
      <c r="BP90" s="73" t="str">
        <f t="shared" si="56"/>
        <v/>
      </c>
      <c r="BQ90" s="73" t="str">
        <f t="shared" si="56"/>
        <v/>
      </c>
      <c r="BR90" s="73" t="str">
        <f t="shared" si="56"/>
        <v/>
      </c>
      <c r="BS90" s="73" t="str">
        <f t="shared" si="52"/>
        <v/>
      </c>
      <c r="BT90" s="73" t="str">
        <f t="shared" si="52"/>
        <v/>
      </c>
      <c r="BU90" s="73" t="str">
        <f t="shared" si="52"/>
        <v/>
      </c>
      <c r="BV90" s="73" t="str">
        <f t="shared" si="52"/>
        <v/>
      </c>
      <c r="BW90" s="73" t="str">
        <f t="shared" si="52"/>
        <v/>
      </c>
      <c r="BX90" s="165"/>
      <c r="CA90" s="422" t="s">
        <v>328</v>
      </c>
      <c r="CB90" s="216"/>
    </row>
    <row r="91" spans="2:98">
      <c r="B91" s="333"/>
      <c r="C91" s="332" t="s">
        <v>1</v>
      </c>
      <c r="D91" s="178"/>
      <c r="E91" s="332" t="s">
        <v>7</v>
      </c>
      <c r="F91" s="332"/>
      <c r="G91" s="332"/>
      <c r="H91" s="332"/>
      <c r="I91" s="332"/>
      <c r="J91" s="332"/>
      <c r="K91" s="332" t="s">
        <v>1</v>
      </c>
      <c r="L91" s="332" t="s">
        <v>1</v>
      </c>
      <c r="M91" s="332" t="s">
        <v>1</v>
      </c>
      <c r="N91" s="332" t="s">
        <v>1</v>
      </c>
      <c r="O91" s="332" t="s">
        <v>1</v>
      </c>
      <c r="P91" s="332" t="s">
        <v>1</v>
      </c>
      <c r="Q91" s="332" t="s">
        <v>1</v>
      </c>
      <c r="AA91" s="67" t="s">
        <v>244</v>
      </c>
      <c r="AB91" s="260"/>
      <c r="AC91" s="69">
        <f>E64/$D$22</f>
        <v>5.0000999999999998</v>
      </c>
      <c r="AD91" s="198"/>
      <c r="AH91" s="767"/>
      <c r="AU91" s="768"/>
      <c r="AV91" s="165"/>
      <c r="AW91" s="165"/>
      <c r="AX91" s="165"/>
      <c r="AY91" s="165"/>
      <c r="AZ91" s="165"/>
      <c r="BA91" s="165"/>
      <c r="BB91" s="381"/>
      <c r="BC91" s="165"/>
      <c r="BD91" s="165"/>
      <c r="BE91" s="165"/>
      <c r="BF91" s="256" t="str">
        <f>BU76</f>
        <v/>
      </c>
      <c r="BG91" s="136" t="str">
        <f t="shared" si="53"/>
        <v/>
      </c>
      <c r="BH91" s="73" t="str">
        <f t="shared" si="56"/>
        <v/>
      </c>
      <c r="BI91" s="73" t="str">
        <f t="shared" si="56"/>
        <v/>
      </c>
      <c r="BJ91" s="73" t="str">
        <f t="shared" si="56"/>
        <v/>
      </c>
      <c r="BK91" s="73" t="str">
        <f t="shared" si="56"/>
        <v/>
      </c>
      <c r="BL91" s="73" t="str">
        <f t="shared" si="56"/>
        <v/>
      </c>
      <c r="BM91" s="73" t="str">
        <f t="shared" si="56"/>
        <v/>
      </c>
      <c r="BN91" s="73" t="str">
        <f t="shared" si="56"/>
        <v/>
      </c>
      <c r="BO91" s="73" t="str">
        <f t="shared" si="56"/>
        <v/>
      </c>
      <c r="BP91" s="73" t="str">
        <f t="shared" si="56"/>
        <v/>
      </c>
      <c r="BQ91" s="73" t="str">
        <f t="shared" si="56"/>
        <v/>
      </c>
      <c r="BR91" s="73" t="str">
        <f t="shared" si="56"/>
        <v/>
      </c>
      <c r="BS91" s="73" t="str">
        <f t="shared" si="52"/>
        <v/>
      </c>
      <c r="BT91" s="73" t="str">
        <f t="shared" si="52"/>
        <v/>
      </c>
      <c r="BU91" s="73" t="str">
        <f t="shared" si="52"/>
        <v/>
      </c>
      <c r="BV91" s="73" t="str">
        <f t="shared" si="52"/>
        <v/>
      </c>
      <c r="BW91" s="73" t="str">
        <f t="shared" si="52"/>
        <v/>
      </c>
      <c r="BX91" s="165"/>
      <c r="CA91" s="422"/>
      <c r="CB91" s="216"/>
    </row>
    <row r="92" spans="2:98">
      <c r="AA92" s="103" t="s">
        <v>224</v>
      </c>
      <c r="AB92" s="260"/>
      <c r="AC92" s="69">
        <f>SUM(AC84:AC91)</f>
        <v>13.768999999999998</v>
      </c>
      <c r="AD92" s="198"/>
      <c r="AH92" s="767"/>
      <c r="AU92" s="768"/>
      <c r="AV92" s="165"/>
      <c r="AW92" s="165"/>
      <c r="AX92" s="165"/>
      <c r="AY92" s="165"/>
      <c r="AZ92" s="165"/>
      <c r="BA92" s="165"/>
      <c r="BB92" s="381"/>
      <c r="BC92" s="165"/>
      <c r="BD92" s="165"/>
      <c r="BE92" s="165"/>
      <c r="BF92" s="256" t="str">
        <f>BV76</f>
        <v/>
      </c>
      <c r="BG92" s="136" t="str">
        <f t="shared" si="53"/>
        <v/>
      </c>
      <c r="BH92" s="73" t="str">
        <f t="shared" si="56"/>
        <v/>
      </c>
      <c r="BI92" s="73" t="str">
        <f t="shared" si="56"/>
        <v/>
      </c>
      <c r="BJ92" s="73" t="str">
        <f t="shared" si="56"/>
        <v/>
      </c>
      <c r="BK92" s="73" t="str">
        <f t="shared" si="56"/>
        <v/>
      </c>
      <c r="BL92" s="73" t="str">
        <f t="shared" si="56"/>
        <v/>
      </c>
      <c r="BM92" s="73" t="str">
        <f t="shared" si="56"/>
        <v/>
      </c>
      <c r="BN92" s="73" t="str">
        <f t="shared" si="56"/>
        <v/>
      </c>
      <c r="BO92" s="73" t="str">
        <f t="shared" si="56"/>
        <v/>
      </c>
      <c r="BP92" s="73" t="str">
        <f t="shared" si="56"/>
        <v/>
      </c>
      <c r="BQ92" s="73" t="str">
        <f t="shared" si="56"/>
        <v/>
      </c>
      <c r="BR92" s="73" t="str">
        <f t="shared" si="56"/>
        <v/>
      </c>
      <c r="BS92" s="73" t="str">
        <f t="shared" si="52"/>
        <v/>
      </c>
      <c r="BT92" s="73" t="str">
        <f t="shared" si="52"/>
        <v/>
      </c>
      <c r="BU92" s="73" t="str">
        <f t="shared" si="52"/>
        <v/>
      </c>
      <c r="BV92" s="73" t="str">
        <f t="shared" si="52"/>
        <v/>
      </c>
      <c r="BW92" s="73" t="str">
        <f t="shared" si="52"/>
        <v/>
      </c>
      <c r="BX92" s="165"/>
      <c r="CA92" s="431" t="s">
        <v>339</v>
      </c>
      <c r="CB92" s="240"/>
      <c r="CC92" s="240"/>
      <c r="CD92" s="240"/>
      <c r="CE92" s="344" t="str">
        <f t="shared" ref="CE92:CO92" si="57">CE77</f>
        <v>Year 0</v>
      </c>
      <c r="CF92" s="344" t="str">
        <f t="shared" si="57"/>
        <v>Year 1</v>
      </c>
      <c r="CG92" s="344" t="str">
        <f t="shared" si="57"/>
        <v>Year 2</v>
      </c>
      <c r="CH92" s="344" t="str">
        <f t="shared" si="57"/>
        <v>Year 3</v>
      </c>
      <c r="CI92" s="344" t="str">
        <f t="shared" si="57"/>
        <v>Year 4</v>
      </c>
      <c r="CJ92" s="344" t="str">
        <f t="shared" si="57"/>
        <v>Year 5</v>
      </c>
      <c r="CK92" s="344" t="str">
        <f t="shared" si="57"/>
        <v>Year 6</v>
      </c>
      <c r="CL92" s="344" t="str">
        <f t="shared" si="57"/>
        <v>Year 7</v>
      </c>
      <c r="CM92" s="344" t="str">
        <f t="shared" si="57"/>
        <v>Year 8</v>
      </c>
      <c r="CN92" s="344" t="str">
        <f t="shared" si="57"/>
        <v>Year 9</v>
      </c>
      <c r="CO92" s="344" t="str">
        <f t="shared" si="57"/>
        <v>Year 10</v>
      </c>
      <c r="CP92" s="200" t="s">
        <v>1</v>
      </c>
      <c r="CQ92" s="242" t="str">
        <f>CQ$30</f>
        <v> </v>
      </c>
      <c r="CR92" s="242" t="str">
        <f>CR$30</f>
        <v> </v>
      </c>
      <c r="CS92" s="242" t="str">
        <f>CS$30</f>
        <v> </v>
      </c>
      <c r="CT92" s="242" t="str">
        <f>CT$30</f>
        <v> </v>
      </c>
    </row>
    <row r="93" spans="2:98"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AA93" s="103"/>
      <c r="AB93" s="260"/>
      <c r="AC93" s="69"/>
      <c r="AD93" s="198"/>
      <c r="AH93" s="767"/>
      <c r="AU93" s="768"/>
      <c r="AV93" s="165"/>
      <c r="AW93" s="165"/>
      <c r="AX93" s="165"/>
      <c r="AY93" s="165"/>
      <c r="AZ93" s="165"/>
      <c r="BA93" s="165"/>
      <c r="BB93" s="381"/>
      <c r="BC93" s="165"/>
      <c r="BD93" s="165"/>
      <c r="BE93" s="165"/>
      <c r="BF93" s="256" t="str">
        <f>BW76</f>
        <v/>
      </c>
      <c r="BG93" s="136" t="str">
        <f t="shared" si="53"/>
        <v/>
      </c>
      <c r="BH93" s="73" t="str">
        <f t="shared" si="56"/>
        <v/>
      </c>
      <c r="BI93" s="73" t="str">
        <f t="shared" si="56"/>
        <v/>
      </c>
      <c r="BJ93" s="73" t="str">
        <f t="shared" si="56"/>
        <v/>
      </c>
      <c r="BK93" s="73" t="str">
        <f t="shared" si="56"/>
        <v/>
      </c>
      <c r="BL93" s="73" t="str">
        <f t="shared" si="56"/>
        <v/>
      </c>
      <c r="BM93" s="73" t="str">
        <f t="shared" si="56"/>
        <v/>
      </c>
      <c r="BN93" s="73" t="str">
        <f t="shared" si="56"/>
        <v/>
      </c>
      <c r="BO93" s="73" t="str">
        <f t="shared" si="56"/>
        <v/>
      </c>
      <c r="BP93" s="73" t="str">
        <f t="shared" si="56"/>
        <v/>
      </c>
      <c r="BQ93" s="73" t="str">
        <f t="shared" si="56"/>
        <v/>
      </c>
      <c r="BR93" s="73" t="str">
        <f t="shared" si="56"/>
        <v/>
      </c>
      <c r="BS93" s="73" t="str">
        <f>IF(OR(BS$75="",$AV93=""),"",(BS$75&lt;=$AV93)*(-BS$22+BS$34)+(BS$75=$AV93)*BS$43)</f>
        <v/>
      </c>
      <c r="BT93" s="73" t="str">
        <f>IF(OR(BT$75="",$AV93=""),"",(BT$75&lt;=$AV93)*(-BT$22+BT$34)+(BT$75=$AV93)*BT$43)</f>
        <v/>
      </c>
      <c r="BU93" s="73" t="str">
        <f>IF(OR(BU$75="",$AV93=""),"",(BU$75&lt;=$AV93)*(-BU$22+BU$34)+(BU$75=$AV93)*BU$43)</f>
        <v/>
      </c>
      <c r="BV93" s="73" t="str">
        <f>IF(OR(BV$75="",$AV93=""),"",(BV$75&lt;=$AV93)*(-BV$22+BV$34)+(BV$75=$AV93)*BV$43)</f>
        <v/>
      </c>
      <c r="BW93" s="73" t="str">
        <f t="shared" si="52"/>
        <v/>
      </c>
      <c r="BX93" s="165"/>
      <c r="CA93" s="428" t="s">
        <v>305</v>
      </c>
      <c r="CB93" s="251" t="str">
        <f>CB29</f>
        <v> </v>
      </c>
    </row>
    <row r="94" spans="2:98">
      <c r="B94" s="334" t="s">
        <v>340</v>
      </c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AA94" s="106" t="s">
        <v>227</v>
      </c>
      <c r="AB94" s="260"/>
      <c r="AC94" s="158">
        <f>AC82-AC92</f>
        <v>-13.768999999999998</v>
      </c>
      <c r="AD94" s="198"/>
      <c r="AH94" s="768"/>
      <c r="AI94" s="772"/>
      <c r="AJ94" s="772"/>
      <c r="AK94" s="772"/>
      <c r="AL94" s="772"/>
      <c r="AM94" s="772"/>
      <c r="AN94" s="772"/>
      <c r="AO94" s="772"/>
      <c r="AP94" s="772"/>
      <c r="AQ94" s="772"/>
      <c r="AR94" s="772"/>
      <c r="AS94" s="772"/>
      <c r="AT94" s="772"/>
      <c r="AU94" s="768"/>
      <c r="AV94" s="165"/>
      <c r="AW94" s="165"/>
      <c r="AX94" s="165"/>
      <c r="AY94" s="165"/>
      <c r="AZ94" s="165"/>
      <c r="BA94" s="165"/>
      <c r="BB94" s="381"/>
      <c r="BC94" s="165"/>
      <c r="BD94" s="165"/>
      <c r="BE94" s="165"/>
      <c r="BF94" s="254"/>
      <c r="BG94" s="151"/>
      <c r="BH94" s="151"/>
      <c r="BI94" s="151"/>
      <c r="BJ94" s="151"/>
      <c r="BK94" s="151"/>
      <c r="BL94" s="151"/>
      <c r="BM94" s="151"/>
      <c r="BN94" s="151"/>
      <c r="BO94" s="151"/>
      <c r="BP94" s="151"/>
      <c r="BQ94" s="151"/>
      <c r="BR94" s="151"/>
      <c r="BS94" s="151"/>
      <c r="BT94" s="151"/>
      <c r="BU94" s="151"/>
      <c r="BV94" s="151"/>
      <c r="BW94" s="151"/>
      <c r="BX94" s="165"/>
      <c r="CA94" s="422" t="s">
        <v>306</v>
      </c>
      <c r="CB94" s="216"/>
    </row>
    <row r="95" spans="2:98"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164"/>
      <c r="W95" s="164"/>
      <c r="AA95" s="103"/>
      <c r="AB95" s="260"/>
      <c r="AC95" s="69"/>
      <c r="AD95" s="198"/>
      <c r="AH95" s="457"/>
      <c r="AI95" s="165"/>
      <c r="AJ95" s="165"/>
      <c r="AK95" s="381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381"/>
      <c r="BC95" s="165"/>
      <c r="BD95" s="165"/>
      <c r="BE95" s="165"/>
      <c r="BF95" s="268" t="s">
        <v>341</v>
      </c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165"/>
      <c r="CA95" s="422" t="s">
        <v>342</v>
      </c>
      <c r="CB95" s="216"/>
    </row>
    <row r="96" spans="2:98">
      <c r="B96" s="334" t="s">
        <v>343</v>
      </c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225"/>
      <c r="Q96" s="225"/>
      <c r="R96" s="225"/>
      <c r="S96" s="225"/>
      <c r="T96" s="225"/>
      <c r="U96" s="225"/>
      <c r="V96" s="164"/>
      <c r="W96" s="164"/>
      <c r="AA96" s="67" t="s">
        <v>263</v>
      </c>
      <c r="AB96" s="260"/>
      <c r="AC96" s="159">
        <f>E69/$D$22</f>
        <v>0</v>
      </c>
      <c r="AD96" s="198"/>
      <c r="AH96" s="767"/>
      <c r="AI96" s="770"/>
      <c r="AJ96" s="771"/>
      <c r="AK96" s="771"/>
      <c r="AL96" s="771"/>
      <c r="AM96" s="771"/>
      <c r="AN96" s="771"/>
      <c r="AO96" s="771"/>
      <c r="AP96" s="771"/>
      <c r="AQ96" s="771"/>
      <c r="AR96" s="771"/>
      <c r="AS96" s="771"/>
      <c r="AT96" s="771"/>
      <c r="AU96" s="771"/>
      <c r="AV96" s="165"/>
      <c r="AW96" s="165"/>
      <c r="AX96" s="165"/>
      <c r="AY96" s="165"/>
      <c r="AZ96" s="165"/>
      <c r="BA96" s="165"/>
      <c r="BB96" s="381"/>
      <c r="BC96" s="165"/>
      <c r="BD96" s="165"/>
      <c r="BE96" s="165"/>
      <c r="BF96" s="66" t="s">
        <v>330</v>
      </c>
      <c r="BG96" s="59"/>
      <c r="BH96" s="65">
        <f>IF(BH$52="","",BH$7)</f>
        <v>0</v>
      </c>
      <c r="BI96" s="65">
        <f t="shared" ref="BI96:BR96" si="58">BI8</f>
        <v>1</v>
      </c>
      <c r="BJ96" s="65">
        <f t="shared" si="58"/>
        <v>2</v>
      </c>
      <c r="BK96" s="65">
        <f t="shared" si="58"/>
        <v>3</v>
      </c>
      <c r="BL96" s="65">
        <f t="shared" si="58"/>
        <v>4</v>
      </c>
      <c r="BM96" s="65">
        <f t="shared" si="58"/>
        <v>5</v>
      </c>
      <c r="BN96" s="65">
        <f t="shared" si="58"/>
        <v>6</v>
      </c>
      <c r="BO96" s="65">
        <f t="shared" si="58"/>
        <v>7</v>
      </c>
      <c r="BP96" s="65">
        <f t="shared" si="58"/>
        <v>8</v>
      </c>
      <c r="BQ96" s="65">
        <f t="shared" si="58"/>
        <v>9</v>
      </c>
      <c r="BR96" s="65">
        <f t="shared" si="58"/>
        <v>10</v>
      </c>
      <c r="BS96" s="65" t="str">
        <f>IF(BS$52="","",BS$7)</f>
        <v/>
      </c>
      <c r="BT96" s="65" t="str">
        <f>IF(BT$52="","",BT$7)</f>
        <v/>
      </c>
      <c r="BU96" s="65" t="str">
        <f>IF(BU$52="","",BU$7)</f>
        <v/>
      </c>
      <c r="BV96" s="65" t="str">
        <f>IF(BV$52="","",BV$7)</f>
        <v/>
      </c>
      <c r="BW96" s="65" t="str">
        <f>IF(BW$52="","",BW$7)</f>
        <v/>
      </c>
      <c r="BX96" s="165"/>
      <c r="CA96" s="422" t="s">
        <v>311</v>
      </c>
      <c r="CB96" s="216"/>
    </row>
    <row r="97" spans="1:98" ht="49.5">
      <c r="B97" s="342" t="s">
        <v>344</v>
      </c>
      <c r="C97" s="343" t="s">
        <v>345</v>
      </c>
      <c r="D97" s="342" t="s">
        <v>346</v>
      </c>
      <c r="E97" s="342" t="s">
        <v>88</v>
      </c>
      <c r="F97" s="342"/>
      <c r="G97" s="55" t="s">
        <v>347</v>
      </c>
      <c r="H97" s="342" t="s">
        <v>348</v>
      </c>
      <c r="I97" s="55" t="s">
        <v>349</v>
      </c>
      <c r="J97" s="342" t="s">
        <v>350</v>
      </c>
      <c r="K97" s="342" t="s">
        <v>351</v>
      </c>
      <c r="L97" s="342" t="s">
        <v>352</v>
      </c>
      <c r="M97" s="342" t="s">
        <v>353</v>
      </c>
      <c r="N97" s="342" t="s">
        <v>354</v>
      </c>
      <c r="O97" s="342" t="s">
        <v>355</v>
      </c>
      <c r="P97" s="342" t="s">
        <v>356</v>
      </c>
      <c r="Q97" s="342" t="s">
        <v>357</v>
      </c>
      <c r="R97" s="342" t="s">
        <v>358</v>
      </c>
      <c r="S97" s="343" t="s">
        <v>359</v>
      </c>
      <c r="T97" s="225"/>
      <c r="U97" s="225"/>
      <c r="V97" s="164"/>
      <c r="W97" s="164"/>
      <c r="AA97" s="67" t="s">
        <v>269</v>
      </c>
      <c r="AB97" s="260"/>
      <c r="AC97" s="159">
        <f>E70/$D$22</f>
        <v>0</v>
      </c>
      <c r="AD97" s="198"/>
      <c r="AH97" s="767"/>
      <c r="AU97" s="768"/>
      <c r="AV97" s="165"/>
      <c r="AW97" s="165"/>
      <c r="AX97" s="165"/>
      <c r="AY97" s="165"/>
      <c r="AZ97" s="165"/>
      <c r="BA97" s="165"/>
      <c r="BB97" s="381"/>
      <c r="BC97" s="165"/>
      <c r="BD97" s="165"/>
      <c r="BE97" s="165"/>
      <c r="BF97" s="103" t="s">
        <v>4</v>
      </c>
      <c r="BG97" s="59"/>
      <c r="BH97" s="59"/>
      <c r="BI97" s="136">
        <f t="shared" ref="BI97:BW97" ca="1" si="59">IF(BI96="","",IFERROR(IRR(BI98:BI113),""))</f>
        <v>7.2819320274485788E-2</v>
      </c>
      <c r="BJ97" s="136">
        <f t="shared" ca="1" si="59"/>
        <v>-0.11913050818266313</v>
      </c>
      <c r="BK97" s="136" t="str">
        <f t="shared" ca="1" si="59"/>
        <v/>
      </c>
      <c r="BL97" s="136" t="str">
        <f t="shared" ca="1" si="59"/>
        <v/>
      </c>
      <c r="BM97" s="136" t="str">
        <f t="shared" ca="1" si="59"/>
        <v/>
      </c>
      <c r="BN97" s="136">
        <f t="shared" si="59"/>
        <v>0.28965383839288394</v>
      </c>
      <c r="BO97" s="136">
        <f t="shared" si="59"/>
        <v>-0.74345386275512748</v>
      </c>
      <c r="BP97" s="136" t="str">
        <f t="shared" si="59"/>
        <v/>
      </c>
      <c r="BQ97" s="136" t="str">
        <f t="shared" si="59"/>
        <v/>
      </c>
      <c r="BR97" s="136" t="str">
        <f t="shared" si="59"/>
        <v/>
      </c>
      <c r="BS97" s="136" t="str">
        <f t="shared" si="59"/>
        <v/>
      </c>
      <c r="BT97" s="136" t="str">
        <f t="shared" si="59"/>
        <v/>
      </c>
      <c r="BU97" s="136" t="str">
        <f t="shared" si="59"/>
        <v/>
      </c>
      <c r="BV97" s="136" t="str">
        <f t="shared" si="59"/>
        <v/>
      </c>
      <c r="BW97" s="136" t="str">
        <f t="shared" si="59"/>
        <v/>
      </c>
      <c r="BX97" s="165"/>
      <c r="CA97" s="422" t="s">
        <v>338</v>
      </c>
      <c r="CB97" s="216"/>
    </row>
    <row r="98" spans="1:98">
      <c r="B98" s="225">
        <v>1</v>
      </c>
      <c r="C98" s="225" t="s">
        <v>360</v>
      </c>
      <c r="D98" s="225" t="s">
        <v>361</v>
      </c>
      <c r="E98" s="225" t="s">
        <v>100</v>
      </c>
      <c r="F98" s="225"/>
      <c r="G98" s="335">
        <v>53766.5</v>
      </c>
      <c r="H98" s="441">
        <f>G98*12</f>
        <v>645198</v>
      </c>
      <c r="I98" s="335">
        <v>65183.166666666664</v>
      </c>
      <c r="J98" s="441">
        <f>I98*12</f>
        <v>782198</v>
      </c>
      <c r="K98" s="335">
        <v>65183.166666666664</v>
      </c>
      <c r="L98" s="336">
        <f>K98*12</f>
        <v>782198</v>
      </c>
      <c r="M98" s="337">
        <v>45839</v>
      </c>
      <c r="N98" s="338">
        <v>49856</v>
      </c>
      <c r="O98" s="339">
        <v>120</v>
      </c>
      <c r="P98" s="225" t="s">
        <v>363</v>
      </c>
      <c r="Q98" s="335">
        <f>K98</f>
        <v>65183.166666666664</v>
      </c>
      <c r="R98" s="340">
        <v>20000</v>
      </c>
      <c r="S98" s="225"/>
      <c r="T98" s="225"/>
      <c r="U98" s="225"/>
      <c r="V98" s="164"/>
      <c r="W98" s="164"/>
      <c r="AA98" s="67" t="s">
        <v>272</v>
      </c>
      <c r="AB98" s="260"/>
      <c r="AC98" s="115">
        <f>E71/$D$22</f>
        <v>0.5</v>
      </c>
      <c r="AD98" s="198"/>
      <c r="AH98" s="767"/>
      <c r="AU98" s="768"/>
      <c r="AV98" s="165"/>
      <c r="AW98" s="165"/>
      <c r="AX98" s="165"/>
      <c r="AY98" s="165"/>
      <c r="AZ98" s="165"/>
      <c r="BA98" s="165"/>
      <c r="BB98" s="381"/>
      <c r="BC98" s="165"/>
      <c r="BD98" s="165"/>
      <c r="BE98" s="165"/>
      <c r="BF98" s="256">
        <f>BH96</f>
        <v>0</v>
      </c>
      <c r="BG98" s="56"/>
      <c r="BH98" s="73">
        <f t="shared" ref="BH98:BH108" si="60">$BH$28-$BH$23</f>
        <v>-9477435.9429999981</v>
      </c>
      <c r="BI98" s="71" t="str">
        <f t="shared" ref="BI98:BW113" si="61">IF(OR(BI$75="",$AV98=""),"",(BI$75&lt;=$AV98)*(-BI$22+BI$26+BI$36)+(BI$75=$AV98)*(BI$43-BI$46))</f>
        <v/>
      </c>
      <c r="BJ98" s="71" t="str">
        <f t="shared" si="61"/>
        <v/>
      </c>
      <c r="BK98" s="71" t="str">
        <f t="shared" si="61"/>
        <v/>
      </c>
      <c r="BL98" s="71" t="str">
        <f t="shared" si="61"/>
        <v/>
      </c>
      <c r="BM98" s="71" t="str">
        <f t="shared" si="61"/>
        <v/>
      </c>
      <c r="BN98" s="71" t="str">
        <f t="shared" si="61"/>
        <v/>
      </c>
      <c r="BO98" s="71" t="str">
        <f t="shared" si="61"/>
        <v/>
      </c>
      <c r="BP98" s="71" t="str">
        <f t="shared" si="61"/>
        <v/>
      </c>
      <c r="BQ98" s="71" t="str">
        <f t="shared" si="61"/>
        <v/>
      </c>
      <c r="BR98" s="71" t="str">
        <f t="shared" si="61"/>
        <v/>
      </c>
      <c r="BS98" s="71" t="str">
        <f t="shared" si="61"/>
        <v/>
      </c>
      <c r="BT98" s="71" t="str">
        <f t="shared" si="61"/>
        <v/>
      </c>
      <c r="BU98" s="71" t="str">
        <f t="shared" si="61"/>
        <v/>
      </c>
      <c r="BV98" s="71" t="str">
        <f t="shared" si="61"/>
        <v/>
      </c>
      <c r="BW98" s="71" t="str">
        <f t="shared" si="61"/>
        <v/>
      </c>
      <c r="BX98" s="165"/>
      <c r="CA98" s="422" t="str">
        <f>"Distributions to LP "&amp;CA92</f>
        <v>Distributions to LP Tier 3</v>
      </c>
      <c r="CB98" s="216"/>
    </row>
    <row r="99" spans="1:98" ht="15.75" customHeight="1">
      <c r="B99" s="225">
        <v>2</v>
      </c>
      <c r="C99" s="225" t="s">
        <v>360</v>
      </c>
      <c r="D99" s="225" t="s">
        <v>364</v>
      </c>
      <c r="E99" s="225" t="s">
        <v>100</v>
      </c>
      <c r="F99" s="225"/>
      <c r="G99" s="335">
        <v>26883.1</v>
      </c>
      <c r="H99" s="441">
        <f t="shared" ref="H99:H101" si="62">G99*12</f>
        <v>322597.19999999995</v>
      </c>
      <c r="I99" s="335">
        <v>26883.1</v>
      </c>
      <c r="J99" s="441">
        <f t="shared" ref="J99:J101" si="63">I99*12</f>
        <v>322597.19999999995</v>
      </c>
      <c r="K99" s="335">
        <v>26883.1</v>
      </c>
      <c r="L99" s="336">
        <f>K99*12</f>
        <v>322597.19999999995</v>
      </c>
      <c r="M99" s="337">
        <v>45839</v>
      </c>
      <c r="N99" s="338">
        <v>49856</v>
      </c>
      <c r="O99" s="339">
        <v>120</v>
      </c>
      <c r="P99" s="225" t="s">
        <v>363</v>
      </c>
      <c r="Q99" s="335">
        <f>K99</f>
        <v>26883.1</v>
      </c>
      <c r="R99" s="340">
        <v>10000</v>
      </c>
      <c r="S99" s="225"/>
      <c r="T99" s="225"/>
      <c r="U99" s="225"/>
      <c r="AA99" s="67" t="s">
        <v>276</v>
      </c>
      <c r="AB99" s="260"/>
      <c r="AC99" s="159">
        <f>E72/$D$22</f>
        <v>0</v>
      </c>
      <c r="AD99" s="198"/>
      <c r="AH99" s="767"/>
      <c r="AU99" s="768"/>
      <c r="AV99" s="165"/>
      <c r="AW99" s="165"/>
      <c r="AX99" s="165"/>
      <c r="AY99" s="165"/>
      <c r="AZ99" s="165"/>
      <c r="BA99" s="165"/>
      <c r="BB99" s="381"/>
      <c r="BC99" s="165"/>
      <c r="BD99" s="165"/>
      <c r="BE99" s="165"/>
      <c r="BF99" s="256">
        <f>BI96</f>
        <v>1</v>
      </c>
      <c r="BG99" s="136" t="e">
        <f t="shared" ref="BG99:BG113" ca="1" si="64">IF(BF99="","",IRR(BH99:BW99))</f>
        <v>#NUM!</v>
      </c>
      <c r="BH99" s="73">
        <f t="shared" si="60"/>
        <v>-9477435.9429999981</v>
      </c>
      <c r="BI99" s="73">
        <f t="shared" ref="BI99:BI108" ca="1" si="65">(BI$96&lt;&gt;"") * ($BF99&lt;&gt;"") * ((BI$96&lt;=$BF99)*(-$BI$23+$BI$22+$BI$38) + (BI$96=$BF99)*($BI$44-$BI$47))</f>
        <v>-659230.89492835384</v>
      </c>
      <c r="BJ99" s="73">
        <f ca="1">($BI$96&lt;&gt;"") * ($BF$99&lt;&gt;"") * ((BJ96&lt;=$BF$99)*(-$BI$60+$BI38) + (BJ96=$BF$99)*$BI$64)</f>
        <v>0</v>
      </c>
      <c r="BK99" s="73">
        <f ca="1">($BI$96&lt;&gt;"") * ($BF$99&lt;&gt;"") * ((BK96&lt;=$BF$99)*(-$BI$60+$BI38) + (BK96=$BF$99)*$BI$64)</f>
        <v>0</v>
      </c>
      <c r="BL99" s="73">
        <f ca="1">($BI$96&lt;&gt;"") * ($BF$99&lt;&gt;"") * ((BL96&lt;=$BF$99)*(-$BI$60+$BI38) + (BL96=$BF$99)*$BI$64)</f>
        <v>0</v>
      </c>
      <c r="BM99" s="73">
        <f ca="1">($BI$96&lt;&gt;"") * ($BF$99&lt;&gt;"") * ((BM96&lt;=$BF$99)*(-$BI$60+$BI38) + (BM96=$BF$99)*$BI$64)</f>
        <v>0</v>
      </c>
      <c r="BN99" s="73" t="str">
        <f t="shared" si="61"/>
        <v/>
      </c>
      <c r="BO99" s="73" t="str">
        <f t="shared" si="61"/>
        <v/>
      </c>
      <c r="BP99" s="73" t="str">
        <f t="shared" si="61"/>
        <v/>
      </c>
      <c r="BQ99" s="73" t="str">
        <f t="shared" si="61"/>
        <v/>
      </c>
      <c r="BR99" s="73" t="str">
        <f t="shared" si="61"/>
        <v/>
      </c>
      <c r="BS99" s="73" t="str">
        <f t="shared" si="61"/>
        <v/>
      </c>
      <c r="BT99" s="73" t="str">
        <f t="shared" si="61"/>
        <v/>
      </c>
      <c r="BU99" s="73" t="str">
        <f t="shared" si="61"/>
        <v/>
      </c>
      <c r="BV99" s="73" t="str">
        <f t="shared" si="61"/>
        <v/>
      </c>
      <c r="BW99" s="73" t="str">
        <f t="shared" si="61"/>
        <v/>
      </c>
      <c r="BX99" s="165"/>
      <c r="CA99" s="422" t="s">
        <v>314</v>
      </c>
      <c r="CB99" s="216"/>
    </row>
    <row r="100" spans="1:98">
      <c r="B100" s="225">
        <v>3</v>
      </c>
      <c r="C100" s="225" t="s">
        <v>360</v>
      </c>
      <c r="D100" s="225" t="s">
        <v>365</v>
      </c>
      <c r="E100" s="225" t="s">
        <v>100</v>
      </c>
      <c r="F100" s="225"/>
      <c r="G100" s="335">
        <v>21507.1</v>
      </c>
      <c r="H100" s="441">
        <f t="shared" si="62"/>
        <v>258085.19999999998</v>
      </c>
      <c r="I100" s="335">
        <v>21507.1</v>
      </c>
      <c r="J100" s="441">
        <f t="shared" si="63"/>
        <v>258085.19999999998</v>
      </c>
      <c r="K100" s="335">
        <v>21507.1</v>
      </c>
      <c r="L100" s="336">
        <f>K100*12</f>
        <v>258085.19999999998</v>
      </c>
      <c r="M100" s="337">
        <v>45839</v>
      </c>
      <c r="N100" s="338">
        <v>49856</v>
      </c>
      <c r="O100" s="339">
        <v>120</v>
      </c>
      <c r="P100" s="225" t="s">
        <v>363</v>
      </c>
      <c r="Q100" s="335">
        <f>K100</f>
        <v>21507.1</v>
      </c>
      <c r="R100" s="340">
        <v>8000</v>
      </c>
      <c r="S100" s="225"/>
      <c r="T100" s="225"/>
      <c r="U100" s="225"/>
      <c r="AA100" s="103" t="s">
        <v>233</v>
      </c>
      <c r="AB100" s="260"/>
      <c r="AC100" s="69">
        <f>SUM(AC96:AC99)</f>
        <v>0.5</v>
      </c>
      <c r="AD100" s="198"/>
      <c r="AH100" s="767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68"/>
      <c r="AV100" s="165"/>
      <c r="AW100" s="165"/>
      <c r="AX100" s="165"/>
      <c r="AY100" s="165"/>
      <c r="AZ100" s="165"/>
      <c r="BA100" s="165"/>
      <c r="BB100" s="381"/>
      <c r="BC100" s="165"/>
      <c r="BD100" s="165"/>
      <c r="BE100" s="165"/>
      <c r="BF100" s="256">
        <f>BJ96</f>
        <v>2</v>
      </c>
      <c r="BG100" s="136" t="e">
        <f t="shared" ca="1" si="64"/>
        <v>#NUM!</v>
      </c>
      <c r="BH100" s="73">
        <f t="shared" si="60"/>
        <v>-9477435.9429999981</v>
      </c>
      <c r="BI100" s="73">
        <f t="shared" ca="1" si="65"/>
        <v>102399.9119238751</v>
      </c>
      <c r="BJ100" s="73">
        <f t="shared" ref="BJ100:BJ108" si="66">(BJ$96&lt;&gt;"") * ($BF100&lt;&gt;"") * ((BJ$96&lt;=$BF100)*(-$BJ$23+$BJ$22+$BJ$38) + (BJ$96=$BF100)*($BJ$44-$BJ$47))</f>
        <v>-1000908.459822435</v>
      </c>
      <c r="BK100" s="73" t="str">
        <f>IF(OR(BK$75="",$AV100=""),"",(BK$75&lt;=$AV100)*(-BK$22+BK$26+BK$36)+(BK$75=$AV100)*(BK$43-BK$46))</f>
        <v/>
      </c>
      <c r="BL100" s="73" t="str">
        <f>IF(OR(BL$75="",$AV100=""),"",(BL$75&lt;=$AV100)*(-BL$22+BL$26+BL$36)+(BL$75=$AV100)*(BL$43-BL$46))</f>
        <v/>
      </c>
      <c r="BM100" s="73" t="str">
        <f>IF(OR(BM$75="",$AV100=""),"",(BM$75&lt;=$AV100)*(-BM$22+BM$26+BM$36)+(BM$75=$AV100)*(BM$43-BM$46))</f>
        <v/>
      </c>
      <c r="BN100" s="73" t="str">
        <f t="shared" si="61"/>
        <v/>
      </c>
      <c r="BO100" s="73" t="str">
        <f t="shared" si="61"/>
        <v/>
      </c>
      <c r="BP100" s="73" t="str">
        <f t="shared" si="61"/>
        <v/>
      </c>
      <c r="BQ100" s="73" t="str">
        <f t="shared" si="61"/>
        <v/>
      </c>
      <c r="BR100" s="73" t="str">
        <f t="shared" si="61"/>
        <v/>
      </c>
      <c r="BS100" s="73" t="str">
        <f t="shared" si="61"/>
        <v/>
      </c>
      <c r="BT100" s="73" t="str">
        <f t="shared" si="61"/>
        <v/>
      </c>
      <c r="BU100" s="73" t="str">
        <f t="shared" si="61"/>
        <v/>
      </c>
      <c r="BV100" s="73" t="str">
        <f t="shared" si="61"/>
        <v/>
      </c>
      <c r="BW100" s="73" t="str">
        <f t="shared" si="61"/>
        <v/>
      </c>
      <c r="BX100" s="165"/>
      <c r="CA100" s="429" t="str">
        <f>CB93</f>
        <v> </v>
      </c>
      <c r="CB100" s="216"/>
    </row>
    <row r="101" spans="1:98">
      <c r="B101" s="225">
        <v>4</v>
      </c>
      <c r="C101" s="225" t="s">
        <v>360</v>
      </c>
      <c r="D101" s="225" t="s">
        <v>366</v>
      </c>
      <c r="E101" s="225" t="s">
        <v>100</v>
      </c>
      <c r="F101" s="225"/>
      <c r="G101" s="335">
        <v>32260</v>
      </c>
      <c r="H101" s="441">
        <f t="shared" si="62"/>
        <v>387120</v>
      </c>
      <c r="I101" s="335">
        <v>32260</v>
      </c>
      <c r="J101" s="441">
        <f t="shared" si="63"/>
        <v>387120</v>
      </c>
      <c r="K101" s="335">
        <v>32260</v>
      </c>
      <c r="L101" s="335">
        <f>K101*12</f>
        <v>387120</v>
      </c>
      <c r="M101" s="337">
        <v>45839</v>
      </c>
      <c r="N101" s="338">
        <v>49856</v>
      </c>
      <c r="O101" s="339">
        <v>120</v>
      </c>
      <c r="P101" s="225" t="s">
        <v>363</v>
      </c>
      <c r="Q101" s="335">
        <f>K101</f>
        <v>32260</v>
      </c>
      <c r="R101" s="340">
        <v>12000</v>
      </c>
      <c r="S101" s="225"/>
      <c r="T101" s="225"/>
      <c r="U101" s="225"/>
      <c r="AA101" s="103"/>
      <c r="AB101" s="260"/>
      <c r="AC101" s="69"/>
      <c r="AD101" s="198"/>
      <c r="AH101" s="768"/>
      <c r="AI101" s="768"/>
      <c r="AJ101" s="768"/>
      <c r="AK101" s="769"/>
      <c r="AL101" s="768"/>
      <c r="AM101" s="768"/>
      <c r="AN101" s="768"/>
      <c r="AO101" s="768"/>
      <c r="AP101" s="768"/>
      <c r="AQ101" s="768"/>
      <c r="AR101" s="768"/>
      <c r="AS101" s="768"/>
      <c r="AT101" s="768"/>
      <c r="AU101" s="768"/>
      <c r="AV101" s="165"/>
      <c r="AW101" s="165"/>
      <c r="AX101" s="165"/>
      <c r="AY101" s="165"/>
      <c r="AZ101" s="165"/>
      <c r="BA101" s="165"/>
      <c r="BB101" s="381"/>
      <c r="BC101" s="165"/>
      <c r="BD101" s="165"/>
      <c r="BE101" s="165"/>
      <c r="BF101" s="256">
        <f>BK96</f>
        <v>3</v>
      </c>
      <c r="BG101" s="136" t="e">
        <f t="shared" ca="1" si="64"/>
        <v>#NUM!</v>
      </c>
      <c r="BH101" s="73">
        <f t="shared" si="60"/>
        <v>-9477435.9429999981</v>
      </c>
      <c r="BI101" s="73">
        <f t="shared" ca="1" si="65"/>
        <v>102399.9119238751</v>
      </c>
      <c r="BJ101" s="73">
        <f t="shared" si="66"/>
        <v>67798.631039576489</v>
      </c>
      <c r="BK101" s="73">
        <f>(BK$96&lt;&gt;"") * ($BF101&lt;&gt;"") * ((BK$96&lt;=$BF101)*(-$BK$23+$BK$22+$BK$38) + (BK$96=$BF101)*($BK$44-$BK$47))</f>
        <v>-1616409.5901558567</v>
      </c>
      <c r="BL101" s="73" t="str">
        <f>IF(OR(BL$75="",$AV101=""),"",(BL$75&lt;=$AV101)*(-BL$22+BL$26+BL$36)+(BL$75=$AV101)*(BL$43-BL$46))</f>
        <v/>
      </c>
      <c r="BM101" s="73" t="str">
        <f>IF(OR(BM$75="",$AV101=""),"",(BM$75&lt;=$AV101)*(-BM$22+BM$26+BM$36)+(BM$75=$AV101)*(BM$43-BM$46))</f>
        <v/>
      </c>
      <c r="BN101" s="73" t="str">
        <f t="shared" si="61"/>
        <v/>
      </c>
      <c r="BO101" s="73" t="str">
        <f t="shared" si="61"/>
        <v/>
      </c>
      <c r="BP101" s="73" t="str">
        <f t="shared" si="61"/>
        <v/>
      </c>
      <c r="BQ101" s="73" t="str">
        <f t="shared" si="61"/>
        <v/>
      </c>
      <c r="BR101" s="73" t="str">
        <f t="shared" si="61"/>
        <v/>
      </c>
      <c r="BS101" s="73" t="str">
        <f t="shared" si="61"/>
        <v/>
      </c>
      <c r="BT101" s="73" t="str">
        <f t="shared" si="61"/>
        <v/>
      </c>
      <c r="BU101" s="73" t="str">
        <f t="shared" si="61"/>
        <v/>
      </c>
      <c r="BV101" s="73" t="str">
        <f t="shared" si="61"/>
        <v/>
      </c>
      <c r="BW101" s="73" t="str">
        <f t="shared" si="61"/>
        <v/>
      </c>
      <c r="BX101" s="165"/>
      <c r="CA101" s="430" t="s">
        <v>158</v>
      </c>
      <c r="CB101" s="252" t="s">
        <v>158</v>
      </c>
    </row>
    <row r="102" spans="1:98">
      <c r="B102" s="225"/>
      <c r="C102" s="225"/>
      <c r="D102" s="225"/>
      <c r="E102" s="225"/>
      <c r="F102" s="225"/>
      <c r="M102" s="337"/>
      <c r="N102" s="338"/>
      <c r="O102" s="339"/>
      <c r="P102" s="225"/>
      <c r="Q102" s="335"/>
      <c r="R102" s="225"/>
      <c r="S102" s="225"/>
      <c r="T102" s="225"/>
      <c r="U102" s="225"/>
      <c r="AA102" s="106" t="s">
        <v>237</v>
      </c>
      <c r="AB102" s="260"/>
      <c r="AC102" s="158">
        <f>AC94-AC100</f>
        <v>-14.268999999999998</v>
      </c>
      <c r="AD102" s="198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381"/>
      <c r="BC102" s="165"/>
      <c r="BD102" s="165"/>
      <c r="BE102" s="165"/>
      <c r="BF102" s="256">
        <f>BL96</f>
        <v>4</v>
      </c>
      <c r="BG102" s="136" t="e">
        <f t="shared" ca="1" si="64"/>
        <v>#NUM!</v>
      </c>
      <c r="BH102" s="73">
        <f t="shared" si="60"/>
        <v>-9477435.9429999981</v>
      </c>
      <c r="BI102" s="73">
        <f t="shared" ca="1" si="65"/>
        <v>102399.9119238751</v>
      </c>
      <c r="BJ102" s="73">
        <f t="shared" si="66"/>
        <v>67798.631039576489</v>
      </c>
      <c r="BK102" s="73">
        <f t="shared" ref="BK102:BK108" si="67">(BK$96&lt;&gt;"") * ($BF102&lt;&gt;"") * ((BK$96&lt;=$BF102)*(-$BK$23+$BK$22+$BK$38) + (BK$96=$BF102)*($BK$44-$BK$48))</f>
        <v>-219621.98632794246</v>
      </c>
      <c r="BL102" s="73">
        <f t="shared" ref="BL102:BL108" si="68">(BL$96&lt;&gt;"") * ($BF102&lt;&gt;"") * ((BL$96&lt;=$BF102)*(-$BL$23+$BL$22+$BL$38) + (BL$96=$BF102)*($BL$44-$BL$47))</f>
        <v>-3258826.6253343052</v>
      </c>
      <c r="BM102" s="73" t="str">
        <f>IF(OR(BM$75="",$AV102=""),"",(BM$75&lt;=$AV102)*(-BM$22+BM$26+BM$36)+(BM$75=$AV102)*(BM$43-BM$46))</f>
        <v/>
      </c>
      <c r="BN102" s="73" t="str">
        <f t="shared" si="61"/>
        <v/>
      </c>
      <c r="BO102" s="73" t="str">
        <f t="shared" si="61"/>
        <v/>
      </c>
      <c r="BP102" s="73" t="str">
        <f t="shared" si="61"/>
        <v/>
      </c>
      <c r="BQ102" s="73" t="str">
        <f t="shared" si="61"/>
        <v/>
      </c>
      <c r="BR102" s="73" t="str">
        <f t="shared" si="61"/>
        <v/>
      </c>
      <c r="BS102" s="73" t="str">
        <f t="shared" si="61"/>
        <v/>
      </c>
      <c r="BT102" s="73" t="str">
        <f t="shared" si="61"/>
        <v/>
      </c>
      <c r="BU102" s="73" t="str">
        <f t="shared" si="61"/>
        <v/>
      </c>
      <c r="BV102" s="73" t="str">
        <f t="shared" si="61"/>
        <v/>
      </c>
      <c r="BW102" s="73" t="str">
        <f t="shared" si="61"/>
        <v/>
      </c>
      <c r="BX102" s="165"/>
      <c r="CA102" s="422" t="s">
        <v>315</v>
      </c>
      <c r="CB102" s="216"/>
    </row>
    <row r="103" spans="1:98">
      <c r="B103" s="442" t="s">
        <v>212</v>
      </c>
      <c r="C103" s="443"/>
      <c r="D103" s="443"/>
      <c r="E103" s="443"/>
      <c r="F103" s="443"/>
      <c r="G103" s="444">
        <f>SUM(G98:G102)</f>
        <v>134416.70000000001</v>
      </c>
      <c r="H103" s="444">
        <f>SUM(H98:H102)</f>
        <v>1613000.4</v>
      </c>
      <c r="I103" s="444"/>
      <c r="J103" s="444"/>
      <c r="K103" s="444">
        <f>SUM(K98:K101)</f>
        <v>145833.36666666667</v>
      </c>
      <c r="L103" s="445">
        <f>SUM(L98:L101)</f>
        <v>1750000.4</v>
      </c>
      <c r="M103" s="443"/>
      <c r="N103" s="443"/>
      <c r="O103" s="443"/>
      <c r="P103" s="225"/>
      <c r="Q103" s="225"/>
      <c r="R103" s="225"/>
      <c r="S103" s="225"/>
      <c r="T103" s="225"/>
      <c r="U103" s="225"/>
      <c r="AA103" s="260"/>
      <c r="AB103" s="260"/>
      <c r="AC103" s="260"/>
      <c r="AD103" s="198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381"/>
      <c r="BC103" s="165"/>
      <c r="BD103" s="165"/>
      <c r="BE103" s="165"/>
      <c r="BF103" s="256">
        <f>BM96</f>
        <v>5</v>
      </c>
      <c r="BG103" s="136" t="e">
        <f t="shared" ca="1" si="64"/>
        <v>#NUM!</v>
      </c>
      <c r="BH103" s="73">
        <f t="shared" si="60"/>
        <v>-9477435.9429999981</v>
      </c>
      <c r="BI103" s="73">
        <f t="shared" ca="1" si="65"/>
        <v>102399.9119238751</v>
      </c>
      <c r="BJ103" s="73">
        <f t="shared" si="66"/>
        <v>67798.631039576489</v>
      </c>
      <c r="BK103" s="73">
        <f t="shared" si="67"/>
        <v>-219621.98632794246</v>
      </c>
      <c r="BL103" s="73">
        <f t="shared" si="68"/>
        <v>-1510130.3272574055</v>
      </c>
      <c r="BM103" s="73">
        <f>(BM$96&lt;&gt;"") * ($BF103&lt;&gt;"") * ((BM$96&lt;=$BF103)*(-$BM$23+$BM$22+$BM$38) + (BM$96=$BF103)*($BM$44-$BM$47))</f>
        <v>-2181556.1777420333</v>
      </c>
      <c r="BN103" s="73" t="str">
        <f t="shared" si="61"/>
        <v/>
      </c>
      <c r="BO103" s="73" t="str">
        <f t="shared" si="61"/>
        <v/>
      </c>
      <c r="BP103" s="73" t="str">
        <f t="shared" si="61"/>
        <v/>
      </c>
      <c r="BQ103" s="73" t="str">
        <f t="shared" si="61"/>
        <v/>
      </c>
      <c r="BR103" s="73" t="str">
        <f t="shared" si="61"/>
        <v/>
      </c>
      <c r="BS103" s="73" t="str">
        <f t="shared" si="61"/>
        <v/>
      </c>
      <c r="BT103" s="73" t="str">
        <f t="shared" si="61"/>
        <v/>
      </c>
      <c r="BU103" s="73" t="str">
        <f t="shared" si="61"/>
        <v/>
      </c>
      <c r="BV103" s="73" t="str">
        <f t="shared" si="61"/>
        <v/>
      </c>
      <c r="BW103" s="73" t="str">
        <f t="shared" si="61"/>
        <v/>
      </c>
      <c r="BX103" s="165"/>
      <c r="CA103" s="422" t="s">
        <v>321</v>
      </c>
      <c r="CB103" s="216"/>
    </row>
    <row r="104" spans="1:98"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AA104" s="253"/>
      <c r="AB104" s="253"/>
      <c r="AC104" s="253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381"/>
      <c r="BC104" s="165"/>
      <c r="BD104" s="165"/>
      <c r="BE104" s="165"/>
      <c r="BF104" s="256">
        <f>BN96</f>
        <v>6</v>
      </c>
      <c r="BG104" s="136" t="e">
        <f t="shared" ca="1" si="64"/>
        <v>#NUM!</v>
      </c>
      <c r="BH104" s="73">
        <f t="shared" si="60"/>
        <v>-9477435.9429999981</v>
      </c>
      <c r="BI104" s="73">
        <f t="shared" ca="1" si="65"/>
        <v>102399.9119238751</v>
      </c>
      <c r="BJ104" s="73">
        <f t="shared" si="66"/>
        <v>67798.631039576489</v>
      </c>
      <c r="BK104" s="73">
        <f t="shared" si="67"/>
        <v>-219621.98632794246</v>
      </c>
      <c r="BL104" s="73">
        <f t="shared" si="68"/>
        <v>-1510130.3272574055</v>
      </c>
      <c r="BM104" s="73">
        <f>(BM$96&lt;&gt;"") * ($BF104&lt;&gt;"") * ((BM$96&lt;=$BF104)*(-$BM$23+$BM$22+$BM$38) + (BM$96=$BF104)*($BM$44-$BM$48))</f>
        <v>-54021.324681891827</v>
      </c>
      <c r="BN104" s="73">
        <f>(BN$96&lt;&gt;"") * ($BF104&lt;&gt;"") * ((BN$96&lt;=$BF104)*(-$BN$23+$BN$22+$BN$38) + (BN$96=$BF104)*($BN$44-$BN$47))</f>
        <v>-132010.03006702685</v>
      </c>
      <c r="BO104" s="73" t="str">
        <f t="shared" si="61"/>
        <v/>
      </c>
      <c r="BP104" s="73" t="str">
        <f t="shared" si="61"/>
        <v/>
      </c>
      <c r="BQ104" s="73" t="str">
        <f t="shared" si="61"/>
        <v/>
      </c>
      <c r="BR104" s="73" t="str">
        <f t="shared" si="61"/>
        <v/>
      </c>
      <c r="BS104" s="73" t="str">
        <f t="shared" si="61"/>
        <v/>
      </c>
      <c r="BT104" s="73" t="str">
        <f t="shared" si="61"/>
        <v/>
      </c>
      <c r="BU104" s="73" t="str">
        <f t="shared" si="61"/>
        <v/>
      </c>
      <c r="BV104" s="73" t="str">
        <f t="shared" si="61"/>
        <v/>
      </c>
      <c r="BW104" s="73" t="str">
        <f t="shared" si="61"/>
        <v/>
      </c>
      <c r="BX104" s="165"/>
      <c r="CA104" s="422" t="str">
        <f>"Total Distributions ("&amp;CA92&amp;")"</f>
        <v>Total Distributions (Tier 3)</v>
      </c>
      <c r="CB104" s="216"/>
    </row>
    <row r="105" spans="1:98">
      <c r="B105" s="341" t="s">
        <v>367</v>
      </c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AA105" s="253"/>
      <c r="AB105" s="253"/>
      <c r="AC105" s="253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381"/>
      <c r="BC105" s="165"/>
      <c r="BD105" s="165"/>
      <c r="BE105" s="165"/>
      <c r="BF105" s="256">
        <f>BO96</f>
        <v>7</v>
      </c>
      <c r="BG105" s="136" t="e">
        <f t="shared" ca="1" si="64"/>
        <v>#NUM!</v>
      </c>
      <c r="BH105" s="73">
        <f t="shared" si="60"/>
        <v>-9477435.9429999981</v>
      </c>
      <c r="BI105" s="73">
        <f t="shared" ca="1" si="65"/>
        <v>102399.9119238751</v>
      </c>
      <c r="BJ105" s="73">
        <f t="shared" si="66"/>
        <v>67798.631039576489</v>
      </c>
      <c r="BK105" s="73">
        <f t="shared" si="67"/>
        <v>-219621.98632794246</v>
      </c>
      <c r="BL105" s="73">
        <f t="shared" si="68"/>
        <v>-1510130.3272574055</v>
      </c>
      <c r="BM105" s="73">
        <f>(BM$96&lt;&gt;"") * ($BF105&lt;&gt;"") * ((BM$96&lt;=$BF105)*(-$BM$23+$BM$22+$BM$38) + (BM$96=$BF105)*($BM$44-$BM$48))</f>
        <v>-54021.324681891827</v>
      </c>
      <c r="BN105" s="73">
        <f>(BN$96&lt;&gt;"") * ($BF105&lt;&gt;"") * ((BN$96&lt;=$BF105)*(-$BN$23+$BN$22+$BN$38) + (BN$96=$BF105)*($BN$44-$BN$48))</f>
        <v>59885.92946046195</v>
      </c>
      <c r="BO105" s="73">
        <f>(BO$96&lt;&gt;"") * ($BF105&lt;&gt;"") * ((BO$96&lt;=$BF105)*(-$BO$23+$BO$22+$BO$38) + (BO$96=$BF105)*($BO$44-$BO$47))</f>
        <v>-644164.52883268555</v>
      </c>
      <c r="BP105" s="73" t="str">
        <f t="shared" si="61"/>
        <v/>
      </c>
      <c r="BQ105" s="73" t="str">
        <f t="shared" si="61"/>
        <v/>
      </c>
      <c r="BR105" s="73" t="str">
        <f t="shared" si="61"/>
        <v/>
      </c>
      <c r="BS105" s="73" t="str">
        <f t="shared" si="61"/>
        <v/>
      </c>
      <c r="BT105" s="73" t="str">
        <f t="shared" si="61"/>
        <v/>
      </c>
      <c r="BU105" s="73" t="str">
        <f t="shared" si="61"/>
        <v/>
      </c>
      <c r="BV105" s="73" t="str">
        <f t="shared" si="61"/>
        <v/>
      </c>
      <c r="BW105" s="73" t="str">
        <f t="shared" si="61"/>
        <v/>
      </c>
      <c r="BX105" s="165"/>
      <c r="CA105" s="422" t="s">
        <v>328</v>
      </c>
      <c r="CB105" s="216"/>
    </row>
    <row r="106" spans="1:98">
      <c r="B106" s="341" t="s">
        <v>368</v>
      </c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381"/>
      <c r="BC106" s="165"/>
      <c r="BD106" s="165"/>
      <c r="BE106" s="165"/>
      <c r="BF106" s="256">
        <f>BP96</f>
        <v>8</v>
      </c>
      <c r="BG106" s="136" t="e">
        <f t="shared" ca="1" si="64"/>
        <v>#NUM!</v>
      </c>
      <c r="BH106" s="73">
        <f t="shared" si="60"/>
        <v>-9477435.9429999981</v>
      </c>
      <c r="BI106" s="73">
        <f t="shared" ca="1" si="65"/>
        <v>102399.9119238751</v>
      </c>
      <c r="BJ106" s="73">
        <f t="shared" si="66"/>
        <v>67798.631039576489</v>
      </c>
      <c r="BK106" s="73">
        <f t="shared" si="67"/>
        <v>-219621.98632794246</v>
      </c>
      <c r="BL106" s="73">
        <f t="shared" si="68"/>
        <v>-1510130.3272574055</v>
      </c>
      <c r="BM106" s="73">
        <f>(BM$96&lt;&gt;"") * ($BF106&lt;&gt;"") * ((BM$96&lt;=$BF106)*(-$BM$23+$BM$22+$BM$38) + (BM$96=$BF106)*($BM$44-$BM$48))</f>
        <v>-54021.324681891827</v>
      </c>
      <c r="BN106" s="73">
        <f>(BN$96&lt;&gt;"") * ($BF106&lt;&gt;"") * ((BN$96&lt;=$BF106)*(-$BN$23+$BN$22+$BN$38) + (BN$96=$BF106)*($BN$44-$BN$48))</f>
        <v>59885.92946046195</v>
      </c>
      <c r="BO106" s="73">
        <f>(BO$96&lt;&gt;"") * ($BF106&lt;&gt;"") * ((BO$96&lt;=$BF106)*(-$BO$23+$BO$22+$BO$38) + (BO$96=$BF106)*($BO$44-$BO$48))</f>
        <v>8225.1318187151337</v>
      </c>
      <c r="BP106" s="73">
        <f>(BP$96&lt;&gt;"") * ($BF106&lt;&gt;"") * ((BP$96&lt;=$BF106)*(-$BP$23+$BP$22+$BP$38) + (BP$96=$BF106)*($BP$44-$BP$47))</f>
        <v>-1198707.5286601423</v>
      </c>
      <c r="BQ106" s="73" t="str">
        <f t="shared" si="61"/>
        <v/>
      </c>
      <c r="BR106" s="73" t="str">
        <f t="shared" si="61"/>
        <v/>
      </c>
      <c r="BS106" s="73" t="str">
        <f t="shared" si="61"/>
        <v/>
      </c>
      <c r="BT106" s="73" t="str">
        <f t="shared" si="61"/>
        <v/>
      </c>
      <c r="BU106" s="73" t="str">
        <f t="shared" si="61"/>
        <v/>
      </c>
      <c r="BV106" s="73" t="str">
        <f t="shared" si="61"/>
        <v/>
      </c>
      <c r="BW106" s="73" t="str">
        <f t="shared" si="61"/>
        <v/>
      </c>
      <c r="BX106" s="165"/>
      <c r="CA106" s="422"/>
      <c r="CB106" s="216"/>
    </row>
    <row r="107" spans="1:98">
      <c r="B107" s="341" t="s">
        <v>369</v>
      </c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381"/>
      <c r="BC107" s="165"/>
      <c r="BD107" s="165"/>
      <c r="BE107" s="165"/>
      <c r="BF107" s="256">
        <f>BQ96</f>
        <v>9</v>
      </c>
      <c r="BG107" s="136" t="e">
        <f t="shared" ca="1" si="64"/>
        <v>#NUM!</v>
      </c>
      <c r="BH107" s="73">
        <f t="shared" si="60"/>
        <v>-9477435.9429999981</v>
      </c>
      <c r="BI107" s="73">
        <f t="shared" ca="1" si="65"/>
        <v>102399.9119238751</v>
      </c>
      <c r="BJ107" s="73">
        <f t="shared" si="66"/>
        <v>67798.631039576489</v>
      </c>
      <c r="BK107" s="73">
        <f t="shared" si="67"/>
        <v>-219621.98632794246</v>
      </c>
      <c r="BL107" s="73">
        <f t="shared" si="68"/>
        <v>-1510130.3272574055</v>
      </c>
      <c r="BM107" s="73">
        <f>(BM$96&lt;&gt;"") * ($BF107&lt;&gt;"") * ((BM$96&lt;=$BF107)*(-$BM$23+$BM$22+$BM$38) + (BM$96=$BF107)*($BM$44-$BM$48))</f>
        <v>-54021.324681891827</v>
      </c>
      <c r="BN107" s="73">
        <f>(BN$96&lt;&gt;"") * ($BF107&lt;&gt;"") * ((BN$96&lt;=$BF107)*(-$BN$23+$BN$22+$BN$38) + (BN$96=$BF107)*($BN$44-$BN$48))</f>
        <v>59885.92946046195</v>
      </c>
      <c r="BO107" s="73">
        <f>(BO$96&lt;&gt;"") * ($BF107&lt;&gt;"") * ((BO$96&lt;=$BF107)*(-$BO$23+$BO$22+$BO$38) + (BO$96=$BF107)*($BO$44-$BO$48))</f>
        <v>8225.1318187151337</v>
      </c>
      <c r="BP107" s="73">
        <f>(BP$96&lt;&gt;"") * ($BF107&lt;&gt;"") * ((BP$96&lt;=$BF107)*(-$BP$23+$BP$22+$BP$38) + (BP$96=$BF107)*($BP$44-$BP$48))</f>
        <v>-47890.226697781589</v>
      </c>
      <c r="BQ107" s="73">
        <f>(BQ$96&lt;&gt;"") * ($BF107&lt;&gt;"") * ((BQ$96&lt;=$BF107)*(-$BQ$23+$BQ$22+$BQ$38) + (BQ$96=$BF107)*($BQ$44-$BQ$47))</f>
        <v>-1800585.7338432178</v>
      </c>
      <c r="BR107" s="73" t="str">
        <f t="shared" si="61"/>
        <v/>
      </c>
      <c r="BS107" s="73" t="str">
        <f t="shared" si="61"/>
        <v/>
      </c>
      <c r="BT107" s="73" t="str">
        <f t="shared" si="61"/>
        <v/>
      </c>
      <c r="BU107" s="73" t="str">
        <f t="shared" si="61"/>
        <v/>
      </c>
      <c r="BV107" s="73" t="str">
        <f t="shared" si="61"/>
        <v/>
      </c>
      <c r="BW107" s="73" t="str">
        <f t="shared" si="61"/>
        <v/>
      </c>
      <c r="BX107" s="165"/>
      <c r="CA107" s="431" t="s">
        <v>370</v>
      </c>
      <c r="CB107" s="240"/>
      <c r="CC107" s="240"/>
      <c r="CD107" s="240"/>
      <c r="CE107" s="240" t="s">
        <v>46</v>
      </c>
      <c r="CF107" s="200" t="s">
        <v>47</v>
      </c>
      <c r="CG107" s="200" t="s">
        <v>48</v>
      </c>
      <c r="CH107" s="200" t="s">
        <v>49</v>
      </c>
      <c r="CI107" s="200" t="s">
        <v>50</v>
      </c>
      <c r="CJ107" s="200" t="s">
        <v>51</v>
      </c>
      <c r="CK107" s="200" t="s">
        <v>52</v>
      </c>
      <c r="CL107" s="200" t="s">
        <v>53</v>
      </c>
      <c r="CM107" s="200" t="s">
        <v>54</v>
      </c>
      <c r="CN107" s="200" t="s">
        <v>55</v>
      </c>
      <c r="CO107" s="200" t="s">
        <v>56</v>
      </c>
      <c r="CP107" s="200" t="s">
        <v>1</v>
      </c>
      <c r="CQ107" s="242" t="str">
        <f>CQ$30</f>
        <v> </v>
      </c>
      <c r="CR107" s="242" t="str">
        <f>CR$30</f>
        <v> </v>
      </c>
      <c r="CS107" s="242" t="str">
        <f>CS$30</f>
        <v> </v>
      </c>
      <c r="CT107" s="242" t="str">
        <f>CT$30</f>
        <v> </v>
      </c>
    </row>
    <row r="108" spans="1:98">
      <c r="B108" s="341" t="s">
        <v>371</v>
      </c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381"/>
      <c r="BC108" s="165"/>
      <c r="BD108" s="165"/>
      <c r="BE108" s="165"/>
      <c r="BF108" s="256">
        <f>BR96</f>
        <v>10</v>
      </c>
      <c r="BG108" s="136" t="e">
        <f ca="1">IF(BF108="","",IRR(BH108:BW108))</f>
        <v>#NUM!</v>
      </c>
      <c r="BH108" s="73">
        <f t="shared" si="60"/>
        <v>-9477435.9429999981</v>
      </c>
      <c r="BI108" s="73">
        <f t="shared" ca="1" si="65"/>
        <v>102399.9119238751</v>
      </c>
      <c r="BJ108" s="73">
        <f t="shared" si="66"/>
        <v>67798.631039576489</v>
      </c>
      <c r="BK108" s="73">
        <f t="shared" si="67"/>
        <v>-219621.98632794246</v>
      </c>
      <c r="BL108" s="73">
        <f t="shared" si="68"/>
        <v>-1510130.3272574055</v>
      </c>
      <c r="BM108" s="73">
        <f>(BM$96&lt;&gt;"") * ($BF108&lt;&gt;"") * ((BM$96&lt;=$BF108)*(-$BM$23+$BM$22+$BM$38) + (BM$96=$BF108)*($BM$44-$BM$48))</f>
        <v>-54021.324681891827</v>
      </c>
      <c r="BN108" s="73">
        <f>(BN$96&lt;&gt;"") * ($BF108&lt;&gt;"") * ((BN$96&lt;=$BF108)*(-$BN$23+$BN$22+$BN$38) + (BN$96=$BF108)*($BN$44-$BN$48))</f>
        <v>59885.92946046195</v>
      </c>
      <c r="BO108" s="73">
        <f>(BO$96&lt;&gt;"") * ($BF108&lt;&gt;"") * ((BO$96&lt;=$BF108)*(-$BO$23+$BO$22+$BO$38) + (BO$96=$BF108)*($BO$44-$BO$48))</f>
        <v>8225.1318187151337</v>
      </c>
      <c r="BP108" s="73">
        <f>(BP$96&lt;&gt;"") * ($BF108&lt;&gt;"") * ((BP$96&lt;=$BF108)*(-$BP$23+$BP$22+$BP$38) + (BP$96=$BF108)*($BP$44-$BP$48))</f>
        <v>-47890.226697781589</v>
      </c>
      <c r="BQ108" s="73">
        <f>(BQ$96&lt;&gt;"") * ($BF108&lt;&gt;"") * ((BQ$96&lt;=$BF108)*(-$BQ$23+$BQ$22+$BQ$38) + (BQ$96=$BF108)*($BQ$44-$BQ$48))</f>
        <v>-108890.52467368287</v>
      </c>
      <c r="BR108" s="73">
        <f>(BR$96&lt;&gt;"") * ($BF108&lt;&gt;"") * ((BR$96&lt;=$BF108)*(-$BR$23+$BR$22+$BR$38) + (BR$96=$BF108)*($BR$44-$BR$47))</f>
        <v>-2455230.0949737057</v>
      </c>
      <c r="BS108" s="73" t="str">
        <f t="shared" si="61"/>
        <v/>
      </c>
      <c r="BT108" s="73" t="str">
        <f t="shared" si="61"/>
        <v/>
      </c>
      <c r="BU108" s="73" t="str">
        <f t="shared" si="61"/>
        <v/>
      </c>
      <c r="BV108" s="73" t="str">
        <f t="shared" si="61"/>
        <v/>
      </c>
      <c r="BW108" s="73" t="str">
        <f t="shared" si="61"/>
        <v/>
      </c>
      <c r="BX108" s="165"/>
      <c r="CA108" s="253" t="s">
        <v>372</v>
      </c>
      <c r="CB108" s="55" t="str">
        <f>CB93</f>
        <v> </v>
      </c>
    </row>
    <row r="109" spans="1:98"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AK109" s="5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381"/>
      <c r="BC109" s="165"/>
      <c r="BD109" s="165"/>
      <c r="BE109" s="165"/>
      <c r="BF109" s="256" t="str">
        <f>BS96</f>
        <v/>
      </c>
      <c r="BG109" s="136" t="str">
        <f t="shared" si="64"/>
        <v/>
      </c>
      <c r="BH109" s="73" t="str">
        <f t="shared" ref="BH109:BR113" si="69">IF(OR(BH$75="",$AV109=""),"",(BH$75&lt;=$AV109)*(-BH$22+BH$26+BH$36)+(BH$75=$AV109)*(BH$43-BH$46))</f>
        <v/>
      </c>
      <c r="BI109" s="73" t="str">
        <f t="shared" si="69"/>
        <v/>
      </c>
      <c r="BJ109" s="73" t="str">
        <f t="shared" si="69"/>
        <v/>
      </c>
      <c r="BK109" s="73" t="str">
        <f t="shared" si="69"/>
        <v/>
      </c>
      <c r="BL109" s="73" t="str">
        <f t="shared" si="69"/>
        <v/>
      </c>
      <c r="BM109" s="73" t="str">
        <f t="shared" si="69"/>
        <v/>
      </c>
      <c r="BN109" s="73" t="str">
        <f t="shared" si="69"/>
        <v/>
      </c>
      <c r="BO109" s="73" t="str">
        <f t="shared" si="69"/>
        <v/>
      </c>
      <c r="BP109" s="73" t="str">
        <f t="shared" si="69"/>
        <v/>
      </c>
      <c r="BQ109" s="73" t="str">
        <f t="shared" si="69"/>
        <v/>
      </c>
      <c r="BR109" s="73" t="str">
        <f t="shared" si="69"/>
        <v/>
      </c>
      <c r="BS109" s="73" t="str">
        <f t="shared" si="61"/>
        <v/>
      </c>
      <c r="BT109" s="73" t="str">
        <f t="shared" si="61"/>
        <v/>
      </c>
      <c r="BU109" s="73" t="str">
        <f t="shared" si="61"/>
        <v/>
      </c>
      <c r="BV109" s="73" t="str">
        <f t="shared" si="61"/>
        <v/>
      </c>
      <c r="BW109" s="73" t="str">
        <f t="shared" si="61"/>
        <v/>
      </c>
      <c r="BX109" s="165"/>
      <c r="CA109" s="253" t="s">
        <v>315</v>
      </c>
      <c r="CE109" s="55" t="str">
        <f>IF(CE94="","",CE105*$I$6)</f>
        <v/>
      </c>
      <c r="CF109" s="55" t="str">
        <f>IF(CF94="","",CF105*$I$6)</f>
        <v/>
      </c>
      <c r="CG109" s="55" t="str">
        <f>IF(CG94="","",CG105*$I$6)</f>
        <v/>
      </c>
      <c r="CH109" s="55" t="str">
        <f>IF(CH94="","",CH105*$I$6)</f>
        <v/>
      </c>
      <c r="CI109" s="55" t="str">
        <f>IF(CI94="","",CI105*$I$6)</f>
        <v/>
      </c>
      <c r="CJ109" s="55" t="str">
        <f>IF(CJ94="","",CJ105*$I$6)</f>
        <v/>
      </c>
      <c r="CK109" s="55" t="str">
        <f>IF(CK94="","",CK105*$I$6)</f>
        <v/>
      </c>
      <c r="CL109" s="55" t="str">
        <f>IF(CL94="","",CL105*$I$6)</f>
        <v/>
      </c>
      <c r="CM109" s="55" t="str">
        <f>IF(CM94="","",CM105*$I$6)</f>
        <v/>
      </c>
      <c r="CN109" s="55" t="str">
        <f>IF(CN94="","",CN105*$I$6)</f>
        <v/>
      </c>
      <c r="CO109" s="55" t="str">
        <f>IF(CO94="","",CO105*$I$6)</f>
        <v/>
      </c>
      <c r="CP109" s="55" t="str">
        <f>IF(CP94="","",CP105*$I$6)</f>
        <v/>
      </c>
      <c r="CQ109" s="55" t="str">
        <f>IF(CQ94="","",CQ105*$I$6)</f>
        <v/>
      </c>
      <c r="CR109" s="55" t="str">
        <f>IF(CR94="","",CR105*$I$6)</f>
        <v/>
      </c>
      <c r="CS109" s="55" t="str">
        <f>IF(CS94="","",CS105*$I$6)</f>
        <v/>
      </c>
      <c r="CT109" s="55" t="str">
        <f>IF(CT94="","",CT105*$I$6)</f>
        <v/>
      </c>
    </row>
    <row r="110" spans="1:98">
      <c r="A110" s="329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AK110" s="5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381"/>
      <c r="BC110" s="165"/>
      <c r="BD110" s="165"/>
      <c r="BE110" s="165"/>
      <c r="BF110" s="256" t="str">
        <f>BT96</f>
        <v/>
      </c>
      <c r="BG110" s="136" t="str">
        <f t="shared" si="64"/>
        <v/>
      </c>
      <c r="BH110" s="73" t="str">
        <f t="shared" si="69"/>
        <v/>
      </c>
      <c r="BI110" s="73" t="str">
        <f t="shared" si="69"/>
        <v/>
      </c>
      <c r="BJ110" s="73" t="str">
        <f t="shared" si="69"/>
        <v/>
      </c>
      <c r="BK110" s="73" t="str">
        <f t="shared" si="69"/>
        <v/>
      </c>
      <c r="BL110" s="73" t="str">
        <f t="shared" si="69"/>
        <v/>
      </c>
      <c r="BM110" s="73" t="str">
        <f t="shared" si="69"/>
        <v/>
      </c>
      <c r="BN110" s="73" t="str">
        <f t="shared" si="69"/>
        <v/>
      </c>
      <c r="BO110" s="73" t="str">
        <f t="shared" si="69"/>
        <v/>
      </c>
      <c r="BP110" s="73" t="str">
        <f t="shared" si="69"/>
        <v/>
      </c>
      <c r="BQ110" s="73" t="str">
        <f t="shared" si="69"/>
        <v/>
      </c>
      <c r="BR110" s="73" t="str">
        <f t="shared" si="69"/>
        <v/>
      </c>
      <c r="BS110" s="73" t="str">
        <f t="shared" si="61"/>
        <v/>
      </c>
      <c r="BT110" s="73" t="str">
        <f t="shared" si="61"/>
        <v/>
      </c>
      <c r="BU110" s="73" t="str">
        <f t="shared" si="61"/>
        <v/>
      </c>
      <c r="BV110" s="73" t="str">
        <f t="shared" si="61"/>
        <v/>
      </c>
      <c r="BW110" s="73" t="str">
        <f t="shared" si="61"/>
        <v/>
      </c>
      <c r="BX110" s="165"/>
      <c r="CA110" s="253" t="s">
        <v>321</v>
      </c>
      <c r="CE110" s="55" t="str">
        <f t="shared" ref="CE110:CT110" si="70">IF(CE109="","",CE105-CE109)</f>
        <v/>
      </c>
      <c r="CF110" s="55" t="str">
        <f t="shared" si="70"/>
        <v/>
      </c>
      <c r="CG110" s="55" t="str">
        <f t="shared" si="70"/>
        <v/>
      </c>
      <c r="CH110" s="55" t="str">
        <f t="shared" si="70"/>
        <v/>
      </c>
      <c r="CI110" s="55" t="str">
        <f t="shared" si="70"/>
        <v/>
      </c>
      <c r="CJ110" s="55" t="str">
        <f t="shared" si="70"/>
        <v/>
      </c>
      <c r="CK110" s="55" t="str">
        <f t="shared" si="70"/>
        <v/>
      </c>
      <c r="CL110" s="55" t="str">
        <f t="shared" si="70"/>
        <v/>
      </c>
      <c r="CM110" s="55" t="str">
        <f t="shared" si="70"/>
        <v/>
      </c>
      <c r="CN110" s="55" t="str">
        <f t="shared" si="70"/>
        <v/>
      </c>
      <c r="CO110" s="55" t="str">
        <f t="shared" si="70"/>
        <v/>
      </c>
      <c r="CP110" s="55" t="str">
        <f t="shared" si="70"/>
        <v/>
      </c>
      <c r="CQ110" s="55" t="str">
        <f t="shared" si="70"/>
        <v/>
      </c>
      <c r="CR110" s="55" t="str">
        <f t="shared" si="70"/>
        <v/>
      </c>
      <c r="CS110" s="55" t="str">
        <f t="shared" si="70"/>
        <v/>
      </c>
      <c r="CT110" s="55" t="str">
        <f t="shared" si="70"/>
        <v/>
      </c>
    </row>
    <row r="111" spans="1:98">
      <c r="A111" s="329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AH111" s="165"/>
      <c r="AI111" s="165"/>
      <c r="AJ111" s="165"/>
      <c r="AK111" s="381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381"/>
      <c r="BC111" s="165"/>
      <c r="BD111" s="165"/>
      <c r="BE111" s="165"/>
      <c r="BF111" s="256" t="str">
        <f>BU96</f>
        <v/>
      </c>
      <c r="BG111" s="136" t="str">
        <f t="shared" si="64"/>
        <v/>
      </c>
      <c r="BH111" s="73" t="str">
        <f t="shared" si="69"/>
        <v/>
      </c>
      <c r="BI111" s="73" t="str">
        <f t="shared" si="69"/>
        <v/>
      </c>
      <c r="BJ111" s="73" t="str">
        <f t="shared" si="69"/>
        <v/>
      </c>
      <c r="BK111" s="73" t="str">
        <f t="shared" si="69"/>
        <v/>
      </c>
      <c r="BL111" s="73" t="str">
        <f t="shared" si="69"/>
        <v/>
      </c>
      <c r="BM111" s="73" t="str">
        <f t="shared" si="69"/>
        <v/>
      </c>
      <c r="BN111" s="73" t="str">
        <f t="shared" si="69"/>
        <v/>
      </c>
      <c r="BO111" s="73" t="str">
        <f t="shared" si="69"/>
        <v/>
      </c>
      <c r="BP111" s="73" t="str">
        <f t="shared" si="69"/>
        <v/>
      </c>
      <c r="BQ111" s="73" t="str">
        <f t="shared" si="69"/>
        <v/>
      </c>
      <c r="BR111" s="73" t="str">
        <f t="shared" si="69"/>
        <v/>
      </c>
      <c r="BS111" s="73" t="str">
        <f t="shared" si="61"/>
        <v/>
      </c>
      <c r="BT111" s="73" t="str">
        <f t="shared" si="61"/>
        <v/>
      </c>
      <c r="BU111" s="73" t="str">
        <f t="shared" si="61"/>
        <v/>
      </c>
      <c r="BV111" s="73" t="str">
        <f t="shared" si="61"/>
        <v/>
      </c>
      <c r="BW111" s="73" t="str">
        <f t="shared" si="61"/>
        <v/>
      </c>
      <c r="BX111" s="165"/>
      <c r="CA111" s="253" t="str">
        <f>"Total Distributions ("&amp;CA107&amp;")"</f>
        <v>Total Distributions (Tier 4)</v>
      </c>
      <c r="CE111" s="55" t="str">
        <f t="shared" ref="CE111:CT111" si="71">IF(CE109="","",CE109+CE110)</f>
        <v/>
      </c>
      <c r="CF111" s="55" t="str">
        <f t="shared" si="71"/>
        <v/>
      </c>
      <c r="CG111" s="55" t="str">
        <f t="shared" si="71"/>
        <v/>
      </c>
      <c r="CH111" s="55" t="str">
        <f t="shared" si="71"/>
        <v/>
      </c>
      <c r="CI111" s="55" t="str">
        <f t="shared" si="71"/>
        <v/>
      </c>
      <c r="CJ111" s="55" t="str">
        <f t="shared" si="71"/>
        <v/>
      </c>
      <c r="CK111" s="55" t="str">
        <f t="shared" si="71"/>
        <v/>
      </c>
      <c r="CL111" s="55" t="str">
        <f t="shared" si="71"/>
        <v/>
      </c>
      <c r="CM111" s="55" t="str">
        <f t="shared" si="71"/>
        <v/>
      </c>
      <c r="CN111" s="55" t="str">
        <f t="shared" si="71"/>
        <v/>
      </c>
      <c r="CO111" s="55" t="str">
        <f t="shared" si="71"/>
        <v/>
      </c>
      <c r="CP111" s="55" t="str">
        <f t="shared" si="71"/>
        <v/>
      </c>
      <c r="CQ111" s="55" t="str">
        <f t="shared" si="71"/>
        <v/>
      </c>
      <c r="CR111" s="55" t="str">
        <f t="shared" si="71"/>
        <v/>
      </c>
      <c r="CS111" s="55" t="str">
        <f t="shared" si="71"/>
        <v/>
      </c>
      <c r="CT111" s="55" t="str">
        <f t="shared" si="71"/>
        <v/>
      </c>
    </row>
    <row r="112" spans="1:98">
      <c r="A112" s="329"/>
      <c r="AH112" s="165"/>
      <c r="AI112" s="165"/>
      <c r="AJ112" s="165"/>
      <c r="AK112" s="381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381"/>
      <c r="BC112" s="165"/>
      <c r="BD112" s="165"/>
      <c r="BE112" s="165"/>
      <c r="BF112" s="256" t="str">
        <f>BV96</f>
        <v/>
      </c>
      <c r="BG112" s="136" t="str">
        <f t="shared" si="64"/>
        <v/>
      </c>
      <c r="BH112" s="73" t="str">
        <f t="shared" si="69"/>
        <v/>
      </c>
      <c r="BI112" s="73" t="str">
        <f t="shared" si="69"/>
        <v/>
      </c>
      <c r="BJ112" s="73" t="str">
        <f t="shared" si="69"/>
        <v/>
      </c>
      <c r="BK112" s="73" t="str">
        <f t="shared" si="69"/>
        <v/>
      </c>
      <c r="BL112" s="73" t="str">
        <f t="shared" si="69"/>
        <v/>
      </c>
      <c r="BM112" s="73" t="str">
        <f t="shared" si="69"/>
        <v/>
      </c>
      <c r="BN112" s="73" t="str">
        <f t="shared" si="69"/>
        <v/>
      </c>
      <c r="BO112" s="73" t="str">
        <f t="shared" si="69"/>
        <v/>
      </c>
      <c r="BP112" s="73" t="str">
        <f t="shared" si="69"/>
        <v/>
      </c>
      <c r="BQ112" s="73" t="str">
        <f t="shared" si="69"/>
        <v/>
      </c>
      <c r="BR112" s="73" t="str">
        <f t="shared" si="69"/>
        <v/>
      </c>
      <c r="BS112" s="73" t="str">
        <f t="shared" si="61"/>
        <v/>
      </c>
      <c r="BT112" s="73" t="str">
        <f t="shared" si="61"/>
        <v/>
      </c>
      <c r="BU112" s="73" t="str">
        <f t="shared" si="61"/>
        <v/>
      </c>
      <c r="BV112" s="73" t="str">
        <f t="shared" si="61"/>
        <v/>
      </c>
      <c r="BW112" s="73" t="str">
        <f t="shared" si="61"/>
        <v/>
      </c>
      <c r="BX112" s="165"/>
      <c r="CA112" s="253" t="s">
        <v>328</v>
      </c>
      <c r="CE112" s="55" t="str">
        <f t="shared" ref="CE112:CT112" si="72">IF(CE109="","",CE105-CE111)</f>
        <v/>
      </c>
      <c r="CF112" s="55" t="str">
        <f t="shared" si="72"/>
        <v/>
      </c>
      <c r="CG112" s="55" t="str">
        <f t="shared" si="72"/>
        <v/>
      </c>
      <c r="CH112" s="55" t="str">
        <f t="shared" si="72"/>
        <v/>
      </c>
      <c r="CI112" s="55" t="str">
        <f t="shared" si="72"/>
        <v/>
      </c>
      <c r="CJ112" s="55" t="str">
        <f t="shared" si="72"/>
        <v/>
      </c>
      <c r="CK112" s="55" t="str">
        <f t="shared" si="72"/>
        <v/>
      </c>
      <c r="CL112" s="55" t="str">
        <f t="shared" si="72"/>
        <v/>
      </c>
      <c r="CM112" s="55" t="str">
        <f t="shared" si="72"/>
        <v/>
      </c>
      <c r="CN112" s="55" t="str">
        <f t="shared" si="72"/>
        <v/>
      </c>
      <c r="CO112" s="55" t="str">
        <f t="shared" si="72"/>
        <v/>
      </c>
      <c r="CP112" s="55" t="str">
        <f t="shared" si="72"/>
        <v/>
      </c>
      <c r="CQ112" s="55" t="str">
        <f t="shared" si="72"/>
        <v/>
      </c>
      <c r="CR112" s="55" t="str">
        <f t="shared" si="72"/>
        <v/>
      </c>
      <c r="CS112" s="55" t="str">
        <f t="shared" si="72"/>
        <v/>
      </c>
      <c r="CT112" s="55" t="str">
        <f t="shared" si="72"/>
        <v/>
      </c>
    </row>
    <row r="113" spans="1:79">
      <c r="A113" s="329"/>
      <c r="AH113" s="165"/>
      <c r="AI113" s="165"/>
      <c r="AJ113" s="165"/>
      <c r="AK113" s="381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381"/>
      <c r="BC113" s="165"/>
      <c r="BD113" s="165"/>
      <c r="BE113" s="165"/>
      <c r="BF113" s="256" t="str">
        <f>BW96</f>
        <v/>
      </c>
      <c r="BG113" s="136" t="str">
        <f t="shared" si="64"/>
        <v/>
      </c>
      <c r="BH113" s="73" t="str">
        <f t="shared" si="69"/>
        <v/>
      </c>
      <c r="BI113" s="73" t="str">
        <f t="shared" si="69"/>
        <v/>
      </c>
      <c r="BJ113" s="73" t="str">
        <f t="shared" si="69"/>
        <v/>
      </c>
      <c r="BK113" s="73" t="str">
        <f t="shared" si="69"/>
        <v/>
      </c>
      <c r="BL113" s="73" t="str">
        <f t="shared" si="69"/>
        <v/>
      </c>
      <c r="BM113" s="73" t="str">
        <f t="shared" si="69"/>
        <v/>
      </c>
      <c r="BN113" s="73" t="str">
        <f t="shared" si="69"/>
        <v/>
      </c>
      <c r="BO113" s="73" t="str">
        <f t="shared" si="69"/>
        <v/>
      </c>
      <c r="BP113" s="73" t="str">
        <f t="shared" si="69"/>
        <v/>
      </c>
      <c r="BQ113" s="73" t="str">
        <f t="shared" si="69"/>
        <v/>
      </c>
      <c r="BR113" s="73" t="str">
        <f t="shared" si="69"/>
        <v/>
      </c>
      <c r="BS113" s="73" t="str">
        <f>IF(OR(BS$75="",$AV113=""),"",(BS$75&lt;=$AV113)*(-BS$22+BS$26+BS$36)+(BS$75=$AV113)*(BS$43-BS$46))</f>
        <v/>
      </c>
      <c r="BT113" s="73" t="str">
        <f>IF(OR(BT$75="",$AV113=""),"",(BT$75&lt;=$AV113)*(-BT$22+BT$26+BT$36)+(BT$75=$AV113)*(BT$43-BT$46))</f>
        <v/>
      </c>
      <c r="BU113" s="73" t="str">
        <f>IF(OR(BU$75="",$AV113=""),"",(BU$75&lt;=$AV113)*(-BU$22+BU$26+BU$36)+(BU$75=$AV113)*(BU$43-BU$46))</f>
        <v/>
      </c>
      <c r="BV113" s="73" t="str">
        <f>IF(OR(BV$75="",$AV113=""),"",(BV$75&lt;=$AV113)*(-BV$22+BV$26+BV$36)+(BV$75=$AV113)*(BV$43-BV$46))</f>
        <v/>
      </c>
      <c r="BW113" s="73" t="str">
        <f t="shared" si="61"/>
        <v/>
      </c>
      <c r="BX113" s="165"/>
      <c r="CA113" s="253"/>
    </row>
    <row r="114" spans="1:79">
      <c r="A114" s="329"/>
      <c r="AH114" s="165"/>
      <c r="AI114" s="165"/>
      <c r="AJ114" s="165"/>
      <c r="AK114" s="381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381"/>
      <c r="BC114" s="165"/>
      <c r="BD114" s="165"/>
      <c r="BE114" s="165"/>
      <c r="BF114" s="165" t="s">
        <v>373</v>
      </c>
      <c r="BG114" s="165"/>
      <c r="BH114" s="165"/>
      <c r="BI114" s="165"/>
      <c r="BJ114" s="165"/>
      <c r="BK114" s="165"/>
      <c r="BL114" s="165"/>
      <c r="BM114" s="165"/>
      <c r="BN114" s="165"/>
      <c r="BO114" s="165"/>
      <c r="BP114" s="165"/>
      <c r="BQ114" s="165"/>
      <c r="BR114" s="165"/>
      <c r="BS114" s="165"/>
      <c r="BT114" s="165"/>
      <c r="BU114" s="165"/>
      <c r="BV114" s="165"/>
      <c r="BW114" s="165"/>
      <c r="BX114" s="165"/>
      <c r="CA114" s="253"/>
    </row>
    <row r="115" spans="1:79" ht="15" customHeight="1">
      <c r="AK115" s="380"/>
    </row>
    <row r="116" spans="1:79" ht="15" customHeight="1">
      <c r="AK116" s="380"/>
    </row>
    <row r="117" spans="1:79" ht="15" customHeight="1">
      <c r="AK117" s="380"/>
    </row>
    <row r="118" spans="1:79" ht="15" customHeight="1">
      <c r="AK118" s="380"/>
    </row>
    <row r="119" spans="1:79" ht="15" customHeight="1">
      <c r="AK119" s="380"/>
    </row>
    <row r="120" spans="1:79" ht="15" customHeight="1">
      <c r="B120" s="657"/>
      <c r="C120" s="253"/>
      <c r="N120" s="332"/>
      <c r="AK120" s="380"/>
    </row>
    <row r="121" spans="1:79" ht="15" customHeight="1">
      <c r="B121" s="333"/>
      <c r="C121" s="332"/>
      <c r="D121" s="176"/>
      <c r="E121" s="332"/>
      <c r="F121" s="332"/>
      <c r="H121" s="332"/>
      <c r="I121" s="332"/>
      <c r="J121" s="332"/>
      <c r="K121" s="332"/>
      <c r="L121" s="332"/>
      <c r="M121" s="332"/>
      <c r="N121" s="332"/>
      <c r="O121" s="332"/>
      <c r="AK121" s="380"/>
    </row>
    <row r="122" spans="1:79" ht="15" customHeight="1">
      <c r="B122" s="333"/>
      <c r="C122" s="332"/>
      <c r="D122" s="178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R122" s="164"/>
      <c r="S122" s="164"/>
      <c r="T122" s="164"/>
      <c r="U122" s="164"/>
      <c r="AK122" s="380"/>
    </row>
    <row r="123" spans="1:79" ht="15" customHeight="1">
      <c r="N123" s="332"/>
      <c r="R123" s="164"/>
      <c r="S123" s="164"/>
      <c r="T123" s="164"/>
      <c r="U123" s="164"/>
      <c r="AK123" s="380"/>
    </row>
    <row r="124" spans="1:79" ht="15" customHeight="1">
      <c r="B124" s="168"/>
      <c r="C124" s="169"/>
      <c r="D124" s="169"/>
      <c r="G124" s="168"/>
      <c r="N124" s="332"/>
      <c r="R124" s="164"/>
      <c r="S124" s="164"/>
      <c r="T124" s="164"/>
      <c r="U124" s="164"/>
      <c r="AK124" s="380"/>
    </row>
    <row r="125" spans="1:79" ht="15" customHeight="1">
      <c r="C125" s="175"/>
      <c r="D125" s="234"/>
      <c r="H125" s="176"/>
      <c r="L125" s="773"/>
      <c r="M125" s="774"/>
      <c r="R125" s="164"/>
      <c r="S125" s="164"/>
      <c r="T125" s="164"/>
      <c r="U125" s="164"/>
      <c r="AK125" s="380"/>
    </row>
    <row r="126" spans="1:79" ht="15" customHeight="1">
      <c r="C126" s="177"/>
      <c r="D126" s="775"/>
      <c r="E126" s="776"/>
      <c r="F126" s="776"/>
      <c r="H126" s="176"/>
      <c r="L126" s="773"/>
      <c r="M126" s="777"/>
      <c r="AK126" s="380"/>
    </row>
    <row r="127" spans="1:79" ht="15" customHeight="1">
      <c r="D127" s="778"/>
      <c r="E127" s="776"/>
      <c r="F127" s="776"/>
      <c r="H127" s="54"/>
      <c r="L127" s="773"/>
      <c r="M127" s="777"/>
      <c r="AK127" s="380"/>
    </row>
    <row r="128" spans="1:79" ht="15" customHeight="1">
      <c r="D128" s="178"/>
      <c r="H128" s="176"/>
      <c r="AK128" s="380"/>
    </row>
    <row r="129" spans="2:37" ht="27" customHeight="1">
      <c r="B129" s="658"/>
      <c r="C129" s="658"/>
      <c r="G129" s="659"/>
      <c r="H129" s="659"/>
      <c r="I129" s="660"/>
      <c r="J129" s="660"/>
      <c r="AK129" s="380"/>
    </row>
    <row r="130" spans="2:37" ht="15" customHeight="1">
      <c r="B130" s="657"/>
      <c r="G130" s="659"/>
      <c r="H130" s="659"/>
      <c r="I130" s="169"/>
      <c r="J130" s="169"/>
      <c r="K130" s="169"/>
      <c r="AA130" s="253"/>
      <c r="AB130" s="253"/>
      <c r="AC130" s="253"/>
      <c r="AK130" s="380"/>
    </row>
    <row r="131" spans="2:37" ht="15" customHeight="1">
      <c r="C131" s="661"/>
      <c r="D131" s="660"/>
      <c r="E131" s="178"/>
      <c r="F131" s="178"/>
      <c r="G131" s="662"/>
      <c r="H131" s="662"/>
      <c r="I131" s="175"/>
      <c r="J131" s="663"/>
      <c r="K131" s="658"/>
      <c r="L131" s="658"/>
      <c r="M131" s="658"/>
      <c r="N131" s="658"/>
      <c r="O131" s="658"/>
      <c r="AK131" s="380"/>
    </row>
    <row r="132" spans="2:37" ht="15" customHeight="1">
      <c r="C132" s="331"/>
      <c r="D132" s="664"/>
      <c r="E132" s="178"/>
      <c r="F132" s="178"/>
      <c r="G132" s="175"/>
      <c r="I132" s="358"/>
      <c r="J132" s="663"/>
      <c r="K132" s="658"/>
      <c r="L132" s="658"/>
      <c r="M132" s="658"/>
      <c r="N132" s="658"/>
      <c r="O132" s="658"/>
      <c r="AK132" s="380"/>
    </row>
    <row r="133" spans="2:37" ht="15" customHeight="1">
      <c r="C133" s="331"/>
      <c r="D133" s="664"/>
      <c r="E133" s="178"/>
      <c r="F133" s="178"/>
      <c r="G133" s="175"/>
      <c r="I133" s="358"/>
      <c r="J133" s="663"/>
      <c r="K133" s="658"/>
      <c r="L133" s="658"/>
      <c r="M133" s="658"/>
      <c r="N133" s="658"/>
      <c r="O133" s="658"/>
      <c r="AK133" s="380"/>
    </row>
    <row r="134" spans="2:37" ht="15" customHeight="1">
      <c r="C134" s="331"/>
      <c r="D134" s="664"/>
      <c r="E134" s="178"/>
      <c r="F134" s="178"/>
      <c r="G134" s="175"/>
      <c r="I134" s="358"/>
      <c r="J134" s="663"/>
      <c r="K134" s="658"/>
      <c r="L134" s="658"/>
      <c r="M134" s="658"/>
      <c r="N134" s="658"/>
      <c r="O134" s="658"/>
      <c r="AK134" s="380"/>
    </row>
    <row r="135" spans="2:37" ht="15" customHeight="1">
      <c r="AK135" s="380"/>
    </row>
    <row r="136" spans="2:37" ht="15" customHeight="1">
      <c r="B136" s="657"/>
      <c r="C136" s="176"/>
      <c r="D136" s="665"/>
      <c r="AK136" s="380"/>
    </row>
    <row r="137" spans="2:37" ht="15" customHeight="1">
      <c r="B137" s="666"/>
      <c r="C137" s="176"/>
      <c r="AK137" s="380"/>
    </row>
    <row r="138" spans="2:37" ht="15" customHeight="1">
      <c r="B138" s="667"/>
      <c r="C138" s="667"/>
      <c r="D138" s="329"/>
      <c r="E138" s="329"/>
      <c r="F138" s="329"/>
      <c r="G138" s="668"/>
      <c r="H138" s="668"/>
      <c r="I138" s="669"/>
      <c r="J138" s="329"/>
      <c r="K138" s="669"/>
      <c r="L138" s="329"/>
      <c r="M138" s="329"/>
      <c r="N138" s="329"/>
      <c r="O138" s="329"/>
      <c r="P138" s="329"/>
      <c r="Q138" s="329"/>
      <c r="AK138" s="380"/>
    </row>
    <row r="139" spans="2:37" ht="15" customHeight="1">
      <c r="B139" s="670"/>
      <c r="C139" s="329"/>
      <c r="D139" s="329"/>
      <c r="E139" s="329"/>
      <c r="F139" s="329"/>
      <c r="G139" s="668"/>
      <c r="H139" s="668"/>
      <c r="I139" s="671"/>
      <c r="J139" s="329"/>
      <c r="K139" s="671"/>
      <c r="L139" s="671"/>
      <c r="M139" s="329"/>
      <c r="N139" s="329"/>
      <c r="O139" s="329"/>
      <c r="P139" s="329"/>
      <c r="Q139" s="329"/>
      <c r="AK139" s="380"/>
    </row>
    <row r="140" spans="2:37" ht="15" customHeight="1">
      <c r="AK140" s="380"/>
    </row>
    <row r="141" spans="2:37" ht="15" customHeight="1">
      <c r="B141" s="169"/>
      <c r="C141" s="169"/>
      <c r="D141" s="169"/>
      <c r="E141" s="169"/>
      <c r="F141" s="169"/>
      <c r="G141" s="169"/>
      <c r="AK141" s="380"/>
    </row>
    <row r="142" spans="2:37" ht="15" customHeight="1">
      <c r="B142" s="168"/>
      <c r="C142" s="169"/>
      <c r="D142" s="177"/>
      <c r="E142" s="663"/>
      <c r="F142" s="663"/>
      <c r="G142" s="663"/>
      <c r="AK142" s="380"/>
    </row>
    <row r="143" spans="2:37" ht="15" customHeight="1">
      <c r="C143" s="175"/>
      <c r="D143" s="441"/>
      <c r="E143" s="441"/>
      <c r="F143" s="441"/>
      <c r="G143" s="441"/>
      <c r="AK143" s="380"/>
    </row>
    <row r="144" spans="2:37" ht="15" customHeight="1">
      <c r="C144" s="177"/>
      <c r="D144" s="441"/>
      <c r="E144" s="441"/>
      <c r="F144" s="441"/>
      <c r="G144" s="441"/>
      <c r="AK144" s="380"/>
    </row>
    <row r="145" spans="4:37" ht="15" customHeight="1">
      <c r="D145" s="441"/>
      <c r="E145" s="441"/>
      <c r="F145" s="441"/>
      <c r="G145" s="441"/>
      <c r="AK145" s="380"/>
    </row>
    <row r="146" spans="4:37" ht="15" customHeight="1">
      <c r="D146" s="441"/>
      <c r="G146" s="656"/>
      <c r="AK146" s="380"/>
    </row>
    <row r="147" spans="4:37" ht="15" customHeight="1">
      <c r="AK147" s="380"/>
    </row>
    <row r="148" spans="4:37" ht="15" customHeight="1">
      <c r="AK148" s="380"/>
    </row>
    <row r="149" spans="4:37" ht="16.5" customHeight="1">
      <c r="AK149" s="380"/>
    </row>
    <row r="150" spans="4:37" ht="16.5" customHeight="1">
      <c r="AK150" s="380"/>
    </row>
    <row r="151" spans="4:37" ht="16.5" customHeight="1">
      <c r="AK151" s="380"/>
    </row>
    <row r="152" spans="4:37" ht="16.5" customHeight="1">
      <c r="AK152" s="380"/>
    </row>
    <row r="153" spans="4:37" ht="16.5" customHeight="1">
      <c r="AK153" s="380"/>
    </row>
    <row r="154" spans="4:37" ht="16.5" customHeight="1">
      <c r="AK154" s="380"/>
    </row>
    <row r="155" spans="4:37" ht="16.5" customHeight="1">
      <c r="AK155" s="380"/>
    </row>
    <row r="156" spans="4:37" ht="16.5" customHeight="1">
      <c r="AK156" s="380"/>
    </row>
    <row r="157" spans="4:37" ht="16.5" customHeight="1">
      <c r="AK157" s="380"/>
    </row>
    <row r="158" spans="4:37" ht="16.5" customHeight="1">
      <c r="AK158" s="380"/>
    </row>
    <row r="159" spans="4:37" ht="16.5" customHeight="1">
      <c r="AK159" s="380"/>
    </row>
    <row r="160" spans="4:37" ht="16.5" customHeight="1">
      <c r="AK160" s="380"/>
    </row>
    <row r="161" spans="37:37" ht="16.5" customHeight="1">
      <c r="AK161" s="380"/>
    </row>
    <row r="162" spans="37:37" ht="16.5" customHeight="1">
      <c r="AK162" s="380"/>
    </row>
    <row r="163" spans="37:37" ht="16.5" customHeight="1">
      <c r="AK163" s="380"/>
    </row>
    <row r="164" spans="37:37" ht="16.5" customHeight="1">
      <c r="AK164" s="380"/>
    </row>
    <row r="165" spans="37:37" ht="16.5" customHeight="1">
      <c r="AK165" s="380"/>
    </row>
    <row r="166" spans="37:37" ht="16.5" customHeight="1">
      <c r="AK166" s="380"/>
    </row>
    <row r="167" spans="37:37" ht="16.5" customHeight="1">
      <c r="AK167" s="380"/>
    </row>
    <row r="168" spans="37:37" ht="16.5" customHeight="1">
      <c r="AK168" s="380"/>
    </row>
    <row r="169" spans="37:37" ht="16.5" customHeight="1">
      <c r="AK169" s="380"/>
    </row>
    <row r="170" spans="37:37" ht="16.5" customHeight="1">
      <c r="AK170" s="380"/>
    </row>
    <row r="171" spans="37:37" ht="16.5" customHeight="1">
      <c r="AK171" s="380"/>
    </row>
    <row r="172" spans="37:37" ht="16.5" customHeight="1">
      <c r="AK172" s="380"/>
    </row>
    <row r="173" spans="37:37" ht="16.5" customHeight="1">
      <c r="AK173" s="380"/>
    </row>
    <row r="174" spans="37:37" ht="16.5" customHeight="1">
      <c r="AK174" s="380"/>
    </row>
    <row r="175" spans="37:37" ht="16.5" customHeight="1">
      <c r="AK175" s="380"/>
    </row>
  </sheetData>
  <mergeCells count="9">
    <mergeCell ref="AA40:AC40"/>
    <mergeCell ref="CI26:CM26"/>
    <mergeCell ref="AA31:AC31"/>
    <mergeCell ref="B3:D3"/>
    <mergeCell ref="CE21:CF22"/>
    <mergeCell ref="CG21:CH21"/>
    <mergeCell ref="CI23:CM23"/>
    <mergeCell ref="CI24:CM24"/>
    <mergeCell ref="CI25:CM25"/>
  </mergeCells>
  <conditionalFormatting sqref="D22">
    <cfRule type="expression" dxfId="13" priority="9" stopIfTrue="1">
      <formula>$C4&lt;&gt;""</formula>
    </cfRule>
  </conditionalFormatting>
  <conditionalFormatting sqref="D23">
    <cfRule type="expression" dxfId="12" priority="12" stopIfTrue="1">
      <formula>$C8&lt;&gt;""</formula>
    </cfRule>
  </conditionalFormatting>
  <conditionalFormatting sqref="D25">
    <cfRule type="expression" dxfId="11" priority="10" stopIfTrue="1">
      <formula>$C12&lt;&gt;""</formula>
    </cfRule>
  </conditionalFormatting>
  <conditionalFormatting sqref="D34:D36 D39">
    <cfRule type="expression" dxfId="10" priority="7" stopIfTrue="1">
      <formula>$C35&lt;&gt;""</formula>
    </cfRule>
  </conditionalFormatting>
  <conditionalFormatting sqref="D37:D38">
    <cfRule type="expression" dxfId="9" priority="11" stopIfTrue="1">
      <formula>$C39&lt;&gt;""</formula>
    </cfRule>
  </conditionalFormatting>
  <conditionalFormatting sqref="D40">
    <cfRule type="expression" dxfId="8" priority="8" stopIfTrue="1">
      <formula>#REF!&lt;&gt;""</formula>
    </cfRule>
  </conditionalFormatting>
  <conditionalFormatting sqref="D24">
    <cfRule type="expression" dxfId="7" priority="26" stopIfTrue="1">
      <formula>$C10&lt;&gt;""</formula>
    </cfRule>
  </conditionalFormatting>
  <dataValidations count="6">
    <dataValidation type="list" allowBlank="1" showInputMessage="1" showErrorMessage="1" sqref="AH9" xr:uid="{E79861A2-8F6F-4A92-951C-D2A353C74900}">
      <formula1>"Simple, Detailed"</formula1>
    </dataValidation>
    <dataValidation type="whole" allowBlank="1" showInputMessage="1" showErrorMessage="1" errorTitle="Invalid Year" error="Mininum of 1 year._x000a_Maximum of 15 years." sqref="D10:D11" xr:uid="{B9D5FFF4-0C45-4F7C-97DF-4EEB2085D386}">
      <formula1>1</formula1>
      <formula2>15</formula2>
    </dataValidation>
    <dataValidation type="list" allowBlank="1" showInputMessage="1" showErrorMessage="1" sqref="D7" xr:uid="{CE91F9F8-615D-4D40-8D0A-17A19101A16A}">
      <formula1>"Manual Input,DCF Value,Cap Year 1 NOI,Replacement Cost"</formula1>
    </dataValidation>
    <dataValidation type="decimal" operator="greaterThan" allowBlank="1" showInputMessage="1" showErrorMessage="1" sqref="D21" xr:uid="{0D64B41D-787B-49BD-B5FA-236F7176350B}">
      <formula1>0</formula1>
    </dataValidation>
    <dataValidation type="list" allowBlank="1" showInputMessage="1" showErrorMessage="1" sqref="AD40 D9" xr:uid="{AB763742-267C-478C-850C-41794D8CAF4B}">
      <formula1>"SF,M2"</formula1>
    </dataValidation>
    <dataValidation type="list" allowBlank="1" showInputMessage="1" showErrorMessage="1" errorTitle="Invalid Entry" error="Enter a value lesser than or equal to 15 years (max length available in this model)" sqref="D12:D14" xr:uid="{99820CF1-2D9E-4202-98AC-9CD442576FB5}">
      <formula1>"T12,Forward 12"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2DD9-2917-406A-AA20-2F8BEF0D94E6}">
  <dimension ref="A1:DO149"/>
  <sheetViews>
    <sheetView topLeftCell="J23" workbookViewId="0">
      <selection activeCell="J98" sqref="J98"/>
    </sheetView>
  </sheetViews>
  <sheetFormatPr defaultColWidth="10.7109375" defaultRowHeight="15.4"/>
  <cols>
    <col min="1" max="1" width="3.5703125" style="55" customWidth="1"/>
    <col min="2" max="2" width="31.7109375" style="55" bestFit="1" customWidth="1"/>
    <col min="3" max="3" width="17" style="55" customWidth="1"/>
    <col min="4" max="4" width="14.7109375" style="55" bestFit="1" customWidth="1"/>
    <col min="5" max="5" width="22.42578125" style="55" customWidth="1"/>
    <col min="6" max="6" width="24.28515625" style="55" customWidth="1"/>
    <col min="7" max="7" width="19.140625" style="55" customWidth="1"/>
    <col min="8" max="8" width="16.85546875" style="55" customWidth="1"/>
    <col min="9" max="9" width="19.28515625" style="55" customWidth="1"/>
    <col min="10" max="10" width="21.28515625" style="55" customWidth="1"/>
    <col min="11" max="11" width="18.42578125" style="55" customWidth="1"/>
    <col min="12" max="12" width="10.7109375" style="55"/>
    <col min="13" max="13" width="11.85546875" style="55" bestFit="1" customWidth="1"/>
    <col min="14" max="23" width="10.7109375" style="55"/>
    <col min="24" max="24" width="10.7109375" style="161"/>
    <col min="25" max="25" width="10.7109375" style="55"/>
    <col min="26" max="26" width="24.85546875" style="55" customWidth="1"/>
    <col min="27" max="27" width="1.7109375" style="55" customWidth="1"/>
    <col min="28" max="28" width="18.140625" style="55" customWidth="1"/>
    <col min="29" max="29" width="19.85546875" style="163" customWidth="1"/>
    <col min="30" max="30" width="11" style="55" customWidth="1"/>
    <col min="31" max="32" width="10.7109375" style="55"/>
    <col min="33" max="33" width="30" style="55" customWidth="1"/>
    <col min="34" max="34" width="25.28515625" style="55" customWidth="1"/>
    <col min="35" max="35" width="14.42578125" style="55" customWidth="1"/>
    <col min="36" max="36" width="14.7109375" style="399" customWidth="1"/>
    <col min="37" max="37" width="14.42578125" style="55" customWidth="1"/>
    <col min="38" max="38" width="15" style="55" customWidth="1"/>
    <col min="39" max="39" width="21.140625" style="55" customWidth="1"/>
    <col min="40" max="40" width="14.85546875" style="55" customWidth="1"/>
    <col min="41" max="41" width="14.5703125" style="55" customWidth="1"/>
    <col min="42" max="42" width="13.28515625" style="55" customWidth="1"/>
    <col min="43" max="43" width="15.42578125" style="55" customWidth="1"/>
    <col min="44" max="44" width="13.5703125" style="55" bestFit="1" customWidth="1"/>
    <col min="45" max="45" width="12.85546875" style="55" customWidth="1"/>
    <col min="46" max="46" width="13" style="55" customWidth="1"/>
    <col min="47" max="47" width="12" style="55" customWidth="1"/>
    <col min="48" max="48" width="12.85546875" style="55" customWidth="1"/>
    <col min="49" max="49" width="12.42578125" style="55" customWidth="1"/>
    <col min="50" max="50" width="13.5703125" style="55" customWidth="1"/>
    <col min="51" max="51" width="12.5703125" style="55" customWidth="1"/>
    <col min="52" max="52" width="13.28515625" style="55" customWidth="1"/>
    <col min="53" max="53" width="36" style="380" customWidth="1"/>
    <col min="54" max="55" width="10.7109375" style="55"/>
    <col min="56" max="56" width="5.7109375" style="55" bestFit="1" customWidth="1"/>
    <col min="57" max="57" width="70.85546875" style="55" bestFit="1" customWidth="1"/>
    <col min="58" max="58" width="11.140625" style="55" bestFit="1" customWidth="1"/>
    <col min="59" max="60" width="11.7109375" style="55" customWidth="1"/>
    <col min="61" max="61" width="12.28515625" style="55" bestFit="1" customWidth="1"/>
    <col min="62" max="69" width="11.7109375" style="55" customWidth="1"/>
    <col min="70" max="70" width="14.42578125" style="55" customWidth="1"/>
    <col min="71" max="74" width="2.5703125" style="55" bestFit="1" customWidth="1"/>
    <col min="75" max="76" width="10.7109375" style="55"/>
    <col min="77" max="77" width="5.7109375" style="55" bestFit="1" customWidth="1"/>
    <col min="78" max="78" width="51" style="55" customWidth="1"/>
    <col min="79" max="79" width="16" style="55" bestFit="1" customWidth="1"/>
    <col min="80" max="80" width="16.28515625" style="55" customWidth="1"/>
    <col min="81" max="81" width="20.42578125" style="55" bestFit="1" customWidth="1"/>
    <col min="82" max="82" width="13.5703125" style="55" bestFit="1" customWidth="1"/>
    <col min="83" max="83" width="11.7109375" style="55" customWidth="1"/>
    <col min="84" max="84" width="10.5703125" style="55" customWidth="1"/>
    <col min="85" max="85" width="13.42578125" style="55" customWidth="1"/>
    <col min="86" max="86" width="12" style="55" bestFit="1" customWidth="1"/>
    <col min="87" max="87" width="12.28515625" style="55" customWidth="1"/>
    <col min="88" max="88" width="10.7109375" style="55"/>
    <col min="89" max="89" width="11.140625" style="55" customWidth="1"/>
    <col min="90" max="90" width="11.5703125" style="55" customWidth="1"/>
    <col min="91" max="92" width="11.85546875" style="55" customWidth="1"/>
    <col min="93" max="98" width="2.7109375" style="55" bestFit="1" customWidth="1"/>
    <col min="99" max="100" width="10.7109375" style="55"/>
    <col min="101" max="101" width="15.5703125" style="55" customWidth="1"/>
    <col min="102" max="103" width="13" style="55" bestFit="1" customWidth="1"/>
    <col min="104" max="104" width="22.7109375" style="55" customWidth="1"/>
    <col min="105" max="16384" width="10.7109375" style="55"/>
  </cols>
  <sheetData>
    <row r="1" spans="2:119" ht="51.95" customHeight="1">
      <c r="B1" s="160" t="s">
        <v>343</v>
      </c>
      <c r="Z1" s="162" t="s">
        <v>573</v>
      </c>
      <c r="AG1" s="160" t="s">
        <v>574</v>
      </c>
      <c r="AO1" s="164"/>
      <c r="BE1" s="160" t="s">
        <v>575</v>
      </c>
      <c r="BZ1" s="160" t="s">
        <v>122</v>
      </c>
      <c r="CW1" s="160" t="s">
        <v>576</v>
      </c>
    </row>
    <row r="2" spans="2:119" ht="16.899999999999999">
      <c r="Z2" s="286" t="s">
        <v>125</v>
      </c>
      <c r="AA2" s="286"/>
      <c r="AB2" s="286"/>
      <c r="AG2" s="165"/>
      <c r="AH2" s="165"/>
      <c r="AI2" s="165"/>
      <c r="AJ2" s="400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381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Z2" s="166" t="str">
        <f>D4</f>
        <v>Hiland Office</v>
      </c>
      <c r="CA2" s="167" t="s">
        <v>1</v>
      </c>
      <c r="CB2" s="167" t="s">
        <v>1</v>
      </c>
      <c r="CC2" s="167" t="s">
        <v>1</v>
      </c>
      <c r="CD2" s="167" t="s">
        <v>1</v>
      </c>
      <c r="CE2" s="167" t="s">
        <v>1</v>
      </c>
      <c r="CF2" s="167" t="s">
        <v>1</v>
      </c>
      <c r="CG2" s="167" t="s">
        <v>1</v>
      </c>
      <c r="CH2" s="167" t="s">
        <v>1</v>
      </c>
      <c r="CI2" s="167" t="s">
        <v>1</v>
      </c>
      <c r="CJ2" s="167" t="s">
        <v>1</v>
      </c>
      <c r="CK2" s="167" t="s">
        <v>1</v>
      </c>
      <c r="CL2" s="167" t="s">
        <v>1</v>
      </c>
      <c r="CM2" s="167" t="s">
        <v>1</v>
      </c>
      <c r="CN2" s="167" t="s">
        <v>1</v>
      </c>
      <c r="CO2" s="167" t="s">
        <v>1</v>
      </c>
      <c r="CP2" s="167" t="s">
        <v>1</v>
      </c>
      <c r="CQ2" s="167" t="s">
        <v>1</v>
      </c>
      <c r="CR2" s="167" t="s">
        <v>1</v>
      </c>
      <c r="CS2" s="167" t="s">
        <v>1</v>
      </c>
    </row>
    <row r="3" spans="2:119" ht="34.9">
      <c r="B3" s="837" t="s">
        <v>125</v>
      </c>
      <c r="C3" s="837"/>
      <c r="D3" s="837"/>
      <c r="F3" s="168"/>
      <c r="G3" s="169"/>
      <c r="Z3" s="263" t="s">
        <v>126</v>
      </c>
      <c r="AA3" s="263"/>
      <c r="AB3" s="287">
        <f>(1+D19)*AB13+AB30*D31+D18</f>
        <v>25407936.243000001</v>
      </c>
      <c r="AC3" s="163" t="s">
        <v>127</v>
      </c>
      <c r="AG3" s="170" t="s">
        <v>128</v>
      </c>
      <c r="AH3" s="170"/>
      <c r="AI3" s="170"/>
      <c r="AJ3" s="401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382"/>
      <c r="BB3" s="170"/>
      <c r="BC3" s="170"/>
      <c r="BD3" s="293"/>
      <c r="BE3" s="170" t="s">
        <v>128</v>
      </c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1"/>
      <c r="BZ3" s="330" t="s">
        <v>1</v>
      </c>
      <c r="CA3" s="331" t="s">
        <v>1</v>
      </c>
      <c r="CB3" s="331" t="s">
        <v>1</v>
      </c>
      <c r="CC3" s="173" t="s">
        <v>1</v>
      </c>
      <c r="CD3" s="173" t="s">
        <v>1</v>
      </c>
      <c r="CE3" s="173" t="s">
        <v>1</v>
      </c>
      <c r="CF3" s="173" t="s">
        <v>1</v>
      </c>
      <c r="CG3" s="173" t="s">
        <v>1</v>
      </c>
      <c r="CH3" s="173" t="s">
        <v>1</v>
      </c>
      <c r="CI3" s="173" t="s">
        <v>1</v>
      </c>
      <c r="CJ3" s="173" t="s">
        <v>1</v>
      </c>
      <c r="CK3" s="173" t="s">
        <v>1</v>
      </c>
      <c r="CL3" s="173" t="s">
        <v>1</v>
      </c>
      <c r="CM3" s="173" t="s">
        <v>1</v>
      </c>
      <c r="CN3" s="173" t="s">
        <v>1</v>
      </c>
      <c r="CO3" s="173" t="s">
        <v>1</v>
      </c>
      <c r="CP3" s="173" t="s">
        <v>1</v>
      </c>
      <c r="CQ3" s="173" t="s">
        <v>1</v>
      </c>
      <c r="CR3" s="173" t="s">
        <v>1</v>
      </c>
      <c r="CS3" s="173" t="s">
        <v>1</v>
      </c>
      <c r="CW3" s="231"/>
      <c r="CX3" s="231" t="s">
        <v>46</v>
      </c>
      <c r="CY3" s="231" t="s">
        <v>129</v>
      </c>
      <c r="CZ3" s="248" t="s">
        <v>130</v>
      </c>
      <c r="DA3" s="598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</row>
    <row r="4" spans="2:119" ht="15.75">
      <c r="B4" s="35" t="s">
        <v>131</v>
      </c>
      <c r="C4" s="174"/>
      <c r="D4" s="36" t="s">
        <v>132</v>
      </c>
      <c r="G4" s="175"/>
      <c r="Z4" s="263" t="s">
        <v>133</v>
      </c>
      <c r="AA4" s="263"/>
      <c r="AB4" s="288">
        <f>AB6/AB13</f>
        <v>5.3513870614973716E-2</v>
      </c>
      <c r="AC4" s="163" t="s">
        <v>134</v>
      </c>
      <c r="AG4" s="165"/>
      <c r="AH4" s="165"/>
      <c r="AI4" s="165"/>
      <c r="AJ4" s="400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381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Z4" s="359" t="s">
        <v>3</v>
      </c>
      <c r="CA4" s="360" t="s">
        <v>1</v>
      </c>
      <c r="CB4" s="361"/>
      <c r="CC4" s="360" t="s">
        <v>1</v>
      </c>
      <c r="CD4" s="362"/>
      <c r="CE4" s="363"/>
      <c r="CF4" s="363"/>
      <c r="CG4" s="363"/>
      <c r="CH4" s="360" t="s">
        <v>1</v>
      </c>
      <c r="CI4" s="360" t="s">
        <v>1</v>
      </c>
      <c r="CJ4" s="360" t="s">
        <v>1</v>
      </c>
      <c r="CK4" s="360" t="s">
        <v>1</v>
      </c>
      <c r="CL4" s="360" t="s">
        <v>1</v>
      </c>
      <c r="CM4" s="360" t="s">
        <v>1</v>
      </c>
      <c r="CN4" s="360" t="s">
        <v>1</v>
      </c>
      <c r="CO4" s="360" t="s">
        <v>1</v>
      </c>
      <c r="CP4" s="360" t="s">
        <v>1</v>
      </c>
      <c r="CQ4" s="360" t="s">
        <v>1</v>
      </c>
      <c r="CR4" s="364" t="s">
        <v>1</v>
      </c>
      <c r="CS4" s="173" t="s">
        <v>1</v>
      </c>
      <c r="CW4" s="55" t="s">
        <v>135</v>
      </c>
      <c r="CX4" s="441">
        <f>G89</f>
        <v>548418.36</v>
      </c>
      <c r="CY4" s="441">
        <f>I89</f>
        <v>548418.36</v>
      </c>
      <c r="CZ4" s="446">
        <f>K89</f>
        <v>548418.36</v>
      </c>
    </row>
    <row r="5" spans="2:119" ht="23.25">
      <c r="B5" s="35" t="s">
        <v>136</v>
      </c>
      <c r="C5" s="174"/>
      <c r="D5" s="37" t="s">
        <v>137</v>
      </c>
      <c r="G5" s="177"/>
      <c r="Z5" s="263" t="s">
        <v>138</v>
      </c>
      <c r="AA5" s="263"/>
      <c r="AB5" s="289">
        <f>AB13/D17</f>
        <v>490.16924</v>
      </c>
      <c r="AC5" s="163" t="s">
        <v>139</v>
      </c>
      <c r="AG5" s="165"/>
      <c r="AH5" s="165"/>
      <c r="AI5" s="165"/>
      <c r="AJ5" s="400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381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Z5" s="365" t="s">
        <v>5</v>
      </c>
      <c r="CA5" s="173" t="s">
        <v>1</v>
      </c>
      <c r="CB5" s="178"/>
      <c r="CC5" s="332" t="s">
        <v>7</v>
      </c>
      <c r="CD5" s="332"/>
      <c r="CE5" s="332"/>
      <c r="CF5" s="332"/>
      <c r="CG5" s="332"/>
      <c r="CH5" s="173" t="s">
        <v>1</v>
      </c>
      <c r="CI5" s="173" t="s">
        <v>1</v>
      </c>
      <c r="CJ5" s="173" t="s">
        <v>1</v>
      </c>
      <c r="CK5" s="173" t="s">
        <v>1</v>
      </c>
      <c r="CL5" s="173" t="s">
        <v>1</v>
      </c>
      <c r="CM5" s="173" t="s">
        <v>1</v>
      </c>
      <c r="CN5" s="173" t="s">
        <v>1</v>
      </c>
      <c r="CO5" s="173" t="s">
        <v>1</v>
      </c>
      <c r="CP5" s="173" t="s">
        <v>1</v>
      </c>
      <c r="CQ5" s="173" t="s">
        <v>1</v>
      </c>
      <c r="CR5" s="366" t="s">
        <v>1</v>
      </c>
      <c r="CS5" s="173" t="s">
        <v>1</v>
      </c>
      <c r="CW5" s="55" t="s">
        <v>140</v>
      </c>
      <c r="CX5" s="441">
        <f>G90</f>
        <v>274207.56</v>
      </c>
      <c r="CY5" s="441">
        <f>I90</f>
        <v>274207.56</v>
      </c>
      <c r="CZ5" s="446">
        <f>K90</f>
        <v>274207.56</v>
      </c>
    </row>
    <row r="6" spans="2:119" ht="18.75">
      <c r="B6" s="35"/>
      <c r="C6" s="174"/>
      <c r="D6" s="38"/>
      <c r="Z6" s="263" t="s">
        <v>141</v>
      </c>
      <c r="AA6" s="263"/>
      <c r="AB6" s="290">
        <f>BH24</f>
        <v>1311542.66444</v>
      </c>
      <c r="AC6" s="163" t="s">
        <v>142</v>
      </c>
      <c r="AG6" s="698" t="s">
        <v>143</v>
      </c>
      <c r="AH6" s="694"/>
      <c r="AI6" s="694"/>
      <c r="AJ6" s="695"/>
      <c r="AK6" s="694"/>
      <c r="AL6" s="694"/>
      <c r="AM6" s="694"/>
      <c r="AN6" s="694"/>
      <c r="AO6" s="694"/>
      <c r="AP6" s="694"/>
      <c r="AQ6" s="694"/>
      <c r="AR6" s="694"/>
      <c r="AS6" s="694"/>
      <c r="AT6" s="694"/>
      <c r="AU6" s="694"/>
      <c r="AV6" s="694"/>
      <c r="AW6" s="694"/>
      <c r="AX6" s="694"/>
      <c r="AY6" s="694"/>
      <c r="AZ6" s="694"/>
      <c r="BA6" s="695"/>
      <c r="BB6" s="694"/>
      <c r="BC6" s="694"/>
      <c r="BD6" s="181"/>
      <c r="BE6" s="179" t="str">
        <f>UPPER("Property-Level Cash Flow and Returns")</f>
        <v>PROPERTY-LEVEL CASH FLOW AND RETURNS</v>
      </c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1"/>
      <c r="BZ6" s="367" t="s">
        <v>1</v>
      </c>
      <c r="CA6" s="182" t="s">
        <v>1</v>
      </c>
      <c r="CH6" s="182" t="s">
        <v>1</v>
      </c>
      <c r="CI6" s="182" t="s">
        <v>1</v>
      </c>
      <c r="CJ6" s="182" t="s">
        <v>1</v>
      </c>
      <c r="CK6" s="173" t="s">
        <v>1</v>
      </c>
      <c r="CL6" s="182" t="s">
        <v>1</v>
      </c>
      <c r="CM6" s="182" t="s">
        <v>1</v>
      </c>
      <c r="CN6" s="182" t="s">
        <v>1</v>
      </c>
      <c r="CO6" s="182" t="s">
        <v>1</v>
      </c>
      <c r="CP6" s="182" t="s">
        <v>1</v>
      </c>
      <c r="CQ6" s="182" t="s">
        <v>1</v>
      </c>
      <c r="CR6" s="229" t="s">
        <v>1</v>
      </c>
      <c r="CS6" s="182" t="s">
        <v>1</v>
      </c>
      <c r="CW6" s="55" t="s">
        <v>144</v>
      </c>
      <c r="CX6" s="441">
        <f>G91</f>
        <v>219372.36</v>
      </c>
      <c r="CY6" s="441">
        <f>I91</f>
        <v>219372.36</v>
      </c>
      <c r="CZ6" s="446">
        <f>K91</f>
        <v>219372.36</v>
      </c>
    </row>
    <row r="7" spans="2:119" ht="16.5">
      <c r="B7" s="255" t="s">
        <v>145</v>
      </c>
      <c r="C7" s="183"/>
      <c r="D7" s="37" t="s">
        <v>146</v>
      </c>
      <c r="Z7" s="263" t="s">
        <v>147</v>
      </c>
      <c r="AA7" s="263"/>
      <c r="AB7" s="290">
        <f>BJ24</f>
        <v>1296356.1471810001</v>
      </c>
      <c r="AC7" s="163" t="s">
        <v>142</v>
      </c>
      <c r="AG7" s="699" t="str">
        <f>UPPER(_xlfn.SINGLE(Name))</f>
        <v>HILAND OFFICE</v>
      </c>
      <c r="AH7" s="696"/>
      <c r="AI7" s="696"/>
      <c r="AJ7" s="697"/>
      <c r="AK7" s="696"/>
      <c r="AL7" s="696"/>
      <c r="AM7" s="696"/>
      <c r="AN7" s="696"/>
      <c r="AO7" s="696"/>
      <c r="AP7" s="696"/>
      <c r="AQ7" s="696"/>
      <c r="AR7" s="696"/>
      <c r="AS7" s="696"/>
      <c r="AT7" s="696"/>
      <c r="AU7" s="696"/>
      <c r="AV7" s="696"/>
      <c r="AW7" s="696"/>
      <c r="AX7" s="696"/>
      <c r="AY7" s="696"/>
      <c r="AZ7" s="696"/>
      <c r="BA7" s="697"/>
      <c r="BB7" s="696"/>
      <c r="BC7" s="696"/>
      <c r="BD7" s="165"/>
      <c r="BE7" s="184" t="str" cm="1">
        <f t="array" ref="BE7">UPPER(Name)</f>
        <v>HILAND OFFICE</v>
      </c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65"/>
      <c r="BZ7" s="368" t="s">
        <v>8</v>
      </c>
      <c r="CA7" s="345" t="s">
        <v>9</v>
      </c>
      <c r="CB7" s="345" t="s">
        <v>10</v>
      </c>
      <c r="CD7" s="168"/>
      <c r="CH7" s="182" t="s">
        <v>1</v>
      </c>
      <c r="CI7" s="182" t="s">
        <v>1</v>
      </c>
      <c r="CJ7" s="182" t="s">
        <v>1</v>
      </c>
      <c r="CK7" s="173" t="s">
        <v>1</v>
      </c>
      <c r="CL7" s="182" t="s">
        <v>1</v>
      </c>
      <c r="CM7" s="182" t="s">
        <v>1</v>
      </c>
      <c r="CN7" s="182" t="s">
        <v>1</v>
      </c>
      <c r="CO7" s="182" t="s">
        <v>1</v>
      </c>
      <c r="CP7" s="182" t="s">
        <v>1</v>
      </c>
      <c r="CQ7" s="182" t="s">
        <v>1</v>
      </c>
      <c r="CR7" s="229" t="s">
        <v>1</v>
      </c>
      <c r="CS7" s="182" t="s">
        <v>1</v>
      </c>
      <c r="CW7" s="55" t="s">
        <v>148</v>
      </c>
      <c r="CX7" s="441">
        <f>G92</f>
        <v>329052</v>
      </c>
      <c r="CY7" s="441">
        <f>I92</f>
        <v>329052</v>
      </c>
      <c r="CZ7" s="446">
        <f>K92</f>
        <v>329052</v>
      </c>
    </row>
    <row r="8" spans="2:119" ht="24.75" customHeight="1">
      <c r="B8" s="35" t="s">
        <v>149</v>
      </c>
      <c r="C8" s="174"/>
      <c r="D8" s="39">
        <v>45839</v>
      </c>
      <c r="E8" s="187"/>
      <c r="Z8" s="263" t="s">
        <v>150</v>
      </c>
      <c r="AA8" s="263"/>
      <c r="AB8" s="288">
        <f>D14+(D10*(D13/10000))</f>
        <v>7.0000000000000007E-2</v>
      </c>
      <c r="AC8" s="163" t="s">
        <v>151</v>
      </c>
      <c r="AG8" s="188" t="s">
        <v>152</v>
      </c>
      <c r="AH8" s="103"/>
      <c r="AI8" s="61"/>
      <c r="AJ8" s="400"/>
      <c r="AK8" s="189"/>
      <c r="AL8" s="190">
        <f>D17</f>
        <v>50000</v>
      </c>
      <c r="AM8" s="58"/>
      <c r="AN8" s="191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385"/>
      <c r="BB8" s="58"/>
      <c r="BC8" s="58"/>
      <c r="BD8" s="165"/>
      <c r="BE8" s="150"/>
      <c r="BF8" s="275"/>
      <c r="BG8" s="308">
        <v>0</v>
      </c>
      <c r="BH8" s="309">
        <f>IF(OR(BG8="",BG8=Analysis_Period+1),"",BG8+1)</f>
        <v>1</v>
      </c>
      <c r="BI8" s="309">
        <f t="shared" ref="BI8:BV8" si="0">IF(OR(BH8="",BH8=_xlfn.SINGLE(Analysis_Period)+1),"",BH8+1)</f>
        <v>2</v>
      </c>
      <c r="BJ8" s="309">
        <f t="shared" si="0"/>
        <v>3</v>
      </c>
      <c r="BK8" s="309">
        <f t="shared" si="0"/>
        <v>4</v>
      </c>
      <c r="BL8" s="309">
        <f t="shared" si="0"/>
        <v>5</v>
      </c>
      <c r="BM8" s="309">
        <f t="shared" si="0"/>
        <v>6</v>
      </c>
      <c r="BN8" s="309">
        <f t="shared" si="0"/>
        <v>7</v>
      </c>
      <c r="BO8" s="309">
        <f t="shared" si="0"/>
        <v>8</v>
      </c>
      <c r="BP8" s="309">
        <f t="shared" si="0"/>
        <v>9</v>
      </c>
      <c r="BQ8" s="309">
        <f t="shared" si="0"/>
        <v>10</v>
      </c>
      <c r="BR8" s="309">
        <f t="shared" si="0"/>
        <v>11</v>
      </c>
      <c r="BS8" s="309" t="str">
        <f t="shared" si="0"/>
        <v/>
      </c>
      <c r="BT8" s="309" t="str">
        <f t="shared" si="0"/>
        <v/>
      </c>
      <c r="BU8" s="309" t="str">
        <f t="shared" si="0"/>
        <v/>
      </c>
      <c r="BV8" s="309" t="str">
        <f t="shared" si="0"/>
        <v/>
      </c>
      <c r="BW8" s="165"/>
      <c r="BZ8" s="367" t="s">
        <v>11</v>
      </c>
      <c r="CA8" s="346">
        <v>0.05</v>
      </c>
      <c r="CB8" s="192">
        <f>CB10*CA8</f>
        <v>71662.777659421045</v>
      </c>
      <c r="CC8" s="182" t="s">
        <v>1</v>
      </c>
      <c r="CD8" s="182" t="s">
        <v>1</v>
      </c>
      <c r="CE8" s="193" t="s">
        <v>1</v>
      </c>
      <c r="CF8" s="182" t="s">
        <v>1</v>
      </c>
      <c r="CG8" s="182" t="s">
        <v>1</v>
      </c>
      <c r="CH8" s="182" t="s">
        <v>1</v>
      </c>
      <c r="CI8" s="347" t="s">
        <v>12</v>
      </c>
      <c r="CJ8" s="348" t="s">
        <v>13</v>
      </c>
      <c r="CK8" s="182" t="s">
        <v>1</v>
      </c>
      <c r="CL8" s="182" t="s">
        <v>1</v>
      </c>
      <c r="CM8" s="182" t="s">
        <v>1</v>
      </c>
      <c r="CN8" s="182" t="s">
        <v>1</v>
      </c>
      <c r="CO8" s="182" t="s">
        <v>1</v>
      </c>
      <c r="CP8" s="182" t="s">
        <v>1</v>
      </c>
      <c r="CQ8" s="182" t="s">
        <v>1</v>
      </c>
      <c r="CR8" s="229" t="s">
        <v>1</v>
      </c>
      <c r="CS8" s="182" t="s">
        <v>1</v>
      </c>
      <c r="CW8" s="55" t="s">
        <v>153</v>
      </c>
      <c r="CX8" s="441"/>
      <c r="CY8" s="441"/>
    </row>
    <row r="9" spans="2:119" ht="10.9" customHeight="1">
      <c r="B9" s="35" t="s">
        <v>154</v>
      </c>
      <c r="C9" s="174"/>
      <c r="D9" s="40" t="s">
        <v>155</v>
      </c>
      <c r="Z9" s="263" t="s">
        <v>156</v>
      </c>
      <c r="AA9" s="263"/>
      <c r="AB9" s="599">
        <f>INDEX(BH33:BV33,1,D10)</f>
        <v>20554269.52140088</v>
      </c>
      <c r="AC9" s="163" t="s">
        <v>157</v>
      </c>
      <c r="AG9" s="194"/>
      <c r="AH9" s="60" t="str">
        <f>IF(AG9="Simple","","See row 45")</f>
        <v>See row 45</v>
      </c>
      <c r="AI9" s="61"/>
      <c r="AJ9" s="403"/>
      <c r="AK9" s="62" t="str">
        <f>C38</f>
        <v>Year 0</v>
      </c>
      <c r="AL9" s="62" t="str">
        <f>D38</f>
        <v>T12</v>
      </c>
      <c r="AM9" s="62" t="s">
        <v>130</v>
      </c>
      <c r="AN9" s="63" t="str">
        <f>"/"&amp;D9</f>
        <v>/SF</v>
      </c>
      <c r="AO9" s="64"/>
      <c r="AP9" s="65">
        <f t="shared" ref="AP9:AZ9" si="1">BH8</f>
        <v>1</v>
      </c>
      <c r="AQ9" s="65">
        <f t="shared" si="1"/>
        <v>2</v>
      </c>
      <c r="AR9" s="65">
        <f t="shared" si="1"/>
        <v>3</v>
      </c>
      <c r="AS9" s="65">
        <f t="shared" si="1"/>
        <v>4</v>
      </c>
      <c r="AT9" s="65">
        <f t="shared" si="1"/>
        <v>5</v>
      </c>
      <c r="AU9" s="65">
        <f t="shared" si="1"/>
        <v>6</v>
      </c>
      <c r="AV9" s="65">
        <f t="shared" si="1"/>
        <v>7</v>
      </c>
      <c r="AW9" s="65">
        <f t="shared" si="1"/>
        <v>8</v>
      </c>
      <c r="AX9" s="65">
        <f t="shared" si="1"/>
        <v>9</v>
      </c>
      <c r="AY9" s="65">
        <f t="shared" si="1"/>
        <v>10</v>
      </c>
      <c r="AZ9" s="65">
        <f t="shared" si="1"/>
        <v>11</v>
      </c>
      <c r="BA9" s="386"/>
      <c r="BB9" s="65"/>
      <c r="BC9" s="65"/>
      <c r="BD9" s="294"/>
      <c r="BE9" s="310" t="s">
        <v>158</v>
      </c>
      <c r="BF9" s="311" t="s">
        <v>75</v>
      </c>
      <c r="BG9" s="312">
        <f>EOMONTH(Analysis_Start,-1)</f>
        <v>45838</v>
      </c>
      <c r="BH9" s="312">
        <f>EOMONTH(Analysis_Start,11)</f>
        <v>46203</v>
      </c>
      <c r="BI9" s="312">
        <f t="shared" ref="BI9:BV9" si="2">_xlfn.SINGLE(IF(BI8="","",EOMONTH(Analysis_Start,(11*BI8)+BH8)))</f>
        <v>46568</v>
      </c>
      <c r="BJ9" s="312">
        <f t="shared" si="2"/>
        <v>46934</v>
      </c>
      <c r="BK9" s="312">
        <f t="shared" si="2"/>
        <v>47299</v>
      </c>
      <c r="BL9" s="312">
        <f t="shared" si="2"/>
        <v>47664</v>
      </c>
      <c r="BM9" s="312">
        <f t="shared" si="2"/>
        <v>48029</v>
      </c>
      <c r="BN9" s="312">
        <f t="shared" si="2"/>
        <v>48395</v>
      </c>
      <c r="BO9" s="312">
        <f t="shared" si="2"/>
        <v>48760</v>
      </c>
      <c r="BP9" s="312">
        <f t="shared" si="2"/>
        <v>49125</v>
      </c>
      <c r="BQ9" s="312">
        <f t="shared" si="2"/>
        <v>49490</v>
      </c>
      <c r="BR9" s="312">
        <f>_xlfn.SINGLE(IF(BR8="","",EOMONTH(Analysis_Start,(11*BR8)+BQ8)))</f>
        <v>49856</v>
      </c>
      <c r="BS9" s="312" t="str">
        <f t="shared" si="2"/>
        <v/>
      </c>
      <c r="BT9" s="312" t="str">
        <f t="shared" si="2"/>
        <v/>
      </c>
      <c r="BU9" s="312" t="str">
        <f t="shared" si="2"/>
        <v/>
      </c>
      <c r="BV9" s="312" t="str">
        <f t="shared" si="2"/>
        <v/>
      </c>
      <c r="BW9" s="165"/>
      <c r="BZ9" s="367" t="s">
        <v>14</v>
      </c>
      <c r="CA9" s="349">
        <f>100%-CA8</f>
        <v>0.95</v>
      </c>
      <c r="CB9" s="350">
        <f>CB10*CA9</f>
        <v>1361592.7755289997</v>
      </c>
      <c r="CC9" s="182" t="s">
        <v>1</v>
      </c>
      <c r="CD9" s="182" t="s">
        <v>1</v>
      </c>
      <c r="CE9" s="193" t="s">
        <v>1</v>
      </c>
      <c r="CF9" s="182" t="s">
        <v>1</v>
      </c>
      <c r="CG9" s="182" t="s">
        <v>1</v>
      </c>
      <c r="CH9" s="182" t="s">
        <v>1</v>
      </c>
      <c r="CI9" s="347" t="s">
        <v>15</v>
      </c>
      <c r="CJ9" s="351" t="e">
        <f>(CB24+CB33)/1000000</f>
        <v>#VALUE!</v>
      </c>
      <c r="CK9" s="182" t="s">
        <v>1</v>
      </c>
      <c r="CL9" s="182" t="s">
        <v>1</v>
      </c>
      <c r="CM9" s="182" t="s">
        <v>1</v>
      </c>
      <c r="CN9" s="182" t="s">
        <v>1</v>
      </c>
      <c r="CO9" s="182" t="s">
        <v>1</v>
      </c>
      <c r="CP9" s="182" t="s">
        <v>1</v>
      </c>
      <c r="CQ9" s="182" t="s">
        <v>1</v>
      </c>
      <c r="CR9" s="229" t="s">
        <v>1</v>
      </c>
      <c r="CS9" s="182" t="s">
        <v>1</v>
      </c>
      <c r="CW9" s="55" t="s">
        <v>159</v>
      </c>
      <c r="CX9" s="441"/>
      <c r="CY9" s="441"/>
    </row>
    <row r="10" spans="2:119" ht="16.5">
      <c r="B10" s="35" t="s">
        <v>160</v>
      </c>
      <c r="C10" s="174"/>
      <c r="D10" s="36">
        <v>10</v>
      </c>
      <c r="Z10" s="253"/>
      <c r="AA10" s="253"/>
      <c r="AB10" s="257"/>
      <c r="AG10" s="195">
        <f>_xlfn.RRI(Analysis_Period-1,AP10,INDEX(AP10:BC10,1,Analysis_Period))</f>
        <v>1.0646292707510829E-2</v>
      </c>
      <c r="AH10" s="67" t="s">
        <v>161</v>
      </c>
      <c r="AI10" s="61"/>
      <c r="AJ10" s="399" t="s">
        <v>162</v>
      </c>
      <c r="AK10" s="307">
        <f t="shared" ref="AK10:AL10" si="3">CX20</f>
        <v>1371050.2799999998</v>
      </c>
      <c r="AL10" s="307">
        <f t="shared" si="3"/>
        <v>1371050.2799999998</v>
      </c>
      <c r="AM10" s="307">
        <f>CZ20</f>
        <v>1371050.2799999998</v>
      </c>
      <c r="AN10" s="69">
        <f>+AP10/D17</f>
        <v>27.421005599999997</v>
      </c>
      <c r="AO10" s="70"/>
      <c r="AP10" s="71">
        <f>+AM10</f>
        <v>1371050.2799999998</v>
      </c>
      <c r="AQ10" s="72">
        <f>AP10*(1+G68)</f>
        <v>1371050.2799999998</v>
      </c>
      <c r="AR10" s="72">
        <f t="shared" ref="AQ10:AZ10" si="4">AQ10*(1+H68)</f>
        <v>1371050.2799999998</v>
      </c>
      <c r="AS10" s="72">
        <f t="shared" si="4"/>
        <v>1371050.2799999998</v>
      </c>
      <c r="AT10" s="72">
        <f t="shared" si="4"/>
        <v>1371050.2799999998</v>
      </c>
      <c r="AU10" s="72">
        <f t="shared" si="4"/>
        <v>1508155.308</v>
      </c>
      <c r="AV10" s="72">
        <f t="shared" si="4"/>
        <v>1508155.308</v>
      </c>
      <c r="AW10" s="72">
        <f t="shared" si="4"/>
        <v>1508155.308</v>
      </c>
      <c r="AX10" s="72">
        <f t="shared" si="4"/>
        <v>1508155.308</v>
      </c>
      <c r="AY10" s="72">
        <f t="shared" si="4"/>
        <v>1508155.308</v>
      </c>
      <c r="AZ10" s="72">
        <f t="shared" si="4"/>
        <v>1658970.8388</v>
      </c>
      <c r="BA10" s="380" t="s">
        <v>162</v>
      </c>
      <c r="BB10" s="73"/>
      <c r="BC10" s="73"/>
      <c r="BD10" s="295"/>
      <c r="BE10" s="313" t="s">
        <v>163</v>
      </c>
      <c r="BF10" s="314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  <c r="BQ10" s="315"/>
      <c r="BR10" s="315"/>
      <c r="BS10" s="315"/>
      <c r="BT10" s="315"/>
      <c r="BU10" s="315"/>
      <c r="BV10" s="315"/>
      <c r="BW10" s="165"/>
      <c r="BZ10" s="367" t="s">
        <v>17</v>
      </c>
      <c r="CA10" s="182" t="s">
        <v>1</v>
      </c>
      <c r="CB10" s="352">
        <f>SUM(CD43:CN43)</f>
        <v>1433255.5531884208</v>
      </c>
      <c r="CC10" s="182" t="s">
        <v>1</v>
      </c>
      <c r="CD10" s="182" t="s">
        <v>1</v>
      </c>
      <c r="CE10" s="193" t="s">
        <v>1</v>
      </c>
      <c r="CF10" s="182" t="s">
        <v>1</v>
      </c>
      <c r="CG10" s="182" t="s">
        <v>1</v>
      </c>
      <c r="CH10" s="182" t="s">
        <v>1</v>
      </c>
      <c r="CI10" s="347" t="s">
        <v>18</v>
      </c>
      <c r="CJ10" s="351">
        <f>SUM(CD39:CN39)/1000000</f>
        <v>1.4332555531884208</v>
      </c>
      <c r="CK10" s="182" t="s">
        <v>1</v>
      </c>
      <c r="CL10" s="182" t="s">
        <v>1</v>
      </c>
      <c r="CM10" s="182" t="s">
        <v>1</v>
      </c>
      <c r="CN10" s="182" t="s">
        <v>1</v>
      </c>
      <c r="CO10" s="182" t="s">
        <v>1</v>
      </c>
      <c r="CP10" s="182" t="s">
        <v>1</v>
      </c>
      <c r="CQ10" s="182" t="s">
        <v>1</v>
      </c>
      <c r="CR10" s="229" t="s">
        <v>1</v>
      </c>
      <c r="CS10" s="182" t="s">
        <v>1</v>
      </c>
      <c r="CW10" s="55" t="s">
        <v>164</v>
      </c>
      <c r="CX10" s="441"/>
      <c r="CY10" s="441"/>
    </row>
    <row r="11" spans="2:119" ht="16.5">
      <c r="B11" s="35"/>
      <c r="C11" s="174"/>
      <c r="D11" s="36"/>
      <c r="Z11" s="253"/>
      <c r="AA11" s="253"/>
      <c r="AB11" s="257"/>
      <c r="AG11" s="195">
        <f>_xlfn.RRI(Analysis_Period-1,AP11,INDEX(AP11:BC11,1,Analysis_Period))</f>
        <v>8.0543702766312064E-2</v>
      </c>
      <c r="AH11" s="67" t="s">
        <v>621</v>
      </c>
      <c r="AI11" s="61"/>
      <c r="AK11" s="307">
        <f>$H$112</f>
        <v>51000</v>
      </c>
      <c r="AL11" s="307">
        <f t="shared" ref="AL11:AM11" si="5">$H$112</f>
        <v>51000</v>
      </c>
      <c r="AM11" s="307">
        <f>AJ84</f>
        <v>56490</v>
      </c>
      <c r="AN11" s="69">
        <f>+AP11/D18</f>
        <v>0.22595999999999999</v>
      </c>
      <c r="AO11" s="70"/>
      <c r="AP11" s="71">
        <f>AM11</f>
        <v>56490</v>
      </c>
      <c r="AQ11" s="72">
        <f>AK84</f>
        <v>61682.1</v>
      </c>
      <c r="AR11" s="72">
        <f>AL84</f>
        <v>67786.316999999981</v>
      </c>
      <c r="AS11" s="72">
        <f>AM84</f>
        <v>74847.108210000006</v>
      </c>
      <c r="AT11" s="72">
        <f>AN84</f>
        <v>80459.698685400013</v>
      </c>
      <c r="AU11" s="72">
        <f>AO84</f>
        <v>88314.611937060035</v>
      </c>
      <c r="AV11" s="72">
        <f>AP84</f>
        <v>93871.444879801245</v>
      </c>
      <c r="AW11" s="72">
        <f>AQ84</f>
        <v>99539.414481397296</v>
      </c>
      <c r="AX11" s="72">
        <f>AR84</f>
        <v>105948.24932912795</v>
      </c>
      <c r="AY11" s="72">
        <f>AS84</f>
        <v>113436.44428641147</v>
      </c>
      <c r="AZ11" s="72">
        <f>AT84</f>
        <v>121143.00702099956</v>
      </c>
      <c r="BA11" s="380" t="s">
        <v>622</v>
      </c>
      <c r="BB11" s="73"/>
      <c r="BC11" s="73"/>
      <c r="BD11" s="295"/>
      <c r="BE11" s="313"/>
      <c r="BF11" s="314"/>
      <c r="BG11" s="315"/>
      <c r="BH11" s="315"/>
      <c r="BI11" s="315"/>
      <c r="BJ11" s="315"/>
      <c r="BK11" s="315"/>
      <c r="BL11" s="315"/>
      <c r="BM11" s="315"/>
      <c r="BN11" s="315"/>
      <c r="BO11" s="315"/>
      <c r="BP11" s="315"/>
      <c r="BQ11" s="315"/>
      <c r="BR11" s="315"/>
      <c r="BS11" s="315"/>
      <c r="BT11" s="315"/>
      <c r="BU11" s="315"/>
      <c r="BV11" s="315"/>
      <c r="BW11" s="165"/>
      <c r="BZ11" s="367"/>
      <c r="CA11" s="182"/>
      <c r="CB11" s="352"/>
      <c r="CC11" s="182"/>
      <c r="CD11" s="182"/>
      <c r="CE11" s="193"/>
      <c r="CF11" s="182"/>
      <c r="CG11" s="182"/>
      <c r="CH11" s="182"/>
      <c r="CI11" s="347"/>
      <c r="CJ11" s="351"/>
      <c r="CK11" s="182"/>
      <c r="CL11" s="182"/>
      <c r="CM11" s="182"/>
      <c r="CN11" s="182"/>
      <c r="CO11" s="182"/>
      <c r="CP11" s="182"/>
      <c r="CQ11" s="182"/>
      <c r="CR11" s="229"/>
      <c r="CS11" s="182"/>
      <c r="CX11" s="441"/>
      <c r="CY11" s="441"/>
    </row>
    <row r="12" spans="2:119" ht="16.5">
      <c r="B12" s="35" t="s">
        <v>165</v>
      </c>
      <c r="C12" s="174"/>
      <c r="D12" s="41" t="s">
        <v>129</v>
      </c>
      <c r="Z12" s="258" t="s">
        <v>166</v>
      </c>
      <c r="AA12" s="258"/>
      <c r="AB12" s="258"/>
      <c r="AG12" s="195">
        <f>_xlfn.RRI(Analysis_Period-1,AP12,INDEX(AP12:BD12,1,Analysis_Period))</f>
        <v>1.0646292707510829E-2</v>
      </c>
      <c r="AH12" s="67" t="s">
        <v>167</v>
      </c>
      <c r="AI12" s="196"/>
      <c r="AJ12" s="399" t="s">
        <v>168</v>
      </c>
      <c r="AK12" s="68">
        <f t="shared" ref="AK12:AM13" si="6">C40</f>
        <v>660000</v>
      </c>
      <c r="AL12" s="68">
        <f t="shared" si="6"/>
        <v>670000</v>
      </c>
      <c r="AM12" s="307">
        <f t="shared" si="6"/>
        <v>685000</v>
      </c>
      <c r="AN12" s="69">
        <f>+AP12/D17</f>
        <v>13.7</v>
      </c>
      <c r="AO12" s="70"/>
      <c r="AP12" s="71">
        <f>+AM12</f>
        <v>685000</v>
      </c>
      <c r="AQ12" s="72">
        <f t="shared" ref="AQ12:AZ12" si="7">AP12*(1+G68)</f>
        <v>685000</v>
      </c>
      <c r="AR12" s="72">
        <f t="shared" si="7"/>
        <v>685000</v>
      </c>
      <c r="AS12" s="72">
        <f t="shared" si="7"/>
        <v>685000</v>
      </c>
      <c r="AT12" s="72">
        <f t="shared" si="7"/>
        <v>685000</v>
      </c>
      <c r="AU12" s="72">
        <f t="shared" si="7"/>
        <v>753500.00000000012</v>
      </c>
      <c r="AV12" s="72">
        <f t="shared" si="7"/>
        <v>753500.00000000012</v>
      </c>
      <c r="AW12" s="72">
        <f t="shared" si="7"/>
        <v>753500.00000000012</v>
      </c>
      <c r="AX12" s="72">
        <f t="shared" si="7"/>
        <v>753500.00000000012</v>
      </c>
      <c r="AY12" s="72">
        <f t="shared" si="7"/>
        <v>753500.00000000012</v>
      </c>
      <c r="AZ12" s="72">
        <f t="shared" si="7"/>
        <v>828850.00000000023</v>
      </c>
      <c r="BA12" s="380" t="s">
        <v>168</v>
      </c>
      <c r="BB12" s="73"/>
      <c r="BC12" s="73"/>
      <c r="BD12" s="295"/>
      <c r="BE12" s="316" t="s">
        <v>169</v>
      </c>
      <c r="BF12" s="314"/>
      <c r="BG12" s="317">
        <f>D21</f>
        <v>24508462</v>
      </c>
      <c r="BH12" s="317">
        <f t="shared" ref="BH12:BQ12" si="8">(BH8&lt;=$D$10)*(BH8=0)*$D$21</f>
        <v>0</v>
      </c>
      <c r="BI12" s="317">
        <f t="shared" si="8"/>
        <v>0</v>
      </c>
      <c r="BJ12" s="317">
        <f t="shared" si="8"/>
        <v>0</v>
      </c>
      <c r="BK12" s="317">
        <f t="shared" si="8"/>
        <v>0</v>
      </c>
      <c r="BL12" s="317">
        <f t="shared" si="8"/>
        <v>0</v>
      </c>
      <c r="BM12" s="317">
        <f t="shared" si="8"/>
        <v>0</v>
      </c>
      <c r="BN12" s="317">
        <f t="shared" si="8"/>
        <v>0</v>
      </c>
      <c r="BO12" s="317">
        <f t="shared" si="8"/>
        <v>0</v>
      </c>
      <c r="BP12" s="317">
        <f t="shared" si="8"/>
        <v>0</v>
      </c>
      <c r="BQ12" s="317">
        <f t="shared" si="8"/>
        <v>0</v>
      </c>
      <c r="BR12" s="317" t="str">
        <f>IF(BR8&gt;_xlfn.SINGLE(Analysis_Period),"",(BR8=0)*'[1]Property Cash Flow'!$D$22)</f>
        <v/>
      </c>
      <c r="BS12" s="317" t="str">
        <f>IF(BS8&gt;_xlfn.SINGLE(Analysis_Period),"",(BS8=0)*'[1]Property Cash Flow'!$D$22)</f>
        <v/>
      </c>
      <c r="BT12" s="317" t="str">
        <f>IF(BT8&gt;_xlfn.SINGLE(Analysis_Period),"",(BT8=0)*'[1]Property Cash Flow'!$D$22)</f>
        <v/>
      </c>
      <c r="BU12" s="317" t="str">
        <f>IF(BU8&gt;_xlfn.SINGLE(Analysis_Period),"",(BU8=0)*'[1]Property Cash Flow'!$D$22)</f>
        <v/>
      </c>
      <c r="BV12" s="317" t="str">
        <f>IF(BV8&gt;_xlfn.SINGLE(Analysis_Period),"",(BV8=0)*'[1]Property Cash Flow'!$D$22)</f>
        <v/>
      </c>
      <c r="BW12" s="165"/>
      <c r="BZ12" s="367" t="s">
        <v>1</v>
      </c>
      <c r="CA12" s="182" t="s">
        <v>1</v>
      </c>
      <c r="CB12" s="197" t="s">
        <v>1</v>
      </c>
      <c r="CC12" s="182" t="s">
        <v>1</v>
      </c>
      <c r="CD12" s="182" t="s">
        <v>1</v>
      </c>
      <c r="CE12" s="193" t="s">
        <v>1</v>
      </c>
      <c r="CF12" s="182" t="s">
        <v>1</v>
      </c>
      <c r="CG12" s="182" t="s">
        <v>1</v>
      </c>
      <c r="CH12" s="182" t="s">
        <v>1</v>
      </c>
      <c r="CI12" s="182" t="s">
        <v>1</v>
      </c>
      <c r="CJ12" s="182" t="s">
        <v>1</v>
      </c>
      <c r="CK12" s="182" t="s">
        <v>1</v>
      </c>
      <c r="CL12" s="182" t="s">
        <v>1</v>
      </c>
      <c r="CM12" s="182" t="s">
        <v>1</v>
      </c>
      <c r="CN12" s="182" t="s">
        <v>1</v>
      </c>
      <c r="CO12" s="182" t="s">
        <v>1</v>
      </c>
      <c r="CP12" s="182" t="s">
        <v>1</v>
      </c>
      <c r="CQ12" s="182" t="s">
        <v>1</v>
      </c>
      <c r="CR12" s="229" t="s">
        <v>1</v>
      </c>
      <c r="CS12" s="182" t="s">
        <v>1</v>
      </c>
      <c r="CW12" s="55" t="s">
        <v>170</v>
      </c>
      <c r="CX12" s="441"/>
      <c r="CY12" s="441"/>
    </row>
    <row r="13" spans="2:119" ht="28.15" customHeight="1">
      <c r="B13" s="35" t="s">
        <v>171</v>
      </c>
      <c r="C13" s="174"/>
      <c r="D13" s="42">
        <v>5</v>
      </c>
      <c r="Z13" s="259" t="s">
        <v>169</v>
      </c>
      <c r="AA13" s="259"/>
      <c r="AB13" s="279">
        <f>IF(D7="Manual Input",D21,IF(D7="DCF",AB14,IF(D7="Cap Year 1 NOI",AB6/D14,AB16)))</f>
        <v>24508462</v>
      </c>
      <c r="AC13" s="198" t="s">
        <v>172</v>
      </c>
      <c r="AD13" s="199"/>
      <c r="AG13" s="195">
        <f>_xlfn.RRI(_xlfn.SINGLE(Analysis_Period)-1,AP13,_xlfn.SINGLE(INDEX(AP13:BD13,1,_xlfn.SINGLE(Analysis_Period))))</f>
        <v>1.0646292707510829E-2</v>
      </c>
      <c r="AH13" s="67" t="s">
        <v>173</v>
      </c>
      <c r="AI13" s="61"/>
      <c r="AJ13" s="404" t="s">
        <v>174</v>
      </c>
      <c r="AK13" s="68">
        <f t="shared" si="6"/>
        <v>98751</v>
      </c>
      <c r="AL13" s="68">
        <f t="shared" si="6"/>
        <v>99152</v>
      </c>
      <c r="AM13" s="307">
        <f t="shared" si="6"/>
        <v>100000</v>
      </c>
      <c r="AN13" s="75">
        <f>+AP13/D17</f>
        <v>2</v>
      </c>
      <c r="AO13" s="76"/>
      <c r="AP13" s="77">
        <f>+AM13</f>
        <v>100000</v>
      </c>
      <c r="AQ13" s="72">
        <f t="shared" ref="AQ13:AZ13" si="9">AP13*(1+G68)</f>
        <v>100000</v>
      </c>
      <c r="AR13" s="72">
        <f t="shared" si="9"/>
        <v>100000</v>
      </c>
      <c r="AS13" s="72">
        <f t="shared" si="9"/>
        <v>100000</v>
      </c>
      <c r="AT13" s="72">
        <f t="shared" si="9"/>
        <v>100000</v>
      </c>
      <c r="AU13" s="72">
        <f t="shared" si="9"/>
        <v>110000.00000000001</v>
      </c>
      <c r="AV13" s="72">
        <f t="shared" si="9"/>
        <v>110000.00000000001</v>
      </c>
      <c r="AW13" s="72">
        <f t="shared" si="9"/>
        <v>110000.00000000001</v>
      </c>
      <c r="AX13" s="72">
        <f t="shared" si="9"/>
        <v>110000.00000000001</v>
      </c>
      <c r="AY13" s="72">
        <f t="shared" si="9"/>
        <v>110000.00000000001</v>
      </c>
      <c r="AZ13" s="72">
        <f t="shared" si="9"/>
        <v>121000.00000000003</v>
      </c>
      <c r="BA13" s="387" t="s">
        <v>174</v>
      </c>
      <c r="BB13" s="78"/>
      <c r="BC13" s="78"/>
      <c r="BD13" s="296"/>
      <c r="BE13" s="316" t="s">
        <v>175</v>
      </c>
      <c r="BF13" s="314"/>
      <c r="BG13" s="317">
        <f>D18</f>
        <v>250000</v>
      </c>
      <c r="BH13" s="317">
        <f t="shared" ref="BH13:BQ13" si="10">(BH8&lt;=$D$10)*(BH8=0)*$D$21</f>
        <v>0</v>
      </c>
      <c r="BI13" s="317">
        <f t="shared" si="10"/>
        <v>0</v>
      </c>
      <c r="BJ13" s="317">
        <f t="shared" si="10"/>
        <v>0</v>
      </c>
      <c r="BK13" s="317">
        <f t="shared" si="10"/>
        <v>0</v>
      </c>
      <c r="BL13" s="317">
        <f t="shared" si="10"/>
        <v>0</v>
      </c>
      <c r="BM13" s="317">
        <f t="shared" si="10"/>
        <v>0</v>
      </c>
      <c r="BN13" s="317">
        <f t="shared" si="10"/>
        <v>0</v>
      </c>
      <c r="BO13" s="317">
        <f t="shared" si="10"/>
        <v>0</v>
      </c>
      <c r="BP13" s="317">
        <f t="shared" si="10"/>
        <v>0</v>
      </c>
      <c r="BQ13" s="317">
        <f t="shared" si="10"/>
        <v>0</v>
      </c>
      <c r="BR13" s="317" t="str">
        <f>IF(BR8&gt;_xlfn.SINGLE(Analysis_Period),"",(BR8=0)*'[1]Property Cash Flow'!AC10)</f>
        <v/>
      </c>
      <c r="BS13" s="317" t="str">
        <f>IF(BS8&gt;_xlfn.SINGLE(Analysis_Period),"",(BS8=0)*'[1]Property Cash Flow'!AD10)</f>
        <v/>
      </c>
      <c r="BT13" s="317" t="str">
        <f>IF(BT8&gt;_xlfn.SINGLE(Analysis_Period),"",(BT8=0)*'[1]Property Cash Flow'!AE10)</f>
        <v/>
      </c>
      <c r="BU13" s="317" t="str">
        <f>IF(BU8&gt;_xlfn.SINGLE(Analysis_Period),"",(BU8=0)*'[1]Property Cash Flow'!AF10)</f>
        <v/>
      </c>
      <c r="BV13" s="317" t="str">
        <f>IF(BV8&gt;_xlfn.SINGLE(Analysis_Period),"",(BV8=0)*'[1]Property Cash Flow'!AG10)</f>
        <v/>
      </c>
      <c r="BW13" s="165"/>
      <c r="BZ13" s="369" t="s">
        <v>19</v>
      </c>
      <c r="CA13" s="353" t="s">
        <v>4</v>
      </c>
      <c r="CB13" s="200" t="s">
        <v>1</v>
      </c>
      <c r="CC13" s="200" t="s">
        <v>1</v>
      </c>
      <c r="CD13" s="844" t="s">
        <v>20</v>
      </c>
      <c r="CE13" s="844"/>
      <c r="CF13" s="845" t="s">
        <v>21</v>
      </c>
      <c r="CG13" s="845"/>
      <c r="CH13" s="200" t="s">
        <v>1</v>
      </c>
      <c r="CI13" s="200" t="s">
        <v>1</v>
      </c>
      <c r="CJ13" s="200" t="s">
        <v>1</v>
      </c>
      <c r="CK13" s="200" t="s">
        <v>1</v>
      </c>
      <c r="CL13" s="200" t="s">
        <v>1</v>
      </c>
      <c r="CM13" s="182" t="s">
        <v>1</v>
      </c>
      <c r="CN13" s="182" t="s">
        <v>1</v>
      </c>
      <c r="CO13" s="182" t="s">
        <v>1</v>
      </c>
      <c r="CP13" s="182" t="s">
        <v>1</v>
      </c>
      <c r="CQ13" s="182" t="s">
        <v>1</v>
      </c>
      <c r="CR13" s="229" t="s">
        <v>1</v>
      </c>
      <c r="CS13" s="182" t="s">
        <v>1</v>
      </c>
      <c r="CW13" s="55" t="s">
        <v>176</v>
      </c>
      <c r="CX13" s="441"/>
      <c r="CY13" s="441"/>
    </row>
    <row r="14" spans="2:119" ht="34.9">
      <c r="B14" s="35" t="s">
        <v>177</v>
      </c>
      <c r="C14" s="174"/>
      <c r="D14" s="43">
        <v>6.5000000000000002E-2</v>
      </c>
      <c r="Z14" s="260" t="s">
        <v>178</v>
      </c>
      <c r="AA14" s="260"/>
      <c r="AB14" s="280">
        <f>NPV(D15,BH44:BR44)</f>
        <v>17590252.275836829</v>
      </c>
      <c r="AC14" s="198" t="s">
        <v>179</v>
      </c>
      <c r="AD14" s="199"/>
      <c r="AG14" s="201">
        <f>_xlfn.RRI(_xlfn.SINGLE(Analysis_Period)-1,AP14,_xlfn.SINGLE(INDEX(AP14:BD14,1,_xlfn.SINGLE(Analysis_Period))))</f>
        <v>1.299124890338943E-2</v>
      </c>
      <c r="AH14" s="106" t="s">
        <v>180</v>
      </c>
      <c r="AI14" s="202"/>
      <c r="AJ14" s="404" t="s">
        <v>181</v>
      </c>
      <c r="AK14" s="79">
        <f>SUM(AK10:AK13)</f>
        <v>2180801.2799999998</v>
      </c>
      <c r="AL14" s="79">
        <f>SUM(AL10:AL13)</f>
        <v>2191202.2799999998</v>
      </c>
      <c r="AM14" s="79">
        <f>SUM(AM10:AM13)</f>
        <v>2212540.2799999998</v>
      </c>
      <c r="AN14" s="80">
        <f>SUM(AN10:AN13)</f>
        <v>43.346965599999997</v>
      </c>
      <c r="AO14" s="81"/>
      <c r="AP14" s="82">
        <f>SUM(AP10:AP13)</f>
        <v>2212540.2799999998</v>
      </c>
      <c r="AQ14" s="82">
        <f>SUM(AQ10:AQ13)</f>
        <v>2217732.38</v>
      </c>
      <c r="AR14" s="82">
        <f>SUM(AR10:AR13)</f>
        <v>2223836.5970000001</v>
      </c>
      <c r="AS14" s="82">
        <f>SUM(AS10:AS13)</f>
        <v>2230897.3882099995</v>
      </c>
      <c r="AT14" s="82">
        <f t="shared" ref="AT14:AZ14" si="11">SUM(AT10:AT13)</f>
        <v>2236509.9786853995</v>
      </c>
      <c r="AU14" s="82">
        <f t="shared" si="11"/>
        <v>2459969.9199370602</v>
      </c>
      <c r="AV14" s="82">
        <f t="shared" si="11"/>
        <v>2465526.7528798012</v>
      </c>
      <c r="AW14" s="82">
        <f t="shared" si="11"/>
        <v>2471194.7224813974</v>
      </c>
      <c r="AX14" s="82">
        <f t="shared" si="11"/>
        <v>2477603.557329128</v>
      </c>
      <c r="AY14" s="82">
        <f t="shared" si="11"/>
        <v>2485091.7522864114</v>
      </c>
      <c r="AZ14" s="82">
        <f t="shared" si="11"/>
        <v>2729963.8458209997</v>
      </c>
      <c r="BA14" s="387" t="s">
        <v>181</v>
      </c>
      <c r="BB14" s="83"/>
      <c r="BC14" s="83"/>
      <c r="BD14" s="297"/>
      <c r="BE14" s="316" t="s">
        <v>182</v>
      </c>
      <c r="BF14" s="314"/>
      <c r="BG14" s="318">
        <f>D19*D21</f>
        <v>490169.24</v>
      </c>
      <c r="BH14" s="317">
        <f t="shared" ref="BH14:BQ14" si="12">(BH8&lt;=$D$10)*(BH8=0)*$D$21</f>
        <v>0</v>
      </c>
      <c r="BI14" s="317">
        <f t="shared" si="12"/>
        <v>0</v>
      </c>
      <c r="BJ14" s="317">
        <f t="shared" si="12"/>
        <v>0</v>
      </c>
      <c r="BK14" s="317">
        <f t="shared" si="12"/>
        <v>0</v>
      </c>
      <c r="BL14" s="317">
        <f t="shared" si="12"/>
        <v>0</v>
      </c>
      <c r="BM14" s="317">
        <f t="shared" si="12"/>
        <v>0</v>
      </c>
      <c r="BN14" s="317">
        <f t="shared" si="12"/>
        <v>0</v>
      </c>
      <c r="BO14" s="317">
        <f t="shared" si="12"/>
        <v>0</v>
      </c>
      <c r="BP14" s="317">
        <f t="shared" si="12"/>
        <v>0</v>
      </c>
      <c r="BQ14" s="317">
        <f t="shared" si="12"/>
        <v>0</v>
      </c>
      <c r="BR14" s="317" t="str">
        <f>IF(BR8&gt;_xlfn.SINGLE(Analysis_Period),"",(BR9=0)*'[1]Property Cash Flow'!$D$22)</f>
        <v/>
      </c>
      <c r="BS14" s="318" t="str">
        <f>IF(BS8&gt;_xlfn.SINGLE(Analysis_Period),"",(BS8=0)*BS12*'[1]Property Cash Flow'!AD11)</f>
        <v/>
      </c>
      <c r="BT14" s="318" t="str">
        <f>IF(BT8&gt;_xlfn.SINGLE(Analysis_Period),"",(BT8=0)*BT12*'[1]Property Cash Flow'!AE11)</f>
        <v/>
      </c>
      <c r="BU14" s="318" t="str">
        <f>IF(BU8&gt;_xlfn.SINGLE(Analysis_Period),"",(BU8=0)*BU12*'[1]Property Cash Flow'!AF11)</f>
        <v/>
      </c>
      <c r="BV14" s="318" t="str">
        <f>IF(BV8&gt;_xlfn.SINGLE(Analysis_Period),"",(BV8=0)*BV12*'[1]Property Cash Flow'!AG11)</f>
        <v/>
      </c>
      <c r="BW14" s="165"/>
      <c r="BZ14" s="368" t="s">
        <v>22</v>
      </c>
      <c r="CA14" s="200" t="s">
        <v>1</v>
      </c>
      <c r="CB14" s="200" t="s">
        <v>1</v>
      </c>
      <c r="CC14" s="200" t="s">
        <v>1</v>
      </c>
      <c r="CD14" s="844"/>
      <c r="CE14" s="844"/>
      <c r="CF14" s="345" t="s">
        <v>23</v>
      </c>
      <c r="CG14" s="345" t="s">
        <v>24</v>
      </c>
      <c r="CH14" s="345" t="s">
        <v>25</v>
      </c>
      <c r="CI14" s="200" t="s">
        <v>1</v>
      </c>
      <c r="CJ14" s="200" t="s">
        <v>1</v>
      </c>
      <c r="CK14" s="200" t="s">
        <v>1</v>
      </c>
      <c r="CL14" s="200" t="s">
        <v>1</v>
      </c>
      <c r="CM14" s="182" t="s">
        <v>1</v>
      </c>
      <c r="CN14" s="182" t="s">
        <v>1</v>
      </c>
      <c r="CO14" s="182" t="s">
        <v>1</v>
      </c>
      <c r="CP14" s="182" t="s">
        <v>1</v>
      </c>
      <c r="CQ14" s="182" t="s">
        <v>1</v>
      </c>
      <c r="CR14" s="229" t="s">
        <v>1</v>
      </c>
      <c r="CS14" s="182" t="s">
        <v>1</v>
      </c>
      <c r="CW14" s="55" t="s">
        <v>183</v>
      </c>
      <c r="CX14" s="441"/>
      <c r="CY14" s="441"/>
    </row>
    <row r="15" spans="2:119" ht="23.25">
      <c r="B15" s="35" t="s">
        <v>184</v>
      </c>
      <c r="C15" s="174"/>
      <c r="D15" s="43">
        <v>7.4999999999999997E-2</v>
      </c>
      <c r="Z15" s="260" t="s">
        <v>185</v>
      </c>
      <c r="AA15" s="260"/>
      <c r="AB15" s="281">
        <f>D16*D17</f>
        <v>20000000</v>
      </c>
      <c r="AC15" s="198" t="s">
        <v>186</v>
      </c>
      <c r="AD15" s="199"/>
      <c r="AG15" s="58"/>
      <c r="AH15" s="103"/>
      <c r="AI15" s="203"/>
      <c r="AJ15" s="405"/>
      <c r="AK15" s="68"/>
      <c r="AL15" s="68"/>
      <c r="AM15" s="85"/>
      <c r="AN15" s="69"/>
      <c r="AO15" s="70"/>
      <c r="AP15" s="71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388"/>
      <c r="BB15" s="73"/>
      <c r="BC15" s="73"/>
      <c r="BD15" s="295"/>
      <c r="BE15" s="319" t="s">
        <v>187</v>
      </c>
      <c r="BF15" s="314"/>
      <c r="BG15" s="320">
        <f>SUM(BG12:BG14)</f>
        <v>25248631.239999998</v>
      </c>
      <c r="BH15" s="320"/>
      <c r="BI15" s="320">
        <f t="shared" ref="BI15:BR15" si="13">IF(BI8&gt;_xlfn.SINGLE(Analysis_Period),"",SUM(BI12:BI14))</f>
        <v>0</v>
      </c>
      <c r="BJ15" s="320">
        <f t="shared" si="13"/>
        <v>0</v>
      </c>
      <c r="BK15" s="320">
        <f t="shared" si="13"/>
        <v>0</v>
      </c>
      <c r="BL15" s="320">
        <f t="shared" si="13"/>
        <v>0</v>
      </c>
      <c r="BM15" s="320">
        <f t="shared" si="13"/>
        <v>0</v>
      </c>
      <c r="BN15" s="320">
        <f t="shared" si="13"/>
        <v>0</v>
      </c>
      <c r="BO15" s="320">
        <f t="shared" si="13"/>
        <v>0</v>
      </c>
      <c r="BP15" s="320">
        <f t="shared" si="13"/>
        <v>0</v>
      </c>
      <c r="BQ15" s="320">
        <f t="shared" si="13"/>
        <v>0</v>
      </c>
      <c r="BR15" s="320" t="str">
        <f t="shared" si="13"/>
        <v/>
      </c>
      <c r="BS15" s="317" t="str">
        <f t="shared" ref="BS15:BV15" si="14">IF(BS8&gt;_xlfn.SINGLE(Analysis_Period),"",SUM(BS12:BS14))</f>
        <v/>
      </c>
      <c r="BT15" s="317" t="str">
        <f t="shared" si="14"/>
        <v/>
      </c>
      <c r="BU15" s="317" t="str">
        <f t="shared" si="14"/>
        <v/>
      </c>
      <c r="BV15" s="317" t="str">
        <f t="shared" si="14"/>
        <v/>
      </c>
      <c r="BW15" s="165"/>
      <c r="BZ15" s="367" t="s">
        <v>26</v>
      </c>
      <c r="CA15" s="354" t="s">
        <v>27</v>
      </c>
      <c r="CB15" s="355" t="s">
        <v>4</v>
      </c>
      <c r="CC15" s="197" t="str">
        <f t="shared" ref="CC15:CC16" si="15">CB16</f>
        <v>&gt; 8.0% IRR to LP</v>
      </c>
      <c r="CD15" s="356" t="s">
        <v>29</v>
      </c>
      <c r="CE15" s="356"/>
      <c r="CF15" s="175">
        <f>CA8</f>
        <v>0.05</v>
      </c>
      <c r="CG15" s="357">
        <f>1-CF15</f>
        <v>0.95</v>
      </c>
      <c r="CH15" s="846" t="s">
        <v>30</v>
      </c>
      <c r="CI15" s="846"/>
      <c r="CJ15" s="846"/>
      <c r="CK15" s="846"/>
      <c r="CL15" s="846"/>
      <c r="CM15" s="182" t="s">
        <v>1</v>
      </c>
      <c r="CN15" s="182" t="s">
        <v>1</v>
      </c>
      <c r="CO15" s="182" t="s">
        <v>1</v>
      </c>
      <c r="CP15" s="182" t="s">
        <v>1</v>
      </c>
      <c r="CQ15" s="182" t="s">
        <v>1</v>
      </c>
      <c r="CR15" s="229" t="s">
        <v>1</v>
      </c>
      <c r="CS15" s="182" t="s">
        <v>1</v>
      </c>
      <c r="CW15" s="55" t="s">
        <v>188</v>
      </c>
    </row>
    <row r="16" spans="2:119" ht="15.75">
      <c r="B16" s="35" t="s">
        <v>189</v>
      </c>
      <c r="C16" s="174"/>
      <c r="D16" s="44">
        <v>400</v>
      </c>
      <c r="Z16" s="261"/>
      <c r="AA16" s="261"/>
      <c r="AB16" s="282"/>
      <c r="AC16" s="198"/>
      <c r="AD16" s="199"/>
      <c r="AG16" s="205"/>
      <c r="AH16" s="67" t="s">
        <v>190</v>
      </c>
      <c r="AI16" s="206"/>
      <c r="AJ16" s="404" t="s">
        <v>191</v>
      </c>
      <c r="AK16" s="307">
        <f>C44</f>
        <v>-24131.084275599998</v>
      </c>
      <c r="AL16" s="307">
        <f>D44</f>
        <v>-24561.7</v>
      </c>
      <c r="AM16" s="307">
        <v>0</v>
      </c>
      <c r="AN16" s="600">
        <f>+AP16/$D$17</f>
        <v>0</v>
      </c>
      <c r="AO16" s="70"/>
      <c r="AP16" s="71">
        <f>+AM16</f>
        <v>0</v>
      </c>
      <c r="AQ16" s="73" t="str">
        <f>IF(AP$8="","",AP16*(1+AQ$51))</f>
        <v/>
      </c>
      <c r="AR16" s="73" t="str">
        <f t="shared" ref="AQ16:AZ16" si="16">IF(AQ$8="","",AQ16*(1+AR$51))</f>
        <v/>
      </c>
      <c r="AS16" s="73" t="str">
        <f t="shared" si="16"/>
        <v/>
      </c>
      <c r="AT16" s="73" t="str">
        <f t="shared" si="16"/>
        <v/>
      </c>
      <c r="AU16" s="73" t="str">
        <f t="shared" si="16"/>
        <v/>
      </c>
      <c r="AV16" s="73" t="str">
        <f t="shared" si="16"/>
        <v/>
      </c>
      <c r="AW16" s="73" t="str">
        <f t="shared" si="16"/>
        <v/>
      </c>
      <c r="AX16" s="73" t="str">
        <f t="shared" si="16"/>
        <v/>
      </c>
      <c r="AY16" s="73" t="str">
        <f t="shared" si="16"/>
        <v/>
      </c>
      <c r="AZ16" s="73" t="str">
        <f t="shared" si="16"/>
        <v/>
      </c>
      <c r="BA16" s="387" t="s">
        <v>191</v>
      </c>
      <c r="BB16" s="73"/>
      <c r="BC16" s="73"/>
      <c r="BD16" s="295"/>
      <c r="BE16" s="319"/>
      <c r="BF16" s="314"/>
      <c r="BG16" s="317"/>
      <c r="BH16" s="317"/>
      <c r="BI16" s="317"/>
      <c r="BJ16" s="317"/>
      <c r="BK16" s="317"/>
      <c r="BL16" s="317"/>
      <c r="BM16" s="317"/>
      <c r="BN16" s="317"/>
      <c r="BO16" s="317"/>
      <c r="BP16" s="317"/>
      <c r="BQ16" s="317"/>
      <c r="BR16" s="317"/>
      <c r="BS16" s="317"/>
      <c r="BT16" s="317"/>
      <c r="BU16" s="317"/>
      <c r="BV16" s="317"/>
      <c r="BW16" s="165"/>
      <c r="BZ16" s="367" t="s">
        <v>31</v>
      </c>
      <c r="CA16" s="332" t="s">
        <v>32</v>
      </c>
      <c r="CB16" s="176" t="s">
        <v>33</v>
      </c>
      <c r="CC16" s="197" t="str">
        <f t="shared" si="15"/>
        <v>&gt; 12.0% IRR to LP</v>
      </c>
      <c r="CD16" s="175">
        <v>0.2</v>
      </c>
      <c r="CE16" s="182" t="s">
        <v>1</v>
      </c>
      <c r="CF16" s="358">
        <f>1-($CA$9*(1-CD16))</f>
        <v>0.24</v>
      </c>
      <c r="CG16" s="357">
        <f>1-CF16</f>
        <v>0.76</v>
      </c>
      <c r="CH16" s="846" t="s">
        <v>35</v>
      </c>
      <c r="CI16" s="846"/>
      <c r="CJ16" s="846"/>
      <c r="CK16" s="846"/>
      <c r="CL16" s="846"/>
      <c r="CM16" s="182" t="s">
        <v>1</v>
      </c>
      <c r="CN16" s="182" t="s">
        <v>1</v>
      </c>
      <c r="CO16" s="182" t="s">
        <v>1</v>
      </c>
      <c r="CP16" s="182" t="s">
        <v>1</v>
      </c>
      <c r="CQ16" s="182" t="s">
        <v>1</v>
      </c>
      <c r="CR16" s="229" t="s">
        <v>1</v>
      </c>
      <c r="CS16" s="182" t="s">
        <v>1</v>
      </c>
      <c r="CW16" s="55" t="s">
        <v>192</v>
      </c>
    </row>
    <row r="17" spans="2:104">
      <c r="B17" s="255" t="str">
        <f>"Net Rentable Area ("&amp;D9 &amp;")"</f>
        <v>Net Rentable Area (SF)</v>
      </c>
      <c r="C17" s="183"/>
      <c r="D17" s="45">
        <v>50000</v>
      </c>
      <c r="Z17" s="260" t="s">
        <v>193</v>
      </c>
      <c r="AA17" s="260"/>
      <c r="AB17" s="283">
        <f>BG48</f>
        <v>2.8002774795947705E-2</v>
      </c>
      <c r="AC17" s="198" t="s">
        <v>142</v>
      </c>
      <c r="AD17" s="199"/>
      <c r="AG17" s="207"/>
      <c r="AH17" s="67" t="s">
        <v>194</v>
      </c>
      <c r="AI17" s="601"/>
      <c r="AJ17" s="405" t="s">
        <v>195</v>
      </c>
      <c r="AK17" s="113">
        <f>-AK14*C34</f>
        <v>-218080.128</v>
      </c>
      <c r="AL17" s="113">
        <f>-AL14*$C$34</f>
        <v>-219120.228</v>
      </c>
      <c r="AM17" s="113">
        <f>-AM14*$C$34</f>
        <v>-221254.02799999999</v>
      </c>
      <c r="AN17" s="600">
        <f>+AP17/$D$17</f>
        <v>-4.4250805599999996</v>
      </c>
      <c r="AO17" s="70"/>
      <c r="AP17" s="71">
        <f>+AM17</f>
        <v>-221254.02799999999</v>
      </c>
      <c r="AQ17" s="72">
        <f t="shared" ref="AQ17:AZ17" si="17">-AQ14*G67</f>
        <v>-221773.23800000001</v>
      </c>
      <c r="AR17" s="72">
        <f t="shared" si="17"/>
        <v>-222383.65970000002</v>
      </c>
      <c r="AS17" s="72">
        <f t="shared" si="17"/>
        <v>-223089.73882099998</v>
      </c>
      <c r="AT17" s="72">
        <f t="shared" si="17"/>
        <v>-223650.99786853997</v>
      </c>
      <c r="AU17" s="72">
        <f t="shared" si="17"/>
        <v>-245996.99199370603</v>
      </c>
      <c r="AV17" s="72">
        <f t="shared" si="17"/>
        <v>-246552.67528798012</v>
      </c>
      <c r="AW17" s="72">
        <f t="shared" si="17"/>
        <v>-247119.47224813976</v>
      </c>
      <c r="AX17" s="72">
        <f t="shared" si="17"/>
        <v>-247760.35573291281</v>
      </c>
      <c r="AY17" s="72">
        <f t="shared" si="17"/>
        <v>-248509.17522864114</v>
      </c>
      <c r="AZ17" s="72">
        <f t="shared" si="17"/>
        <v>-272996.38458209997</v>
      </c>
      <c r="BA17" s="388" t="s">
        <v>195</v>
      </c>
      <c r="BB17" s="73"/>
      <c r="BC17" s="73"/>
      <c r="BD17" s="295"/>
      <c r="BE17" s="319" t="s">
        <v>196</v>
      </c>
      <c r="BF17" s="314"/>
      <c r="BG17" s="317">
        <f>D21*D30</f>
        <v>15930500.300000001</v>
      </c>
      <c r="BH17" s="317">
        <f t="shared" ref="BH17:BV17" si="18">IF(BH8&gt;_xlfn.SINGLE(Analysis_Period),"",(BH8=0)*_xlfn.SINGLE(Debt))</f>
        <v>0</v>
      </c>
      <c r="BI17" s="317">
        <f t="shared" si="18"/>
        <v>0</v>
      </c>
      <c r="BJ17" s="317">
        <f>IF(BJ8&gt;_xlfn.SINGLE(Analysis_Period),"",(BJ8=0)*_xlfn.SINGLE(Debt))</f>
        <v>0</v>
      </c>
      <c r="BK17" s="317">
        <f t="shared" si="18"/>
        <v>0</v>
      </c>
      <c r="BL17" s="317">
        <f t="shared" si="18"/>
        <v>0</v>
      </c>
      <c r="BM17" s="317">
        <f t="shared" si="18"/>
        <v>0</v>
      </c>
      <c r="BN17" s="317">
        <f t="shared" si="18"/>
        <v>0</v>
      </c>
      <c r="BO17" s="317">
        <f t="shared" si="18"/>
        <v>0</v>
      </c>
      <c r="BP17" s="317">
        <f t="shared" si="18"/>
        <v>0</v>
      </c>
      <c r="BQ17" s="317">
        <f t="shared" si="18"/>
        <v>0</v>
      </c>
      <c r="BR17" s="317" t="str">
        <f t="shared" si="18"/>
        <v/>
      </c>
      <c r="BS17" s="317" t="str">
        <f t="shared" si="18"/>
        <v/>
      </c>
      <c r="BT17" s="317" t="str">
        <f t="shared" si="18"/>
        <v/>
      </c>
      <c r="BU17" s="317" t="str">
        <f t="shared" si="18"/>
        <v/>
      </c>
      <c r="BV17" s="317" t="str">
        <f t="shared" si="18"/>
        <v/>
      </c>
      <c r="BW17" s="165"/>
      <c r="BZ17" s="367" t="s">
        <v>36</v>
      </c>
      <c r="CA17" s="332" t="s">
        <v>37</v>
      </c>
      <c r="CB17" s="176" t="s">
        <v>38</v>
      </c>
      <c r="CC17" s="197" t="str">
        <f>CB18</f>
        <v>&gt; 15.0% IRR to LP</v>
      </c>
      <c r="CD17" s="175">
        <v>0.3</v>
      </c>
      <c r="CE17" s="182" t="s">
        <v>1</v>
      </c>
      <c r="CF17" s="358">
        <f>1-($CA$9*(1-CD17))</f>
        <v>0.33500000000000008</v>
      </c>
      <c r="CG17" s="357">
        <f>1-CF17</f>
        <v>0.66499999999999992</v>
      </c>
      <c r="CH17" s="846" t="s">
        <v>40</v>
      </c>
      <c r="CI17" s="846"/>
      <c r="CJ17" s="846"/>
      <c r="CK17" s="846"/>
      <c r="CL17" s="846"/>
      <c r="CM17" s="182" t="s">
        <v>1</v>
      </c>
      <c r="CN17" s="182" t="s">
        <v>1</v>
      </c>
      <c r="CO17" s="182" t="s">
        <v>1</v>
      </c>
      <c r="CP17" s="182" t="s">
        <v>1</v>
      </c>
      <c r="CQ17" s="182" t="s">
        <v>1</v>
      </c>
      <c r="CR17" s="229" t="s">
        <v>1</v>
      </c>
      <c r="CS17" s="182" t="s">
        <v>1</v>
      </c>
      <c r="CW17" s="55" t="s">
        <v>197</v>
      </c>
    </row>
    <row r="18" spans="2:104" ht="16.5">
      <c r="B18" s="255" t="s">
        <v>175</v>
      </c>
      <c r="C18" s="183"/>
      <c r="D18" s="45">
        <v>250000</v>
      </c>
      <c r="Z18" s="260" t="s">
        <v>199</v>
      </c>
      <c r="AA18" s="260"/>
      <c r="AB18" s="284">
        <f>BG49</f>
        <v>1.2582152904459929</v>
      </c>
      <c r="AC18" s="198" t="s">
        <v>142</v>
      </c>
      <c r="AD18" s="199"/>
      <c r="AG18" s="58"/>
      <c r="AH18" s="67" t="s">
        <v>200</v>
      </c>
      <c r="AI18" s="61"/>
      <c r="AJ18" s="406"/>
      <c r="AK18" s="86">
        <v>0</v>
      </c>
      <c r="AL18" s="86">
        <v>0</v>
      </c>
      <c r="AM18" s="86">
        <v>0</v>
      </c>
      <c r="AN18" s="600">
        <f>+AP18/$D$17</f>
        <v>0</v>
      </c>
      <c r="AO18" s="87"/>
      <c r="AP18" s="77">
        <f>+AM18</f>
        <v>0</v>
      </c>
      <c r="AQ18" s="88">
        <v>0</v>
      </c>
      <c r="AR18" s="88">
        <v>0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8">
        <v>0</v>
      </c>
      <c r="AY18" s="88">
        <v>0</v>
      </c>
      <c r="AZ18" s="88">
        <v>0</v>
      </c>
      <c r="BA18" s="389"/>
      <c r="BB18" s="88"/>
      <c r="BC18" s="88"/>
      <c r="BD18" s="298"/>
      <c r="BE18" s="321" t="s">
        <v>201</v>
      </c>
      <c r="BF18" s="314"/>
      <c r="BG18" s="318">
        <f>(BG17*D31)*-1</f>
        <v>-159305.003</v>
      </c>
      <c r="BH18" s="318"/>
      <c r="BI18" s="318">
        <f>IF(BI8&gt;_xlfn.SINGLE(Analysis_Period),"",(BI8=0)*BI17*-'[1]Property Cash Flow'!T32)</f>
        <v>0</v>
      </c>
      <c r="BJ18" s="318">
        <f>IF(BJ8&gt;_xlfn.SINGLE(Analysis_Period),"",(BJ8=0)*BJ17*-'[1]Property Cash Flow'!U32)</f>
        <v>0</v>
      </c>
      <c r="BK18" s="318">
        <f>IF(BK8&gt;_xlfn.SINGLE(Analysis_Period),"",(BK8=0)*BK17*-'[1]Property Cash Flow'!V32)</f>
        <v>0</v>
      </c>
      <c r="BL18" s="318">
        <f>IF(BL8&gt;_xlfn.SINGLE(Analysis_Period),"",(BL8=0)*BL17*-'[1]Property Cash Flow'!W32)</f>
        <v>0</v>
      </c>
      <c r="BM18" s="318">
        <f>IF(BM8&gt;_xlfn.SINGLE(Analysis_Period),"",(BM8=0)*BM17*-'[1]Property Cash Flow'!X32)</f>
        <v>0</v>
      </c>
      <c r="BN18" s="318">
        <f>IF(BN8&gt;_xlfn.SINGLE(Analysis_Period),"",(BN8=0)*BN17*-'[1]Property Cash Flow'!Y32)</f>
        <v>0</v>
      </c>
      <c r="BO18" s="318">
        <f>IF(BO8&gt;_xlfn.SINGLE(Analysis_Period),"",(BO8=0)*BO17*-'[1]Property Cash Flow'!Z32)</f>
        <v>0</v>
      </c>
      <c r="BP18" s="318">
        <f>IF(BP8&gt;_xlfn.SINGLE(Analysis_Period),"",(BP8=0)*BP17*-'[1]Property Cash Flow'!AA32)</f>
        <v>0</v>
      </c>
      <c r="BQ18" s="318">
        <f>IF(BQ8&gt;_xlfn.SINGLE(Analysis_Period),"",(BQ8=0)*BQ17*-'[1]Property Cash Flow'!AB32)</f>
        <v>0</v>
      </c>
      <c r="BR18" s="318" t="str">
        <f>IF(BR8&gt;_xlfn.SINGLE(Analysis_Period),"",(BR8=0)*BR17*-'[1]Property Cash Flow'!AC32)</f>
        <v/>
      </c>
      <c r="BS18" s="318" t="str">
        <f>IF(BS8&gt;_xlfn.SINGLE(Analysis_Period),"",(BS8=0)*BS17*-'[1]Property Cash Flow'!AD32)</f>
        <v/>
      </c>
      <c r="BT18" s="318" t="str">
        <f>IF(BT8&gt;_xlfn.SINGLE(Analysis_Period),"",(BT8=0)*BT17*-'[1]Property Cash Flow'!AE32)</f>
        <v/>
      </c>
      <c r="BU18" s="318" t="str">
        <f>IF(BU8&gt;_xlfn.SINGLE(Analysis_Period),"",(BU8=0)*BU17*-'[1]Property Cash Flow'!AF32)</f>
        <v/>
      </c>
      <c r="BV18" s="318" t="str">
        <f>IF(BV8&gt;_xlfn.SINGLE(Analysis_Period),"",(BV8=0)*BV17*-'[1]Property Cash Flow'!AG32)</f>
        <v/>
      </c>
      <c r="BW18" s="165"/>
      <c r="BZ18" s="370" t="s">
        <v>41</v>
      </c>
      <c r="CA18" s="371" t="s">
        <v>42</v>
      </c>
      <c r="CB18" s="372" t="s">
        <v>43</v>
      </c>
      <c r="CC18" s="373" t="s">
        <v>1</v>
      </c>
      <c r="CD18" s="374">
        <v>0.4</v>
      </c>
      <c r="CE18" s="375" t="s">
        <v>1</v>
      </c>
      <c r="CF18" s="376">
        <f>1-($CA$9*(1-CD18))</f>
        <v>0.43000000000000005</v>
      </c>
      <c r="CG18" s="377">
        <f>1-CF18</f>
        <v>0.56999999999999995</v>
      </c>
      <c r="CH18" s="842" t="s">
        <v>44</v>
      </c>
      <c r="CI18" s="842"/>
      <c r="CJ18" s="842"/>
      <c r="CK18" s="842"/>
      <c r="CL18" s="842"/>
      <c r="CM18" s="375" t="s">
        <v>1</v>
      </c>
      <c r="CN18" s="375" t="s">
        <v>1</v>
      </c>
      <c r="CO18" s="375" t="s">
        <v>1</v>
      </c>
      <c r="CP18" s="375" t="s">
        <v>1</v>
      </c>
      <c r="CQ18" s="375" t="s">
        <v>1</v>
      </c>
      <c r="CR18" s="378" t="s">
        <v>1</v>
      </c>
      <c r="CS18" s="182" t="s">
        <v>1</v>
      </c>
      <c r="CW18" s="55" t="s">
        <v>202</v>
      </c>
    </row>
    <row r="19" spans="2:104" ht="34.9">
      <c r="B19" s="255" t="s">
        <v>203</v>
      </c>
      <c r="C19" s="183"/>
      <c r="D19" s="43">
        <v>0.02</v>
      </c>
      <c r="Z19" s="260" t="s">
        <v>205</v>
      </c>
      <c r="AA19" s="260"/>
      <c r="AB19" s="283" cm="1">
        <f t="array" ref="AB19">INDEX(BH47:BR47,1,D10)</f>
        <v>4.6284504302556845E-2</v>
      </c>
      <c r="AC19" s="198" t="s">
        <v>206</v>
      </c>
      <c r="AD19" s="199"/>
      <c r="AG19" s="201">
        <f>_xlfn.RRI(_xlfn.SINGLE(Analysis_Period)-1,AP19,_xlfn.SINGLE(INDEX(AP19:BD19,1,_xlfn.SINGLE(Analysis_Period))))</f>
        <v>1.299124890338943E-2</v>
      </c>
      <c r="AH19" s="89" t="s">
        <v>207</v>
      </c>
      <c r="AI19" s="202"/>
      <c r="AJ19" s="405" t="s">
        <v>208</v>
      </c>
      <c r="AK19" s="91">
        <f>SUM(AK14:AK18)</f>
        <v>1938590.0677243997</v>
      </c>
      <c r="AL19" s="91">
        <f>SUM(AL14:AL18)</f>
        <v>1947520.3519999995</v>
      </c>
      <c r="AM19" s="91">
        <f>SUM(AM14:AM18)</f>
        <v>1991286.2519999999</v>
      </c>
      <c r="AN19" s="600">
        <f>+AP19/$D$17</f>
        <v>39.825725039999995</v>
      </c>
      <c r="AO19" s="90"/>
      <c r="AP19" s="83">
        <f>SUM(AP14:AP18)</f>
        <v>1991286.2519999999</v>
      </c>
      <c r="AQ19" s="83">
        <f>SUM(AQ14:AQ18)</f>
        <v>1995959.142</v>
      </c>
      <c r="AR19" s="83">
        <f t="shared" ref="AR19:AZ19" si="19">SUM(AR14:AR18)</f>
        <v>2001452.9373000001</v>
      </c>
      <c r="AS19" s="83">
        <f>SUM(AS14:AS18)</f>
        <v>2007807.6493889997</v>
      </c>
      <c r="AT19" s="83">
        <f t="shared" si="19"/>
        <v>2012858.9808168595</v>
      </c>
      <c r="AU19" s="83">
        <f t="shared" si="19"/>
        <v>2213972.927943354</v>
      </c>
      <c r="AV19" s="83">
        <f t="shared" si="19"/>
        <v>2218974.0775918211</v>
      </c>
      <c r="AW19" s="83">
        <f t="shared" si="19"/>
        <v>2224075.2502332577</v>
      </c>
      <c r="AX19" s="83">
        <f t="shared" si="19"/>
        <v>2229843.2015962154</v>
      </c>
      <c r="AY19" s="83">
        <f t="shared" si="19"/>
        <v>2236582.5770577705</v>
      </c>
      <c r="AZ19" s="83">
        <f t="shared" si="19"/>
        <v>2456967.4612388997</v>
      </c>
      <c r="BA19" s="388" t="s">
        <v>208</v>
      </c>
      <c r="BB19" s="91"/>
      <c r="BC19" s="91"/>
      <c r="BD19" s="299"/>
      <c r="BE19" s="319" t="s">
        <v>209</v>
      </c>
      <c r="BF19" s="314"/>
      <c r="BG19" s="317">
        <f>BG17+BG18</f>
        <v>15771195.297</v>
      </c>
      <c r="BH19" s="320">
        <f>IF(BH8&gt;_xlfn.SINGLE(Analysis_Period),"",SUM(BH17:BH18))</f>
        <v>0</v>
      </c>
      <c r="BI19" s="317">
        <f t="shared" ref="BI19:BV19" si="20">IF(BI8&gt;_xlfn.SINGLE(Analysis_Period),"",SUM(BI17:BI18))</f>
        <v>0</v>
      </c>
      <c r="BJ19" s="317">
        <f t="shared" si="20"/>
        <v>0</v>
      </c>
      <c r="BK19" s="317">
        <f t="shared" si="20"/>
        <v>0</v>
      </c>
      <c r="BL19" s="317">
        <f t="shared" si="20"/>
        <v>0</v>
      </c>
      <c r="BM19" s="317">
        <f t="shared" si="20"/>
        <v>0</v>
      </c>
      <c r="BN19" s="317">
        <f t="shared" si="20"/>
        <v>0</v>
      </c>
      <c r="BO19" s="317">
        <f t="shared" si="20"/>
        <v>0</v>
      </c>
      <c r="BP19" s="317">
        <f t="shared" si="20"/>
        <v>0</v>
      </c>
      <c r="BQ19" s="320">
        <f t="shared" si="20"/>
        <v>0</v>
      </c>
      <c r="BR19" s="320" t="str">
        <f t="shared" si="20"/>
        <v/>
      </c>
      <c r="BS19" s="317" t="str">
        <f t="shared" si="20"/>
        <v/>
      </c>
      <c r="BT19" s="317" t="str">
        <f t="shared" si="20"/>
        <v/>
      </c>
      <c r="BU19" s="317" t="str">
        <f t="shared" si="20"/>
        <v/>
      </c>
      <c r="BV19" s="317" t="str">
        <f t="shared" si="20"/>
        <v/>
      </c>
      <c r="BW19" s="165"/>
      <c r="BZ19" s="182" t="s">
        <v>1</v>
      </c>
      <c r="CA19" s="182" t="s">
        <v>1</v>
      </c>
      <c r="CB19" s="193" t="s">
        <v>1</v>
      </c>
      <c r="CC19" s="197" t="s">
        <v>1</v>
      </c>
      <c r="CD19" s="193" t="s">
        <v>1</v>
      </c>
      <c r="CE19" s="197" t="s">
        <v>1</v>
      </c>
      <c r="CF19" s="182" t="s">
        <v>1</v>
      </c>
      <c r="CG19" s="182" t="s">
        <v>1</v>
      </c>
      <c r="CH19" s="182" t="s">
        <v>1</v>
      </c>
      <c r="CI19" s="182" t="s">
        <v>1</v>
      </c>
      <c r="CJ19" s="182" t="s">
        <v>1</v>
      </c>
      <c r="CK19" s="182" t="s">
        <v>1</v>
      </c>
      <c r="CL19" s="182" t="s">
        <v>1</v>
      </c>
      <c r="CM19" s="182" t="s">
        <v>1</v>
      </c>
      <c r="CN19" s="182" t="s">
        <v>1</v>
      </c>
      <c r="CO19" s="182" t="s">
        <v>1</v>
      </c>
      <c r="CP19" s="182" t="s">
        <v>1</v>
      </c>
      <c r="CQ19" s="182" t="s">
        <v>1</v>
      </c>
      <c r="CR19" s="182" t="s">
        <v>1</v>
      </c>
      <c r="CS19" s="182" t="s">
        <v>1</v>
      </c>
    </row>
    <row r="20" spans="2:104" ht="15.75">
      <c r="B20" s="255" t="s">
        <v>210</v>
      </c>
      <c r="C20" s="183"/>
      <c r="D20" s="43">
        <v>0.02</v>
      </c>
      <c r="Z20" s="260"/>
      <c r="AA20" s="260"/>
      <c r="AB20" s="285"/>
      <c r="AC20" s="198"/>
      <c r="AD20" s="199"/>
      <c r="AG20" s="58"/>
      <c r="AH20" s="103"/>
      <c r="AI20" s="61"/>
      <c r="AJ20" s="405"/>
      <c r="AK20" s="85"/>
      <c r="AL20" s="85"/>
      <c r="AM20" s="85"/>
      <c r="AN20" s="600"/>
      <c r="AO20" s="70"/>
      <c r="AP20" s="71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388"/>
      <c r="BB20" s="73"/>
      <c r="BC20" s="73"/>
      <c r="BD20" s="295"/>
      <c r="BE20" s="319"/>
      <c r="BF20" s="314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165"/>
      <c r="BX20" s="436" t="s">
        <v>211</v>
      </c>
      <c r="BZ20" s="186" t="s">
        <v>45</v>
      </c>
      <c r="CA20" s="200" t="s">
        <v>1</v>
      </c>
      <c r="CB20" s="209" t="s">
        <v>1</v>
      </c>
      <c r="CC20" s="210" t="s">
        <v>1</v>
      </c>
      <c r="CD20" s="328">
        <f>BG8</f>
        <v>0</v>
      </c>
      <c r="CE20" s="328">
        <f t="shared" ref="CE20:CN20" si="21">BH8</f>
        <v>1</v>
      </c>
      <c r="CF20" s="328">
        <f t="shared" si="21"/>
        <v>2</v>
      </c>
      <c r="CG20" s="328">
        <f t="shared" si="21"/>
        <v>3</v>
      </c>
      <c r="CH20" s="328">
        <f t="shared" si="21"/>
        <v>4</v>
      </c>
      <c r="CI20" s="328">
        <f t="shared" si="21"/>
        <v>5</v>
      </c>
      <c r="CJ20" s="328">
        <f t="shared" si="21"/>
        <v>6</v>
      </c>
      <c r="CK20" s="328">
        <f t="shared" si="21"/>
        <v>7</v>
      </c>
      <c r="CL20" s="328">
        <f t="shared" si="21"/>
        <v>8</v>
      </c>
      <c r="CM20" s="328">
        <f t="shared" si="21"/>
        <v>9</v>
      </c>
      <c r="CN20" s="328">
        <f t="shared" si="21"/>
        <v>10</v>
      </c>
      <c r="CO20" s="200" t="s">
        <v>1</v>
      </c>
      <c r="CP20" s="200" t="s">
        <v>1</v>
      </c>
      <c r="CQ20" s="200" t="s">
        <v>1</v>
      </c>
      <c r="CR20" s="200" t="s">
        <v>1</v>
      </c>
      <c r="CS20" s="200" t="s">
        <v>1</v>
      </c>
      <c r="CW20" s="55" t="s">
        <v>212</v>
      </c>
      <c r="CX20" s="446">
        <f t="shared" ref="CX20:CY20" si="22">SUM(CX4:CX7)</f>
        <v>1371050.2799999998</v>
      </c>
      <c r="CY20" s="446">
        <f t="shared" si="22"/>
        <v>1371050.2799999998</v>
      </c>
      <c r="CZ20" s="446">
        <f>SUM(CZ4:CZ7)</f>
        <v>1371050.2799999998</v>
      </c>
    </row>
    <row r="21" spans="2:104">
      <c r="B21" s="255" t="s">
        <v>213</v>
      </c>
      <c r="C21" s="456"/>
      <c r="D21" s="508">
        <v>24508462</v>
      </c>
      <c r="Z21" s="260" t="s">
        <v>81</v>
      </c>
      <c r="AA21" s="260"/>
      <c r="AB21" s="283">
        <f>BG59</f>
        <v>1.5596057063290925E-2</v>
      </c>
      <c r="AC21" s="198" t="s">
        <v>142</v>
      </c>
      <c r="AD21" s="199"/>
      <c r="AG21" s="211"/>
      <c r="AH21" s="67" t="s">
        <v>214</v>
      </c>
      <c r="AI21" s="61"/>
      <c r="AJ21" s="405" t="s">
        <v>215</v>
      </c>
      <c r="AK21" s="307">
        <f t="shared" ref="AK21:AM25" si="23">C48</f>
        <v>14478.65056536</v>
      </c>
      <c r="AL21" s="307">
        <f t="shared" si="23"/>
        <v>14737.02</v>
      </c>
      <c r="AM21" s="307">
        <f t="shared" si="23"/>
        <v>15000</v>
      </c>
      <c r="AN21" s="600">
        <f t="shared" ref="AN21:AN27" si="24">+AP21/$D$17</f>
        <v>0.3</v>
      </c>
      <c r="AO21" s="70"/>
      <c r="AP21" s="71">
        <f>+AM21</f>
        <v>15000</v>
      </c>
      <c r="AQ21" s="73">
        <f t="shared" ref="AQ21:AZ25" si="25">AP21*(1+G$69)</f>
        <v>15300</v>
      </c>
      <c r="AR21" s="73">
        <f t="shared" si="25"/>
        <v>15606</v>
      </c>
      <c r="AS21" s="73">
        <f t="shared" si="25"/>
        <v>15918.12</v>
      </c>
      <c r="AT21" s="73">
        <f t="shared" si="25"/>
        <v>16236.482400000001</v>
      </c>
      <c r="AU21" s="73">
        <f t="shared" si="25"/>
        <v>16561.212048000001</v>
      </c>
      <c r="AV21" s="73">
        <f t="shared" si="25"/>
        <v>16892.436288960002</v>
      </c>
      <c r="AW21" s="73">
        <f t="shared" si="25"/>
        <v>17230.285014739202</v>
      </c>
      <c r="AX21" s="73">
        <f t="shared" si="25"/>
        <v>17574.890715033987</v>
      </c>
      <c r="AY21" s="73">
        <f t="shared" si="25"/>
        <v>17926.388529334668</v>
      </c>
      <c r="AZ21" s="73">
        <f t="shared" si="25"/>
        <v>18284.916299921362</v>
      </c>
      <c r="BA21" s="388" t="s">
        <v>215</v>
      </c>
      <c r="BB21" s="73"/>
      <c r="BC21" s="73"/>
      <c r="BD21" s="295"/>
      <c r="BE21" s="313" t="s">
        <v>216</v>
      </c>
      <c r="BF21" s="314"/>
      <c r="BG21" s="317"/>
      <c r="BH21" s="317"/>
      <c r="BI21" s="317"/>
      <c r="BJ21" s="317"/>
      <c r="BK21" s="317"/>
      <c r="BL21" s="317"/>
      <c r="BM21" s="317"/>
      <c r="BN21" s="317"/>
      <c r="BO21" s="317"/>
      <c r="BP21" s="317"/>
      <c r="BQ21" s="317"/>
      <c r="BR21" s="317"/>
      <c r="BS21" s="317"/>
      <c r="BT21" s="317"/>
      <c r="BU21" s="317"/>
      <c r="BV21" s="317"/>
      <c r="BW21" s="165"/>
      <c r="BZ21" s="425" t="s">
        <v>57</v>
      </c>
      <c r="CA21" s="182" t="s">
        <v>1</v>
      </c>
      <c r="CB21" s="212"/>
      <c r="CC21" s="197" t="s">
        <v>1</v>
      </c>
      <c r="CD21" s="213"/>
      <c r="CE21" s="214"/>
      <c r="CF21" s="215"/>
      <c r="CG21" s="215"/>
      <c r="CH21" s="216"/>
      <c r="CI21" s="216"/>
      <c r="CJ21" s="216"/>
      <c r="CK21" s="216"/>
      <c r="CL21" s="216"/>
      <c r="CM21" s="216"/>
      <c r="CN21" s="216"/>
      <c r="CO21" s="182" t="s">
        <v>1</v>
      </c>
      <c r="CP21" s="182" t="s">
        <v>1</v>
      </c>
      <c r="CQ21" s="182" t="s">
        <v>1</v>
      </c>
      <c r="CR21" s="182" t="s">
        <v>1</v>
      </c>
      <c r="CS21" s="182" t="s">
        <v>1</v>
      </c>
    </row>
    <row r="22" spans="2:104">
      <c r="Z22" s="260" t="s">
        <v>217</v>
      </c>
      <c r="AA22" s="260"/>
      <c r="AB22" s="284">
        <f>BG53</f>
        <v>0</v>
      </c>
      <c r="AC22" s="198" t="s">
        <v>142</v>
      </c>
      <c r="AD22" s="199"/>
      <c r="AG22" s="205"/>
      <c r="AH22" s="67" t="s">
        <v>218</v>
      </c>
      <c r="AI22" s="61"/>
      <c r="AJ22" s="404" t="s">
        <v>219</v>
      </c>
      <c r="AK22" s="307">
        <f t="shared" si="23"/>
        <v>62740.81911656</v>
      </c>
      <c r="AL22" s="307">
        <f t="shared" si="23"/>
        <v>63860.42</v>
      </c>
      <c r="AM22" s="307">
        <f t="shared" si="23"/>
        <v>65000</v>
      </c>
      <c r="AN22" s="600">
        <f t="shared" si="24"/>
        <v>1.3</v>
      </c>
      <c r="AO22" s="70"/>
      <c r="AP22" s="71">
        <f t="shared" ref="AP22:AP29" si="26">+AM22</f>
        <v>65000</v>
      </c>
      <c r="AQ22" s="73">
        <f t="shared" si="25"/>
        <v>66300</v>
      </c>
      <c r="AR22" s="73">
        <f t="shared" si="25"/>
        <v>67626</v>
      </c>
      <c r="AS22" s="73">
        <f t="shared" si="25"/>
        <v>68978.52</v>
      </c>
      <c r="AT22" s="73">
        <f t="shared" si="25"/>
        <v>70358.090400000001</v>
      </c>
      <c r="AU22" s="73">
        <f t="shared" si="25"/>
        <v>71765.252208000005</v>
      </c>
      <c r="AV22" s="73">
        <f t="shared" si="25"/>
        <v>73200.557252160012</v>
      </c>
      <c r="AW22" s="73">
        <f t="shared" si="25"/>
        <v>74664.568397203213</v>
      </c>
      <c r="AX22" s="73">
        <f t="shared" si="25"/>
        <v>76157.859765147281</v>
      </c>
      <c r="AY22" s="73">
        <f t="shared" si="25"/>
        <v>77681.01696045023</v>
      </c>
      <c r="AZ22" s="73">
        <f t="shared" si="25"/>
        <v>79234.63729965924</v>
      </c>
      <c r="BA22" s="387" t="s">
        <v>219</v>
      </c>
      <c r="BB22" s="73"/>
      <c r="BC22" s="73"/>
      <c r="BD22" s="295"/>
      <c r="BE22" s="150" t="s">
        <v>207</v>
      </c>
      <c r="BF22" s="322"/>
      <c r="BG22" s="317"/>
      <c r="BH22" s="317">
        <f t="shared" ref="BH22:BR22" si="27">AP19</f>
        <v>1991286.2519999999</v>
      </c>
      <c r="BI22" s="317">
        <f t="shared" si="27"/>
        <v>1995959.142</v>
      </c>
      <c r="BJ22" s="317">
        <f t="shared" si="27"/>
        <v>2001452.9373000001</v>
      </c>
      <c r="BK22" s="317">
        <f t="shared" si="27"/>
        <v>2007807.6493889997</v>
      </c>
      <c r="BL22" s="317">
        <f t="shared" si="27"/>
        <v>2012858.9808168595</v>
      </c>
      <c r="BM22" s="317">
        <f t="shared" si="27"/>
        <v>2213972.927943354</v>
      </c>
      <c r="BN22" s="317">
        <f t="shared" si="27"/>
        <v>2218974.0775918211</v>
      </c>
      <c r="BO22" s="317">
        <f t="shared" si="27"/>
        <v>2224075.2502332577</v>
      </c>
      <c r="BP22" s="317">
        <f t="shared" si="27"/>
        <v>2229843.2015962154</v>
      </c>
      <c r="BQ22" s="317">
        <f t="shared" si="27"/>
        <v>2236582.5770577705</v>
      </c>
      <c r="BR22" s="317">
        <f t="shared" si="27"/>
        <v>2456967.4612388997</v>
      </c>
      <c r="BS22" s="317">
        <f>'[1]Property Cash Flow'!AU18</f>
        <v>0</v>
      </c>
      <c r="BT22" s="317">
        <f>'[1]Property Cash Flow'!AV18</f>
        <v>0</v>
      </c>
      <c r="BU22" s="317">
        <f>'[1]Property Cash Flow'!AW18</f>
        <v>0</v>
      </c>
      <c r="BV22" s="317">
        <f>'[1]Property Cash Flow'!AX18</f>
        <v>0</v>
      </c>
      <c r="BW22" s="165"/>
      <c r="BZ22" s="426" t="s">
        <v>58</v>
      </c>
      <c r="CA22" s="182"/>
      <c r="CB22" s="217" t="e">
        <f>SUM(CD22:CN22)</f>
        <v>#VALUE!</v>
      </c>
      <c r="CC22" s="197"/>
      <c r="CD22" s="217" t="e">
        <f>(CD20&lt;&gt;"") * (CD56 + CD74 + CD89 + CD101)</f>
        <v>#VALUE!</v>
      </c>
      <c r="CE22" s="217" t="e">
        <f t="shared" ref="CE22:CN22" si="28">(CE20&lt;&gt;"") * (CE56 + CE74 + CE89 + CE101)</f>
        <v>#VALUE!</v>
      </c>
      <c r="CF22" s="217" t="e">
        <f t="shared" si="28"/>
        <v>#VALUE!</v>
      </c>
      <c r="CG22" s="217" t="e">
        <f t="shared" si="28"/>
        <v>#VALUE!</v>
      </c>
      <c r="CH22" s="217" t="e">
        <f t="shared" si="28"/>
        <v>#VALUE!</v>
      </c>
      <c r="CI22" s="217" t="e">
        <f t="shared" si="28"/>
        <v>#VALUE!</v>
      </c>
      <c r="CJ22" s="217" t="e">
        <f t="shared" si="28"/>
        <v>#VALUE!</v>
      </c>
      <c r="CK22" s="217" t="e">
        <f t="shared" si="28"/>
        <v>#VALUE!</v>
      </c>
      <c r="CL22" s="217" t="e">
        <f t="shared" si="28"/>
        <v>#VALUE!</v>
      </c>
      <c r="CM22" s="217" t="e">
        <f t="shared" si="28"/>
        <v>#VALUE!</v>
      </c>
      <c r="CN22" s="217" t="e">
        <f t="shared" si="28"/>
        <v>#VALUE!</v>
      </c>
      <c r="CO22" s="197" t="s">
        <v>61</v>
      </c>
      <c r="CP22" s="197" t="s">
        <v>61</v>
      </c>
      <c r="CQ22" s="197" t="s">
        <v>61</v>
      </c>
      <c r="CR22" s="197" t="s">
        <v>61</v>
      </c>
      <c r="CS22" s="197" t="s">
        <v>61</v>
      </c>
    </row>
    <row r="23" spans="2:104" ht="34.9">
      <c r="B23" s="109" t="s">
        <v>220</v>
      </c>
      <c r="C23" s="109"/>
      <c r="D23" s="109"/>
      <c r="Z23" s="260" t="s">
        <v>221</v>
      </c>
      <c r="AA23" s="260"/>
      <c r="AB23" s="283">
        <f>INDEX(BH58:BV58,1,D28)</f>
        <v>3.2730329074746892E-2</v>
      </c>
      <c r="AC23" s="198" t="s">
        <v>222</v>
      </c>
      <c r="AD23" s="199"/>
      <c r="AG23" s="205"/>
      <c r="AH23" s="67" t="s">
        <v>223</v>
      </c>
      <c r="AI23" s="61"/>
      <c r="AJ23" s="405" t="s">
        <v>94</v>
      </c>
      <c r="AK23" s="307">
        <f t="shared" si="23"/>
        <v>72393.252826800002</v>
      </c>
      <c r="AL23" s="307">
        <f t="shared" si="23"/>
        <v>73685.100000000006</v>
      </c>
      <c r="AM23" s="307">
        <f t="shared" si="23"/>
        <v>75000</v>
      </c>
      <c r="AN23" s="600">
        <f t="shared" si="24"/>
        <v>1.5</v>
      </c>
      <c r="AO23" s="70"/>
      <c r="AP23" s="71">
        <f t="shared" si="26"/>
        <v>75000</v>
      </c>
      <c r="AQ23" s="73">
        <f t="shared" si="25"/>
        <v>76500</v>
      </c>
      <c r="AR23" s="73">
        <f t="shared" si="25"/>
        <v>78030</v>
      </c>
      <c r="AS23" s="73">
        <f t="shared" si="25"/>
        <v>79590.600000000006</v>
      </c>
      <c r="AT23" s="73">
        <f t="shared" si="25"/>
        <v>81182.412000000011</v>
      </c>
      <c r="AU23" s="73">
        <f t="shared" si="25"/>
        <v>82806.060240000006</v>
      </c>
      <c r="AV23" s="73">
        <f t="shared" si="25"/>
        <v>84462.181444800008</v>
      </c>
      <c r="AW23" s="73">
        <f t="shared" si="25"/>
        <v>86151.425073696009</v>
      </c>
      <c r="AX23" s="73">
        <f t="shared" si="25"/>
        <v>87874.45357516993</v>
      </c>
      <c r="AY23" s="73">
        <f t="shared" si="25"/>
        <v>89631.942646673328</v>
      </c>
      <c r="AZ23" s="73">
        <f t="shared" si="25"/>
        <v>91424.581499606793</v>
      </c>
      <c r="BA23" s="388" t="s">
        <v>94</v>
      </c>
      <c r="BB23" s="73"/>
      <c r="BC23" s="73"/>
      <c r="BD23" s="295"/>
      <c r="BE23" s="110" t="s">
        <v>224</v>
      </c>
      <c r="BF23" s="323"/>
      <c r="BG23" s="318"/>
      <c r="BH23" s="318">
        <f t="shared" ref="BH23:BR23" si="29">AP30</f>
        <v>679743.58756000001</v>
      </c>
      <c r="BI23" s="318">
        <f t="shared" si="29"/>
        <v>692283.87425999995</v>
      </c>
      <c r="BJ23" s="318">
        <f t="shared" si="29"/>
        <v>705096.79011900001</v>
      </c>
      <c r="BK23" s="318">
        <f t="shared" si="29"/>
        <v>718188.49552166997</v>
      </c>
      <c r="BL23" s="318">
        <f t="shared" si="29"/>
        <v>731499.12078530586</v>
      </c>
      <c r="BM23" s="318">
        <f t="shared" si="29"/>
        <v>750954.80622631661</v>
      </c>
      <c r="BN23" s="318">
        <f t="shared" si="29"/>
        <v>764795.55308353098</v>
      </c>
      <c r="BO23" s="318">
        <f t="shared" si="29"/>
        <v>778913.11487788963</v>
      </c>
      <c r="BP23" s="318">
        <f t="shared" si="29"/>
        <v>793329.97056619637</v>
      </c>
      <c r="BQ23" s="318">
        <f t="shared" si="29"/>
        <v>808060.84532040916</v>
      </c>
      <c r="BR23" s="318">
        <f t="shared" si="29"/>
        <v>829491.65920601645</v>
      </c>
      <c r="BS23" s="318">
        <f>'[1]Property Cash Flow'!AU28</f>
        <v>0</v>
      </c>
      <c r="BT23" s="318">
        <f>'[1]Property Cash Flow'!AV28</f>
        <v>0</v>
      </c>
      <c r="BU23" s="318">
        <f>'[1]Property Cash Flow'!AW28</f>
        <v>0</v>
      </c>
      <c r="BV23" s="318">
        <f>'[1]Property Cash Flow'!AX28</f>
        <v>0</v>
      </c>
      <c r="BW23" s="165"/>
      <c r="BZ23" s="426" t="s">
        <v>62</v>
      </c>
      <c r="CA23" s="182"/>
      <c r="CB23" s="217">
        <f>SUM(CD23:CN23)</f>
        <v>189548.71885999996</v>
      </c>
      <c r="CC23" s="197"/>
      <c r="CD23" s="192">
        <f>CD52</f>
        <v>189548.71885999996</v>
      </c>
      <c r="CE23" s="192">
        <f t="shared" ref="CE23:CN23" si="30">CE52</f>
        <v>0</v>
      </c>
      <c r="CF23" s="192">
        <f t="shared" si="30"/>
        <v>0</v>
      </c>
      <c r="CG23" s="192">
        <f t="shared" si="30"/>
        <v>0</v>
      </c>
      <c r="CH23" s="192">
        <f t="shared" si="30"/>
        <v>0</v>
      </c>
      <c r="CI23" s="192">
        <f t="shared" si="30"/>
        <v>0</v>
      </c>
      <c r="CJ23" s="192">
        <f t="shared" si="30"/>
        <v>0</v>
      </c>
      <c r="CK23" s="192">
        <f t="shared" si="30"/>
        <v>0</v>
      </c>
      <c r="CL23" s="192">
        <f t="shared" si="30"/>
        <v>0</v>
      </c>
      <c r="CM23" s="192">
        <f t="shared" si="30"/>
        <v>0</v>
      </c>
      <c r="CN23" s="192">
        <f t="shared" si="30"/>
        <v>0</v>
      </c>
      <c r="CO23" s="197" t="s">
        <v>61</v>
      </c>
      <c r="CP23" s="197" t="s">
        <v>61</v>
      </c>
      <c r="CQ23" s="197" t="s">
        <v>61</v>
      </c>
      <c r="CR23" s="197" t="s">
        <v>61</v>
      </c>
      <c r="CS23" s="197" t="s">
        <v>61</v>
      </c>
    </row>
    <row r="24" spans="2:104" ht="15.75">
      <c r="B24" s="218"/>
      <c r="C24" s="218"/>
      <c r="D24" s="93"/>
      <c r="Z24" s="260"/>
      <c r="AA24" s="260"/>
      <c r="AB24" s="285"/>
      <c r="AC24" s="198"/>
      <c r="AD24" s="199"/>
      <c r="AG24" s="205"/>
      <c r="AH24" s="67" t="s">
        <v>225</v>
      </c>
      <c r="AI24" s="61"/>
      <c r="AJ24" s="405" t="s">
        <v>226</v>
      </c>
      <c r="AK24" s="307">
        <f t="shared" si="23"/>
        <v>91698.120247280007</v>
      </c>
      <c r="AL24" s="307">
        <f t="shared" si="23"/>
        <v>93334.46</v>
      </c>
      <c r="AM24" s="307">
        <f t="shared" si="23"/>
        <v>95000</v>
      </c>
      <c r="AN24" s="600">
        <f t="shared" si="24"/>
        <v>1.9</v>
      </c>
      <c r="AO24" s="70"/>
      <c r="AP24" s="71">
        <f t="shared" si="26"/>
        <v>95000</v>
      </c>
      <c r="AQ24" s="73">
        <f t="shared" si="25"/>
        <v>96900</v>
      </c>
      <c r="AR24" s="73">
        <f t="shared" si="25"/>
        <v>98838</v>
      </c>
      <c r="AS24" s="73">
        <f t="shared" si="25"/>
        <v>100814.76</v>
      </c>
      <c r="AT24" s="73">
        <f t="shared" si="25"/>
        <v>102831.0552</v>
      </c>
      <c r="AU24" s="73">
        <f t="shared" si="25"/>
        <v>104887.67630400001</v>
      </c>
      <c r="AV24" s="73">
        <f t="shared" si="25"/>
        <v>106985.42983008001</v>
      </c>
      <c r="AW24" s="73">
        <f t="shared" si="25"/>
        <v>109125.13842668162</v>
      </c>
      <c r="AX24" s="73">
        <f t="shared" si="25"/>
        <v>111307.64119521526</v>
      </c>
      <c r="AY24" s="73">
        <f t="shared" si="25"/>
        <v>113533.79401911957</v>
      </c>
      <c r="AZ24" s="73">
        <f t="shared" si="25"/>
        <v>115804.46989950196</v>
      </c>
      <c r="BA24" s="388" t="s">
        <v>226</v>
      </c>
      <c r="BB24" s="73"/>
      <c r="BC24" s="73"/>
      <c r="BD24" s="295"/>
      <c r="BE24" s="150" t="s">
        <v>227</v>
      </c>
      <c r="BF24" s="323"/>
      <c r="BG24" s="317"/>
      <c r="BH24" s="317">
        <f t="shared" ref="BH24:BQ24" si="31">BH22-BH23</f>
        <v>1311542.66444</v>
      </c>
      <c r="BI24" s="317">
        <f t="shared" si="31"/>
        <v>1303675.26774</v>
      </c>
      <c r="BJ24" s="317">
        <f t="shared" si="31"/>
        <v>1296356.1471810001</v>
      </c>
      <c r="BK24" s="317">
        <f t="shared" si="31"/>
        <v>1289619.1538673297</v>
      </c>
      <c r="BL24" s="317">
        <f t="shared" si="31"/>
        <v>1281359.8600315535</v>
      </c>
      <c r="BM24" s="317">
        <f t="shared" si="31"/>
        <v>1463018.1217170374</v>
      </c>
      <c r="BN24" s="317">
        <f t="shared" si="31"/>
        <v>1454178.52450829</v>
      </c>
      <c r="BO24" s="317">
        <f t="shared" si="31"/>
        <v>1445162.135355368</v>
      </c>
      <c r="BP24" s="317">
        <f t="shared" si="31"/>
        <v>1436513.231030019</v>
      </c>
      <c r="BQ24" s="317">
        <f t="shared" si="31"/>
        <v>1428521.7317373613</v>
      </c>
      <c r="BR24" s="317">
        <f>BR22-BR23</f>
        <v>1627475.8020328833</v>
      </c>
      <c r="BS24" s="317" t="str">
        <f t="shared" ref="BS24:BV24" si="32">IF(BS8="","",BS22-BS23)</f>
        <v/>
      </c>
      <c r="BT24" s="317" t="str">
        <f t="shared" si="32"/>
        <v/>
      </c>
      <c r="BU24" s="317" t="str">
        <f t="shared" si="32"/>
        <v/>
      </c>
      <c r="BV24" s="317" t="str">
        <f t="shared" si="32"/>
        <v/>
      </c>
      <c r="BW24" s="165"/>
      <c r="BZ24" s="426" t="s">
        <v>63</v>
      </c>
      <c r="CA24" s="182"/>
      <c r="CB24" s="217" t="e">
        <f>CB22-CB23</f>
        <v>#VALUE!</v>
      </c>
      <c r="CC24" s="197"/>
      <c r="CD24" s="219"/>
      <c r="CE24" s="197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 t="s">
        <v>1</v>
      </c>
      <c r="CP24" s="182" t="s">
        <v>1</v>
      </c>
      <c r="CQ24" s="182" t="s">
        <v>1</v>
      </c>
      <c r="CR24" s="182" t="s">
        <v>1</v>
      </c>
      <c r="CS24" s="182" t="s">
        <v>1</v>
      </c>
      <c r="CZ24" s="446"/>
    </row>
    <row r="25" spans="2:104" ht="21" customHeight="1">
      <c r="B25" s="150" t="s">
        <v>228</v>
      </c>
      <c r="C25" s="220"/>
      <c r="D25" s="94">
        <v>3.5000000000000003E-2</v>
      </c>
      <c r="Z25" s="260" t="s">
        <v>229</v>
      </c>
      <c r="AA25" s="260"/>
      <c r="AB25" s="284">
        <f>MIN(BH62:BR62)</f>
        <v>1.4926943566858786</v>
      </c>
      <c r="AC25" s="198" t="s">
        <v>230</v>
      </c>
      <c r="AD25" s="199"/>
      <c r="AG25" s="205"/>
      <c r="AH25" s="67" t="s">
        <v>231</v>
      </c>
      <c r="AI25" s="61"/>
      <c r="AJ25" s="405" t="s">
        <v>232</v>
      </c>
      <c r="AK25" s="307">
        <f t="shared" si="23"/>
        <v>82045.686537040005</v>
      </c>
      <c r="AL25" s="307">
        <f t="shared" si="23"/>
        <v>83509.78</v>
      </c>
      <c r="AM25" s="307">
        <f t="shared" si="23"/>
        <v>85000</v>
      </c>
      <c r="AN25" s="600">
        <f t="shared" si="24"/>
        <v>1.7</v>
      </c>
      <c r="AO25" s="70"/>
      <c r="AP25" s="71">
        <f t="shared" si="26"/>
        <v>85000</v>
      </c>
      <c r="AQ25" s="73">
        <f t="shared" si="25"/>
        <v>86700</v>
      </c>
      <c r="AR25" s="73">
        <f t="shared" si="25"/>
        <v>88434</v>
      </c>
      <c r="AS25" s="73">
        <f t="shared" si="25"/>
        <v>90202.680000000008</v>
      </c>
      <c r="AT25" s="73">
        <f t="shared" si="25"/>
        <v>92006.733600000007</v>
      </c>
      <c r="AU25" s="73">
        <f t="shared" si="25"/>
        <v>93846.868272000007</v>
      </c>
      <c r="AV25" s="73">
        <f t="shared" si="25"/>
        <v>95723.805637440004</v>
      </c>
      <c r="AW25" s="73">
        <f t="shared" si="25"/>
        <v>97638.281750188806</v>
      </c>
      <c r="AX25" s="73">
        <f t="shared" si="25"/>
        <v>99591.047385192578</v>
      </c>
      <c r="AY25" s="73">
        <f t="shared" si="25"/>
        <v>101582.86833289643</v>
      </c>
      <c r="AZ25" s="73">
        <f t="shared" si="25"/>
        <v>103614.52569955436</v>
      </c>
      <c r="BA25" s="388" t="s">
        <v>232</v>
      </c>
      <c r="BB25" s="73"/>
      <c r="BC25" s="73"/>
      <c r="BD25" s="295"/>
      <c r="BE25" s="110" t="s">
        <v>233</v>
      </c>
      <c r="BF25" s="323"/>
      <c r="BG25" s="318"/>
      <c r="BH25" s="318">
        <f t="shared" ref="BH25:BQ25" si="33">AP38</f>
        <v>25000</v>
      </c>
      <c r="BI25" s="318">
        <f t="shared" si="33"/>
        <v>25500</v>
      </c>
      <c r="BJ25" s="318">
        <f t="shared" si="33"/>
        <v>276010</v>
      </c>
      <c r="BK25" s="318">
        <f t="shared" si="33"/>
        <v>1526530.2</v>
      </c>
      <c r="BL25" s="318">
        <f t="shared" si="33"/>
        <v>27060.804</v>
      </c>
      <c r="BM25" s="318">
        <f t="shared" si="33"/>
        <v>27602.020080000002</v>
      </c>
      <c r="BN25" s="318">
        <f t="shared" si="33"/>
        <v>28154.060481600001</v>
      </c>
      <c r="BO25" s="318">
        <f t="shared" si="33"/>
        <v>28717.141691232002</v>
      </c>
      <c r="BP25" s="318">
        <f t="shared" si="33"/>
        <v>29291.484525056643</v>
      </c>
      <c r="BQ25" s="318">
        <f t="shared" si="33"/>
        <v>29877.314215557777</v>
      </c>
      <c r="BR25" s="318"/>
      <c r="BS25" s="318" t="str">
        <f>IF(BT8="","",'[1]Property Cash Flow'!AU36)</f>
        <v/>
      </c>
      <c r="BT25" s="318" t="str">
        <f>IF(BU8="","",'[1]Property Cash Flow'!AV36)</f>
        <v/>
      </c>
      <c r="BU25" s="318" t="str">
        <f>IF(BV8="","",'[1]Property Cash Flow'!AW36)</f>
        <v/>
      </c>
      <c r="BV25" s="318" t="str">
        <f>IF(BW8="","",'[1]Property Cash Flow'!AX36)</f>
        <v/>
      </c>
      <c r="BW25" s="165"/>
      <c r="BZ25" s="426" t="s">
        <v>64</v>
      </c>
      <c r="CA25" s="182"/>
      <c r="CB25" s="214" t="e">
        <f>IRR(CD25:CN25)</f>
        <v>#VALUE!</v>
      </c>
      <c r="CC25" s="197"/>
      <c r="CD25" s="217" t="e">
        <f>(CD20&lt;&gt;"") * (-CD23 + CD22)</f>
        <v>#VALUE!</v>
      </c>
      <c r="CE25" s="217" t="e">
        <f t="shared" ref="CE25:CN25" si="34">(CE20&lt;&gt;"") * (-CE23 + CE22)</f>
        <v>#VALUE!</v>
      </c>
      <c r="CF25" s="217" t="e">
        <f t="shared" si="34"/>
        <v>#VALUE!</v>
      </c>
      <c r="CG25" s="217" t="e">
        <f t="shared" si="34"/>
        <v>#VALUE!</v>
      </c>
      <c r="CH25" s="217" t="e">
        <f t="shared" si="34"/>
        <v>#VALUE!</v>
      </c>
      <c r="CI25" s="217" t="e">
        <f t="shared" si="34"/>
        <v>#VALUE!</v>
      </c>
      <c r="CJ25" s="217" t="e">
        <f t="shared" si="34"/>
        <v>#VALUE!</v>
      </c>
      <c r="CK25" s="217" t="e">
        <f t="shared" si="34"/>
        <v>#VALUE!</v>
      </c>
      <c r="CL25" s="217" t="e">
        <f t="shared" si="34"/>
        <v>#VALUE!</v>
      </c>
      <c r="CM25" s="217" t="e">
        <f t="shared" si="34"/>
        <v>#VALUE!</v>
      </c>
      <c r="CN25" s="217" t="e">
        <f t="shared" si="34"/>
        <v>#VALUE!</v>
      </c>
      <c r="CO25" s="217"/>
      <c r="CP25" s="217"/>
      <c r="CQ25" s="217"/>
      <c r="CR25" s="217"/>
      <c r="CS25" s="217"/>
      <c r="CT25" s="217"/>
    </row>
    <row r="26" spans="2:104" ht="21" customHeight="1">
      <c r="B26" s="150" t="s">
        <v>234</v>
      </c>
      <c r="C26" s="220"/>
      <c r="D26" s="95">
        <v>0</v>
      </c>
      <c r="Z26" s="260" t="s">
        <v>235</v>
      </c>
      <c r="AA26" s="260"/>
      <c r="AB26" s="283">
        <f>MIN(BH63:BR63)</f>
        <v>8.3939946738114779E-2</v>
      </c>
      <c r="AC26" s="198" t="s">
        <v>230</v>
      </c>
      <c r="AD26" s="199"/>
      <c r="AG26" s="205"/>
      <c r="AH26" s="67" t="s">
        <v>236</v>
      </c>
      <c r="AI26" s="601"/>
      <c r="AJ26" s="407"/>
      <c r="AK26" s="307">
        <f>AK19*$C35</f>
        <v>58157.702031731991</v>
      </c>
      <c r="AL26" s="307">
        <f>AL19*$C35</f>
        <v>58425.610559999979</v>
      </c>
      <c r="AM26" s="307">
        <f>AM19*$C35</f>
        <v>59738.587559999993</v>
      </c>
      <c r="AN26" s="600">
        <f t="shared" si="24"/>
        <v>1.1947717511999998</v>
      </c>
      <c r="AO26" s="96"/>
      <c r="AP26" s="71">
        <f>+AM26</f>
        <v>59738.587559999993</v>
      </c>
      <c r="AQ26" s="73">
        <f t="shared" ref="AQ26:AZ26" si="35">AQ19*$C$35</f>
        <v>59878.774259999998</v>
      </c>
      <c r="AR26" s="73">
        <f t="shared" si="35"/>
        <v>60043.588119</v>
      </c>
      <c r="AS26" s="73">
        <f t="shared" si="35"/>
        <v>60234.229481669987</v>
      </c>
      <c r="AT26" s="73">
        <f t="shared" si="35"/>
        <v>60385.769424505786</v>
      </c>
      <c r="AU26" s="73">
        <f t="shared" si="35"/>
        <v>66419.187838300611</v>
      </c>
      <c r="AV26" s="73">
        <f t="shared" si="35"/>
        <v>66569.222327754629</v>
      </c>
      <c r="AW26" s="73">
        <f t="shared" si="35"/>
        <v>66722.257506997732</v>
      </c>
      <c r="AX26" s="73">
        <f t="shared" si="35"/>
        <v>66895.296047886455</v>
      </c>
      <c r="AY26" s="73">
        <f t="shared" si="35"/>
        <v>67097.477311733106</v>
      </c>
      <c r="AZ26" s="73">
        <f t="shared" si="35"/>
        <v>73709.023837166984</v>
      </c>
      <c r="BA26" s="390"/>
      <c r="BB26" s="71"/>
      <c r="BC26" s="71"/>
      <c r="BD26" s="300"/>
      <c r="BE26" s="150" t="s">
        <v>237</v>
      </c>
      <c r="BF26" s="324"/>
      <c r="BG26" s="317"/>
      <c r="BH26" s="320">
        <f>BH24-BH25</f>
        <v>1286542.66444</v>
      </c>
      <c r="BI26" s="325">
        <f>BI24-BI25</f>
        <v>1278175.26774</v>
      </c>
      <c r="BJ26" s="320">
        <f t="shared" ref="BJ26:BQ26" si="36">BJ24-BJ25</f>
        <v>1020346.1471810001</v>
      </c>
      <c r="BK26" s="320">
        <f t="shared" si="36"/>
        <v>-236911.04613267025</v>
      </c>
      <c r="BL26" s="320">
        <f t="shared" si="36"/>
        <v>1254299.0560315535</v>
      </c>
      <c r="BM26" s="320">
        <f t="shared" si="36"/>
        <v>1435416.1016370375</v>
      </c>
      <c r="BN26" s="320">
        <f t="shared" si="36"/>
        <v>1426024.46402669</v>
      </c>
      <c r="BO26" s="320">
        <f t="shared" si="36"/>
        <v>1416444.9936641359</v>
      </c>
      <c r="BP26" s="320">
        <f t="shared" si="36"/>
        <v>1407221.7465049624</v>
      </c>
      <c r="BQ26" s="320">
        <f t="shared" si="36"/>
        <v>1398644.4175218034</v>
      </c>
      <c r="BR26" s="320"/>
      <c r="BS26" s="317" t="str">
        <f t="shared" ref="BS26:BV26" si="37">IF(BT8="","",BS24-BS25)</f>
        <v/>
      </c>
      <c r="BT26" s="317" t="str">
        <f t="shared" si="37"/>
        <v/>
      </c>
      <c r="BU26" s="317" t="str">
        <f t="shared" si="37"/>
        <v/>
      </c>
      <c r="BV26" s="317" t="str">
        <f t="shared" si="37"/>
        <v/>
      </c>
      <c r="BW26" s="165"/>
      <c r="BZ26" s="426" t="s">
        <v>65</v>
      </c>
      <c r="CA26" s="182"/>
      <c r="CB26" s="221" t="e">
        <f>CB22/CB23</f>
        <v>#VALUE!</v>
      </c>
      <c r="CC26" s="197"/>
      <c r="CD26" s="219"/>
      <c r="CE26" s="197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 t="s">
        <v>1</v>
      </c>
      <c r="CP26" s="182" t="s">
        <v>1</v>
      </c>
      <c r="CQ26" s="182" t="s">
        <v>1</v>
      </c>
      <c r="CR26" s="182" t="s">
        <v>1</v>
      </c>
      <c r="CS26" s="182" t="s">
        <v>1</v>
      </c>
    </row>
    <row r="27" spans="2:104">
      <c r="B27" s="150" t="s">
        <v>238</v>
      </c>
      <c r="C27" s="220"/>
      <c r="D27" s="97">
        <v>30</v>
      </c>
      <c r="Z27" s="260"/>
      <c r="AA27" s="260"/>
      <c r="AB27" s="285"/>
      <c r="AC27" s="198"/>
      <c r="AD27" s="199"/>
      <c r="AG27" s="205"/>
      <c r="AH27" s="67" t="s">
        <v>239</v>
      </c>
      <c r="AI27" s="61"/>
      <c r="AJ27" s="405" t="s">
        <v>240</v>
      </c>
      <c r="AK27" s="307">
        <f>C54</f>
        <v>33783.517985840001</v>
      </c>
      <c r="AL27" s="307">
        <f>D54</f>
        <v>34386.379999999997</v>
      </c>
      <c r="AM27" s="307">
        <f>E54</f>
        <v>35000</v>
      </c>
      <c r="AN27" s="600">
        <f t="shared" si="24"/>
        <v>0.7</v>
      </c>
      <c r="AO27" s="70"/>
      <c r="AP27" s="71">
        <f t="shared" si="26"/>
        <v>35000</v>
      </c>
      <c r="AQ27" s="73">
        <f t="shared" ref="AQ27:AZ29" si="38">AP27*(1+G$69)</f>
        <v>35700</v>
      </c>
      <c r="AR27" s="73">
        <f t="shared" si="38"/>
        <v>36414</v>
      </c>
      <c r="AS27" s="73">
        <f t="shared" si="38"/>
        <v>37142.28</v>
      </c>
      <c r="AT27" s="73">
        <f t="shared" si="38"/>
        <v>37885.125599999999</v>
      </c>
      <c r="AU27" s="73">
        <f t="shared" si="38"/>
        <v>38642.828112000003</v>
      </c>
      <c r="AV27" s="73">
        <f t="shared" si="38"/>
        <v>39415.684674240001</v>
      </c>
      <c r="AW27" s="73">
        <f t="shared" si="38"/>
        <v>40203.998367724802</v>
      </c>
      <c r="AX27" s="73">
        <f t="shared" si="38"/>
        <v>41008.078335079299</v>
      </c>
      <c r="AY27" s="73">
        <f t="shared" si="38"/>
        <v>41828.239901780886</v>
      </c>
      <c r="AZ27" s="73">
        <f t="shared" si="38"/>
        <v>42664.804699816501</v>
      </c>
      <c r="BA27" s="388" t="s">
        <v>240</v>
      </c>
      <c r="BB27" s="73"/>
      <c r="BC27" s="73"/>
      <c r="BD27" s="295"/>
      <c r="BE27" s="110" t="s">
        <v>241</v>
      </c>
      <c r="BF27" s="323"/>
      <c r="BG27" s="318"/>
      <c r="BH27" s="318">
        <f t="shared" ref="BH27:BQ27" si="39">(($D$21*$D$30)*$D$25)/(1-(1+$D$25/12)^-($D$27*12))</f>
        <v>858420.78406222712</v>
      </c>
      <c r="BI27" s="326">
        <f t="shared" si="39"/>
        <v>858420.78406222712</v>
      </c>
      <c r="BJ27" s="318">
        <f t="shared" si="39"/>
        <v>858420.78406222712</v>
      </c>
      <c r="BK27" s="318">
        <f t="shared" si="39"/>
        <v>858420.78406222712</v>
      </c>
      <c r="BL27" s="318">
        <f t="shared" si="39"/>
        <v>858420.78406222712</v>
      </c>
      <c r="BM27" s="318">
        <f t="shared" si="39"/>
        <v>858420.78406222712</v>
      </c>
      <c r="BN27" s="318">
        <f t="shared" si="39"/>
        <v>858420.78406222712</v>
      </c>
      <c r="BO27" s="318">
        <f t="shared" si="39"/>
        <v>858420.78406222712</v>
      </c>
      <c r="BP27" s="318">
        <f t="shared" si="39"/>
        <v>858420.78406222712</v>
      </c>
      <c r="BQ27" s="318">
        <f t="shared" si="39"/>
        <v>858420.78406222712</v>
      </c>
      <c r="BR27" s="318"/>
      <c r="BS27" s="318" t="str">
        <f>IF(BT8="","",IF(BS8&lt;='[1]Property Cash Flow'!$H$27,'[1]Property Cash Flow'!$H$34,'[1]Property Cash Flow'!$H$33))</f>
        <v/>
      </c>
      <c r="BT27" s="318" t="str">
        <f>IF(BU8="","",IF(BT8&lt;='[1]Property Cash Flow'!$H$27,'[1]Property Cash Flow'!$H$34,'[1]Property Cash Flow'!$H$33))</f>
        <v/>
      </c>
      <c r="BU27" s="318" t="str">
        <f>IF(BV8="","",IF(BU8&lt;='[1]Property Cash Flow'!$H$27,'[1]Property Cash Flow'!$H$34,'[1]Property Cash Flow'!$H$33))</f>
        <v/>
      </c>
      <c r="BV27" s="318" t="str">
        <f>IF(BW8="","",IF(BV8&lt;='[1]Property Cash Flow'!$H$27,'[1]Property Cash Flow'!$H$34,'[1]Property Cash Flow'!$H$33))</f>
        <v/>
      </c>
      <c r="BW27" s="165"/>
      <c r="BZ27" s="426" t="s">
        <v>1</v>
      </c>
      <c r="CA27" s="182"/>
      <c r="CB27" s="212"/>
      <c r="CC27" s="197"/>
      <c r="CD27" s="219"/>
      <c r="CE27" s="197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 t="s">
        <v>1</v>
      </c>
      <c r="CP27" s="182" t="s">
        <v>1</v>
      </c>
      <c r="CQ27" s="182" t="s">
        <v>1</v>
      </c>
      <c r="CR27" s="182" t="s">
        <v>1</v>
      </c>
      <c r="CS27" s="182" t="s">
        <v>1</v>
      </c>
    </row>
    <row r="28" spans="2:104">
      <c r="B28" s="150" t="s">
        <v>242</v>
      </c>
      <c r="C28" s="220"/>
      <c r="D28" s="95">
        <f>Analysis_Period</f>
        <v>10</v>
      </c>
      <c r="Z28" s="253"/>
      <c r="AA28" s="253"/>
      <c r="AB28" s="253"/>
      <c r="AG28" s="205"/>
      <c r="AH28" s="67"/>
      <c r="AI28" s="61"/>
      <c r="AJ28" s="405"/>
      <c r="AK28" s="307"/>
      <c r="AL28" s="307"/>
      <c r="AM28" s="307"/>
      <c r="AN28" s="69"/>
      <c r="AO28" s="70"/>
      <c r="AP28" s="71"/>
      <c r="AQ28" s="73">
        <f t="shared" si="38"/>
        <v>0</v>
      </c>
      <c r="AR28" s="73">
        <f t="shared" si="38"/>
        <v>0</v>
      </c>
      <c r="AS28" s="73">
        <f t="shared" si="38"/>
        <v>0</v>
      </c>
      <c r="AT28" s="73">
        <f t="shared" si="38"/>
        <v>0</v>
      </c>
      <c r="AU28" s="73">
        <f t="shared" si="38"/>
        <v>0</v>
      </c>
      <c r="AV28" s="73">
        <f t="shared" si="38"/>
        <v>0</v>
      </c>
      <c r="AW28" s="73">
        <f t="shared" si="38"/>
        <v>0</v>
      </c>
      <c r="AX28" s="73">
        <f t="shared" si="38"/>
        <v>0</v>
      </c>
      <c r="AY28" s="73">
        <f t="shared" si="38"/>
        <v>0</v>
      </c>
      <c r="AZ28" s="73">
        <f t="shared" si="38"/>
        <v>0</v>
      </c>
      <c r="BA28" s="388"/>
      <c r="BB28" s="73"/>
      <c r="BC28" s="73"/>
      <c r="BD28" s="295"/>
      <c r="BE28" s="110"/>
      <c r="BF28" s="323"/>
      <c r="BG28" s="318"/>
      <c r="BH28" s="318"/>
      <c r="BI28" s="326"/>
      <c r="BJ28" s="326"/>
      <c r="BK28" s="318"/>
      <c r="BL28" s="318"/>
      <c r="BM28" s="318"/>
      <c r="BN28" s="318"/>
      <c r="BO28" s="318"/>
      <c r="BP28" s="318"/>
      <c r="BQ28" s="318"/>
      <c r="BR28" s="318"/>
      <c r="BS28" s="318"/>
      <c r="BT28" s="318"/>
      <c r="BU28" s="318"/>
      <c r="BV28" s="318"/>
      <c r="BW28" s="165"/>
      <c r="BZ28" s="426"/>
      <c r="CA28" s="182"/>
      <c r="CB28" s="212"/>
      <c r="CC28" s="197"/>
      <c r="CD28" s="219"/>
      <c r="CE28" s="197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</row>
    <row r="29" spans="2:104" ht="15.75">
      <c r="B29" s="150"/>
      <c r="C29" s="220"/>
      <c r="D29" s="95"/>
      <c r="Z29" s="843" t="s">
        <v>220</v>
      </c>
      <c r="AA29" s="843"/>
      <c r="AB29" s="843"/>
      <c r="AG29" s="211"/>
      <c r="AH29" s="67" t="s">
        <v>244</v>
      </c>
      <c r="AI29" s="61"/>
      <c r="AJ29" s="408" t="s">
        <v>245</v>
      </c>
      <c r="AK29" s="98">
        <f>C55</f>
        <v>241315.668972855</v>
      </c>
      <c r="AL29" s="98">
        <f>D55</f>
        <v>245621.91234000001</v>
      </c>
      <c r="AM29" s="98">
        <f>E55</f>
        <v>250005</v>
      </c>
      <c r="AN29" s="99">
        <f>+AP29/D17</f>
        <v>5.0000999999999998</v>
      </c>
      <c r="AO29" s="100"/>
      <c r="AP29" s="101">
        <f t="shared" si="26"/>
        <v>250005</v>
      </c>
      <c r="AQ29" s="73">
        <f t="shared" si="38"/>
        <v>255005.1</v>
      </c>
      <c r="AR29" s="73">
        <f t="shared" si="38"/>
        <v>260105.20200000002</v>
      </c>
      <c r="AS29" s="73">
        <f t="shared" si="38"/>
        <v>265307.30604</v>
      </c>
      <c r="AT29" s="73">
        <f t="shared" si="38"/>
        <v>270613.45216079999</v>
      </c>
      <c r="AU29" s="73">
        <f t="shared" si="38"/>
        <v>276025.72120401601</v>
      </c>
      <c r="AV29" s="73">
        <f t="shared" si="38"/>
        <v>281546.23562809633</v>
      </c>
      <c r="AW29" s="73">
        <f t="shared" si="38"/>
        <v>287177.16034065827</v>
      </c>
      <c r="AX29" s="73">
        <f t="shared" si="38"/>
        <v>292920.70354747144</v>
      </c>
      <c r="AY29" s="73">
        <f t="shared" si="38"/>
        <v>298779.11761842086</v>
      </c>
      <c r="AZ29" s="73">
        <f t="shared" si="38"/>
        <v>304754.69997078925</v>
      </c>
      <c r="BA29" s="391" t="s">
        <v>245</v>
      </c>
      <c r="BB29" s="102"/>
      <c r="BC29" s="102"/>
      <c r="BD29" s="301"/>
      <c r="BE29" s="150" t="s">
        <v>246</v>
      </c>
      <c r="BF29" s="327"/>
      <c r="BG29" s="317"/>
      <c r="BH29" s="320">
        <f>BH26-BH27+BH28</f>
        <v>428121.88037777285</v>
      </c>
      <c r="BI29" s="320">
        <f>BI26-BI27+BI28</f>
        <v>419754.48367777292</v>
      </c>
      <c r="BJ29" s="320">
        <f>BJ26-BJ27+BJ28</f>
        <v>161925.36311877298</v>
      </c>
      <c r="BK29" s="320">
        <f>BK26-BK27</f>
        <v>-1095331.8301948975</v>
      </c>
      <c r="BL29" s="320">
        <f t="shared" ref="BL29:BP29" si="40">BL26-BL27</f>
        <v>395878.27196932642</v>
      </c>
      <c r="BM29" s="320">
        <f t="shared" si="40"/>
        <v>576995.31757481035</v>
      </c>
      <c r="BN29" s="320">
        <f t="shared" si="40"/>
        <v>567603.67996446288</v>
      </c>
      <c r="BO29" s="320">
        <f t="shared" si="40"/>
        <v>558024.20960190881</v>
      </c>
      <c r="BP29" s="320">
        <f t="shared" si="40"/>
        <v>548800.96244273533</v>
      </c>
      <c r="BQ29" s="320">
        <f>BQ26-BQ27</f>
        <v>540223.63345957629</v>
      </c>
      <c r="BR29" s="320"/>
      <c r="BS29" s="317" t="str">
        <f t="shared" ref="BS29:BV29" si="41">IF(BT8="","",BS26-BS27)</f>
        <v/>
      </c>
      <c r="BT29" s="317"/>
      <c r="BU29" s="317" t="str">
        <f t="shared" si="41"/>
        <v/>
      </c>
      <c r="BV29" s="317" t="str">
        <f t="shared" si="41"/>
        <v/>
      </c>
      <c r="BW29" s="165"/>
      <c r="BZ29" s="425" t="s">
        <v>67</v>
      </c>
      <c r="CA29" s="182"/>
      <c r="CB29" s="217"/>
      <c r="CC29" s="197"/>
      <c r="CD29" s="217"/>
      <c r="CE29" s="223"/>
      <c r="CF29" s="224"/>
      <c r="CG29" s="224"/>
      <c r="CH29" s="217"/>
      <c r="CI29" s="224"/>
      <c r="CJ29" s="224"/>
      <c r="CK29" s="224"/>
      <c r="CL29" s="224"/>
      <c r="CM29" s="224"/>
      <c r="CN29" s="224"/>
      <c r="CO29" s="182" t="s">
        <v>1</v>
      </c>
      <c r="CP29" s="182" t="s">
        <v>1</v>
      </c>
      <c r="CQ29" s="182" t="s">
        <v>1</v>
      </c>
      <c r="CR29" s="182" t="s">
        <v>1</v>
      </c>
      <c r="CS29" s="182" t="s">
        <v>1</v>
      </c>
    </row>
    <row r="30" spans="2:104">
      <c r="B30" s="150" t="s">
        <v>247</v>
      </c>
      <c r="C30" s="220"/>
      <c r="D30" s="94">
        <v>0.65</v>
      </c>
      <c r="Z30" s="262" t="s">
        <v>196</v>
      </c>
      <c r="AA30" s="262" t="s">
        <v>1</v>
      </c>
      <c r="AB30" s="277">
        <f>AB13*D30</f>
        <v>15930500.300000001</v>
      </c>
      <c r="AC30" s="163" t="s">
        <v>248</v>
      </c>
      <c r="AG30" s="201">
        <f>_xlfn.RRI(_xlfn.SINGLE(Analysis_Period)-1,AP30,_xlfn.SINGLE(INDEX(AP30:BD30,1,_xlfn.SINGLE(Analysis_Period))))</f>
        <v>1.9399290842743389E-2</v>
      </c>
      <c r="AH30" s="103" t="s">
        <v>224</v>
      </c>
      <c r="AI30" s="204"/>
      <c r="AJ30" s="405" t="s">
        <v>249</v>
      </c>
      <c r="AK30" s="137">
        <f>SUM(AK21:AK29)</f>
        <v>656613.41828346695</v>
      </c>
      <c r="AL30" s="137">
        <f>SUM(AL21:AL29)</f>
        <v>667560.68290000001</v>
      </c>
      <c r="AM30" s="137">
        <f>SUM(AM21:AM29)</f>
        <v>679743.58756000001</v>
      </c>
      <c r="AN30" s="69">
        <f>AP30/D17</f>
        <v>13.594871751199999</v>
      </c>
      <c r="AO30" s="70"/>
      <c r="AP30" s="104">
        <f>IF(AP9="","",SUM(AP21:AP29))</f>
        <v>679743.58756000001</v>
      </c>
      <c r="AQ30" s="105">
        <f>SUM(AQ21:AQ29)</f>
        <v>692283.87425999995</v>
      </c>
      <c r="AR30" s="105">
        <f t="shared" ref="AR30:AZ30" si="42">SUM(AR21:AR29)</f>
        <v>705096.79011900001</v>
      </c>
      <c r="AS30" s="105">
        <f t="shared" si="42"/>
        <v>718188.49552166997</v>
      </c>
      <c r="AT30" s="105">
        <f t="shared" si="42"/>
        <v>731499.12078530586</v>
      </c>
      <c r="AU30" s="105">
        <f t="shared" si="42"/>
        <v>750954.80622631661</v>
      </c>
      <c r="AV30" s="105">
        <f t="shared" si="42"/>
        <v>764795.55308353098</v>
      </c>
      <c r="AW30" s="105">
        <f t="shared" si="42"/>
        <v>778913.11487788963</v>
      </c>
      <c r="AX30" s="105">
        <f t="shared" si="42"/>
        <v>793329.97056619637</v>
      </c>
      <c r="AY30" s="105">
        <f t="shared" si="42"/>
        <v>808060.84532040916</v>
      </c>
      <c r="AZ30" s="105">
        <f t="shared" si="42"/>
        <v>829491.65920601645</v>
      </c>
      <c r="BA30" s="388" t="s">
        <v>249</v>
      </c>
      <c r="BB30" s="73"/>
      <c r="BC30" s="73"/>
      <c r="BD30" s="295"/>
      <c r="BE30" s="150"/>
      <c r="BF30" s="327"/>
      <c r="BG30" s="317"/>
      <c r="BH30" s="317"/>
      <c r="BI30" s="317"/>
      <c r="BJ30" s="317"/>
      <c r="BK30" s="317"/>
      <c r="BL30" s="317"/>
      <c r="BM30" s="317"/>
      <c r="BN30" s="317"/>
      <c r="BO30" s="317"/>
      <c r="BP30" s="317"/>
      <c r="BQ30" s="317"/>
      <c r="BR30" s="317"/>
      <c r="BS30" s="317"/>
      <c r="BT30" s="317"/>
      <c r="BU30" s="317"/>
      <c r="BV30" s="317"/>
      <c r="BW30" s="165"/>
      <c r="BZ30" s="426" t="s">
        <v>68</v>
      </c>
      <c r="CA30" s="182"/>
      <c r="CB30" s="217" t="e">
        <f>SUM(CD30:CS30)</f>
        <v>#VALUE!</v>
      </c>
      <c r="CC30" s="197"/>
      <c r="CD30" s="217" t="e">
        <f>(CD20&lt;&gt;"") * (CD61 + CD79 + CD94 + CD101)</f>
        <v>#VALUE!</v>
      </c>
      <c r="CE30" s="217" t="e">
        <f t="shared" ref="CE30:CN30" si="43">(CE20&lt;&gt;"") * (CE61 + CE79 + CE94 + CE101)</f>
        <v>#VALUE!</v>
      </c>
      <c r="CF30" s="217" t="e">
        <f t="shared" si="43"/>
        <v>#VALUE!</v>
      </c>
      <c r="CG30" s="217" t="e">
        <f t="shared" si="43"/>
        <v>#VALUE!</v>
      </c>
      <c r="CH30" s="217" t="e">
        <f t="shared" si="43"/>
        <v>#VALUE!</v>
      </c>
      <c r="CI30" s="217" t="e">
        <f t="shared" si="43"/>
        <v>#VALUE!</v>
      </c>
      <c r="CJ30" s="217" t="e">
        <f t="shared" si="43"/>
        <v>#VALUE!</v>
      </c>
      <c r="CK30" s="217" t="e">
        <f t="shared" si="43"/>
        <v>#VALUE!</v>
      </c>
      <c r="CL30" s="217" t="e">
        <f t="shared" si="43"/>
        <v>#VALUE!</v>
      </c>
      <c r="CM30" s="217" t="e">
        <f t="shared" si="43"/>
        <v>#VALUE!</v>
      </c>
      <c r="CN30" s="217" t="e">
        <f t="shared" si="43"/>
        <v>#VALUE!</v>
      </c>
      <c r="CO30" s="197" t="s">
        <v>61</v>
      </c>
      <c r="CP30" s="197" t="s">
        <v>61</v>
      </c>
      <c r="CQ30" s="197" t="s">
        <v>61</v>
      </c>
      <c r="CR30" s="197" t="s">
        <v>61</v>
      </c>
      <c r="CS30" s="197" t="s">
        <v>61</v>
      </c>
    </row>
    <row r="31" spans="2:104">
      <c r="B31" s="150" t="s">
        <v>250</v>
      </c>
      <c r="C31" s="220"/>
      <c r="D31" s="94">
        <v>0.01</v>
      </c>
      <c r="Z31" s="262" t="s">
        <v>251</v>
      </c>
      <c r="AA31" s="262" t="s">
        <v>1</v>
      </c>
      <c r="AB31" s="277">
        <f>AB30*D31</f>
        <v>159305.003</v>
      </c>
      <c r="AC31" s="163" t="s">
        <v>252</v>
      </c>
      <c r="AG31" s="58"/>
      <c r="AH31" s="103"/>
      <c r="AI31" s="61"/>
      <c r="AJ31" s="405"/>
      <c r="AK31" s="137"/>
      <c r="AL31" s="137"/>
      <c r="AM31" s="137"/>
      <c r="AN31" s="69"/>
      <c r="AO31" s="70"/>
      <c r="AP31" s="71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388"/>
      <c r="BB31" s="73"/>
      <c r="BC31" s="73"/>
      <c r="BD31" s="295"/>
      <c r="BE31" s="106" t="s">
        <v>253</v>
      </c>
      <c r="BF31" s="292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165"/>
      <c r="BZ31" s="426" t="s">
        <v>69</v>
      </c>
      <c r="CA31" s="182"/>
      <c r="CB31" s="217">
        <f>SUM(CD31:CS31)</f>
        <v>0</v>
      </c>
      <c r="CC31" s="197"/>
      <c r="CD31" s="217">
        <f>((CD20&lt;&gt;"") * SUM(CD40:CD41))</f>
        <v>0</v>
      </c>
      <c r="CE31" s="217">
        <f t="shared" ref="CE31:CN31" si="44">((CE20&lt;&gt;"") * SUM(CE40:CE41))</f>
        <v>0</v>
      </c>
      <c r="CF31" s="217">
        <f t="shared" si="44"/>
        <v>0</v>
      </c>
      <c r="CG31" s="217">
        <f t="shared" si="44"/>
        <v>0</v>
      </c>
      <c r="CH31" s="217">
        <f t="shared" si="44"/>
        <v>0</v>
      </c>
      <c r="CI31" s="217">
        <f t="shared" si="44"/>
        <v>0</v>
      </c>
      <c r="CJ31" s="217">
        <f t="shared" si="44"/>
        <v>0</v>
      </c>
      <c r="CK31" s="217">
        <f t="shared" si="44"/>
        <v>0</v>
      </c>
      <c r="CL31" s="217">
        <f t="shared" si="44"/>
        <v>0</v>
      </c>
      <c r="CM31" s="217">
        <f t="shared" si="44"/>
        <v>0</v>
      </c>
      <c r="CN31" s="217">
        <f t="shared" si="44"/>
        <v>0</v>
      </c>
      <c r="CO31" s="197" t="s">
        <v>61</v>
      </c>
      <c r="CP31" s="197" t="s">
        <v>61</v>
      </c>
      <c r="CQ31" s="197" t="s">
        <v>61</v>
      </c>
      <c r="CR31" s="197" t="s">
        <v>61</v>
      </c>
      <c r="CS31" s="197" t="s">
        <v>61</v>
      </c>
    </row>
    <row r="32" spans="2:104">
      <c r="Z32" s="262" t="s">
        <v>254</v>
      </c>
      <c r="AA32" s="262" t="s">
        <v>1</v>
      </c>
      <c r="AB32" s="277">
        <f>AB3-AB30</f>
        <v>9477435.943</v>
      </c>
      <c r="AC32" s="163" t="s">
        <v>255</v>
      </c>
      <c r="AG32" s="201">
        <f>_xlfn.RRI(_xlfn.SINGLE(Analysis_Period)-1,AP32,_xlfn.SINGLE(INDEX(AP32:BD32,1,_xlfn.SINGLE(Analysis_Period))))</f>
        <v>9.5381010203050565E-3</v>
      </c>
      <c r="AH32" s="106" t="s">
        <v>227</v>
      </c>
      <c r="AI32" s="208"/>
      <c r="AJ32" s="405" t="s">
        <v>256</v>
      </c>
      <c r="AK32" s="107">
        <f>AK19-AK30</f>
        <v>1281976.6494409328</v>
      </c>
      <c r="AL32" s="107">
        <f>AL19-AL30</f>
        <v>1279959.6690999996</v>
      </c>
      <c r="AM32" s="107">
        <f>AM19-AM30</f>
        <v>1311542.66444</v>
      </c>
      <c r="AN32" s="107">
        <f>AN19-AN30</f>
        <v>26.230853288799995</v>
      </c>
      <c r="AO32" s="90"/>
      <c r="AP32" s="83">
        <f>AP19-AP30</f>
        <v>1311542.66444</v>
      </c>
      <c r="AQ32" s="83">
        <f t="shared" ref="AQ32:AZ32" si="45">AQ19-AQ30</f>
        <v>1303675.26774</v>
      </c>
      <c r="AR32" s="83">
        <f>AR19-AR30</f>
        <v>1296356.1471810001</v>
      </c>
      <c r="AS32" s="83">
        <f t="shared" si="45"/>
        <v>1289619.1538673297</v>
      </c>
      <c r="AT32" s="83">
        <f t="shared" si="45"/>
        <v>1281359.8600315535</v>
      </c>
      <c r="AU32" s="83">
        <f t="shared" si="45"/>
        <v>1463018.1217170374</v>
      </c>
      <c r="AV32" s="83">
        <f t="shared" si="45"/>
        <v>1454178.52450829</v>
      </c>
      <c r="AW32" s="83">
        <f t="shared" si="45"/>
        <v>1445162.135355368</v>
      </c>
      <c r="AX32" s="83">
        <f t="shared" si="45"/>
        <v>1436513.231030019</v>
      </c>
      <c r="AY32" s="83">
        <f t="shared" si="45"/>
        <v>1428521.7317373613</v>
      </c>
      <c r="AZ32" s="83">
        <f t="shared" si="45"/>
        <v>1627475.8020328833</v>
      </c>
      <c r="BA32" s="388" t="s">
        <v>256</v>
      </c>
      <c r="BB32" s="91"/>
      <c r="BC32" s="91"/>
      <c r="BD32" s="299"/>
      <c r="BE32" s="103" t="s">
        <v>258</v>
      </c>
      <c r="BF32" s="292"/>
      <c r="BG32" s="84"/>
      <c r="BH32" s="108">
        <f>_xlfn.SINGLE(Exit_Cap_Yr_1)</f>
        <v>6.5000000000000002E-2</v>
      </c>
      <c r="BI32" s="108">
        <f t="shared" ref="BI32:BP32" si="46">BH32+($D$13/10000)</f>
        <v>6.5500000000000003E-2</v>
      </c>
      <c r="BJ32" s="108">
        <f t="shared" si="46"/>
        <v>6.6000000000000003E-2</v>
      </c>
      <c r="BK32" s="108">
        <f t="shared" si="46"/>
        <v>6.6500000000000004E-2</v>
      </c>
      <c r="BL32" s="108">
        <f t="shared" si="46"/>
        <v>6.7000000000000004E-2</v>
      </c>
      <c r="BM32" s="108">
        <f t="shared" si="46"/>
        <v>6.7500000000000004E-2</v>
      </c>
      <c r="BN32" s="108">
        <f t="shared" si="46"/>
        <v>6.8000000000000005E-2</v>
      </c>
      <c r="BO32" s="108">
        <f t="shared" si="46"/>
        <v>6.8500000000000005E-2</v>
      </c>
      <c r="BP32" s="108">
        <f t="shared" si="46"/>
        <v>6.9000000000000006E-2</v>
      </c>
      <c r="BQ32" s="108">
        <f>BP32+($D$13/10000)</f>
        <v>6.9500000000000006E-2</v>
      </c>
      <c r="BR32" s="108"/>
      <c r="BS32" s="108"/>
      <c r="BT32" s="108"/>
      <c r="BU32" s="108"/>
      <c r="BV32" s="108" t="str">
        <f>IF(BV22="","",IF(BV8&gt;_xlfn.SINGLE(Analysis_Period),"",BU32+'[1]Property Cash Flow'!$D$15/10000))</f>
        <v/>
      </c>
      <c r="BW32" s="165"/>
      <c r="BZ32" s="426" t="s">
        <v>70</v>
      </c>
      <c r="CA32" s="182"/>
      <c r="CB32" s="217">
        <f>SUM(CD32:CS32)</f>
        <v>10383219.054334896</v>
      </c>
      <c r="CC32" s="197"/>
      <c r="CD32" s="437">
        <f>(CD20&lt;&gt;"") * ( -((CD43*(CD43&lt;0)) + CD52) )</f>
        <v>9287887.2241399977</v>
      </c>
      <c r="CE32" s="437">
        <f t="shared" ref="CE32:CN32" si="47">(CE20&lt;&gt;"") * ( -((CE43*(CE43&lt;0)) + CE52) )</f>
        <v>0</v>
      </c>
      <c r="CF32" s="437">
        <f t="shared" si="47"/>
        <v>0</v>
      </c>
      <c r="CG32" s="437">
        <f t="shared" si="47"/>
        <v>0</v>
      </c>
      <c r="CH32" s="437">
        <f>(CH20&lt;&gt;"") * ( -((CH43*(CH43&lt;0)) + CH52) )</f>
        <v>1095331.8301948975</v>
      </c>
      <c r="CI32" s="437">
        <f t="shared" si="47"/>
        <v>0</v>
      </c>
      <c r="CJ32" s="437">
        <f t="shared" si="47"/>
        <v>0</v>
      </c>
      <c r="CK32" s="437">
        <f t="shared" si="47"/>
        <v>0</v>
      </c>
      <c r="CL32" s="437">
        <f t="shared" si="47"/>
        <v>0</v>
      </c>
      <c r="CM32" s="437">
        <f t="shared" si="47"/>
        <v>0</v>
      </c>
      <c r="CN32" s="437">
        <f t="shared" si="47"/>
        <v>0</v>
      </c>
      <c r="CO32" s="197" t="s">
        <v>61</v>
      </c>
      <c r="CP32" s="197" t="s">
        <v>61</v>
      </c>
      <c r="CQ32" s="197" t="s">
        <v>61</v>
      </c>
      <c r="CR32" s="197" t="s">
        <v>61</v>
      </c>
      <c r="CS32" s="197" t="s">
        <v>61</v>
      </c>
    </row>
    <row r="33" spans="2:97" ht="15.75">
      <c r="B33" s="109" t="s">
        <v>259</v>
      </c>
      <c r="C33" s="109"/>
      <c r="D33" s="109"/>
      <c r="F33" s="222"/>
      <c r="Z33" s="253"/>
      <c r="AA33" s="253"/>
      <c r="AB33" s="276"/>
      <c r="AG33" s="58"/>
      <c r="AH33" s="103"/>
      <c r="AI33" s="61"/>
      <c r="AJ33" s="405"/>
      <c r="AK33" s="85"/>
      <c r="AL33" s="85"/>
      <c r="AM33" s="85"/>
      <c r="AN33" s="69"/>
      <c r="AO33" s="70"/>
      <c r="AP33" s="71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388"/>
      <c r="BB33" s="73"/>
      <c r="BC33" s="73"/>
      <c r="BD33" s="295"/>
      <c r="BE33" s="103" t="s">
        <v>260</v>
      </c>
      <c r="BF33" s="292"/>
      <c r="BG33" s="84"/>
      <c r="BH33" s="74">
        <f>BH24/BH32</f>
        <v>20177579.452923074</v>
      </c>
      <c r="BI33" s="74">
        <f t="shared" ref="BI33:BQ33" si="48">BI24/BI32</f>
        <v>19903439.202137403</v>
      </c>
      <c r="BJ33" s="74">
        <f t="shared" si="48"/>
        <v>19641759.805772729</v>
      </c>
      <c r="BK33" s="74">
        <f t="shared" si="48"/>
        <v>19392769.231087662</v>
      </c>
      <c r="BL33" s="74">
        <f t="shared" si="48"/>
        <v>19124774.030321695</v>
      </c>
      <c r="BM33" s="74">
        <f t="shared" si="48"/>
        <v>21674342.543956108</v>
      </c>
      <c r="BN33" s="74">
        <f t="shared" si="48"/>
        <v>21384978.301592499</v>
      </c>
      <c r="BO33" s="74">
        <f t="shared" si="48"/>
        <v>21097257.450443327</v>
      </c>
      <c r="BP33" s="74">
        <f t="shared" si="48"/>
        <v>20819032.33376839</v>
      </c>
      <c r="BQ33" s="74">
        <f t="shared" si="48"/>
        <v>20554269.52140088</v>
      </c>
      <c r="BR33" s="74"/>
      <c r="BS33" s="74"/>
      <c r="BT33" s="74"/>
      <c r="BU33" s="74"/>
      <c r="BV33" s="74" t="str">
        <f t="shared" ref="BV33" si="49">IF(BV8&gt;_xlfn.SINGLE(Analysis_Period),"",OR(BV8=15,_xlfn.SINGLE(Cap_Year)="T12")*(BV24/BV32)+AND(BV8&lt;&gt;15,_xlfn.SINGLE(Cap_Year)="Forward 12")*(BW24/BV32))</f>
        <v/>
      </c>
      <c r="BW33" s="165"/>
      <c r="BZ33" s="426" t="s">
        <v>71</v>
      </c>
      <c r="CA33" s="182"/>
      <c r="CB33" s="217" t="e">
        <f>+CB30+CB31-CB32</f>
        <v>#VALUE!</v>
      </c>
      <c r="CC33" s="197"/>
      <c r="CD33" s="438"/>
      <c r="CE33" s="439"/>
      <c r="CF33" s="439"/>
      <c r="CG33" s="439"/>
      <c r="CH33" s="439"/>
      <c r="CI33" s="439"/>
      <c r="CJ33" s="439"/>
      <c r="CK33" s="439"/>
      <c r="CL33" s="439"/>
      <c r="CM33" s="439"/>
      <c r="CN33" s="440"/>
      <c r="CO33" s="182" t="s">
        <v>1</v>
      </c>
      <c r="CP33" s="182" t="s">
        <v>1</v>
      </c>
      <c r="CQ33" s="182" t="s">
        <v>1</v>
      </c>
      <c r="CR33" s="182" t="s">
        <v>1</v>
      </c>
      <c r="CS33" s="182" t="s">
        <v>1</v>
      </c>
    </row>
    <row r="34" spans="2:97" ht="34.9">
      <c r="B34" s="110" t="s">
        <v>577</v>
      </c>
      <c r="C34" s="269">
        <v>0.1</v>
      </c>
      <c r="D34" s="225"/>
      <c r="F34" s="222"/>
      <c r="Z34" s="262" t="s">
        <v>261</v>
      </c>
      <c r="AA34" s="262" t="s">
        <v>1</v>
      </c>
      <c r="AB34" s="278">
        <f>PMT(D25/12,D27*12,-AB30)*12</f>
        <v>858420.78406222619</v>
      </c>
      <c r="AC34" s="163" t="s">
        <v>262</v>
      </c>
      <c r="AG34" s="211"/>
      <c r="AH34" s="67" t="s">
        <v>263</v>
      </c>
      <c r="AI34" s="61"/>
      <c r="AJ34" s="404" t="s">
        <v>264</v>
      </c>
      <c r="AK34" s="307">
        <f t="shared" ref="AK34:AM37" si="50">C60</f>
        <v>0</v>
      </c>
      <c r="AL34" s="307">
        <f t="shared" si="50"/>
        <v>0</v>
      </c>
      <c r="AM34" s="307">
        <f t="shared" si="50"/>
        <v>0</v>
      </c>
      <c r="AN34" s="602">
        <f>+AP34/$D$17</f>
        <v>0</v>
      </c>
      <c r="AO34" s="111">
        <f>I76</f>
        <v>0</v>
      </c>
      <c r="AP34" s="112"/>
      <c r="AQ34" s="112">
        <f t="shared" ref="AQ34:AZ35" si="51">G60</f>
        <v>0</v>
      </c>
      <c r="AR34" s="112">
        <f t="shared" si="51"/>
        <v>0</v>
      </c>
      <c r="AS34" s="112">
        <f t="shared" si="51"/>
        <v>1250000</v>
      </c>
      <c r="AT34" s="112">
        <f t="shared" si="51"/>
        <v>0</v>
      </c>
      <c r="AU34" s="112">
        <f t="shared" si="51"/>
        <v>0</v>
      </c>
      <c r="AV34" s="112">
        <f t="shared" si="51"/>
        <v>0</v>
      </c>
      <c r="AW34" s="112">
        <f t="shared" si="51"/>
        <v>0</v>
      </c>
      <c r="AX34" s="112">
        <f t="shared" si="51"/>
        <v>0</v>
      </c>
      <c r="AY34" s="112">
        <f t="shared" si="51"/>
        <v>0</v>
      </c>
      <c r="AZ34" s="112">
        <f t="shared" si="51"/>
        <v>0</v>
      </c>
      <c r="BA34" s="379" t="s">
        <v>264</v>
      </c>
      <c r="BB34" s="112"/>
      <c r="BC34" s="112"/>
      <c r="BD34" s="152"/>
      <c r="BE34" s="92" t="s">
        <v>265</v>
      </c>
      <c r="BF34" s="292"/>
      <c r="BG34" s="84"/>
      <c r="BH34" s="84">
        <f>BH33*$D$20</f>
        <v>403551.58905846148</v>
      </c>
      <c r="BI34" s="84">
        <f t="shared" ref="BI34:BQ34" si="52">BI33*$D$20</f>
        <v>398068.7840427481</v>
      </c>
      <c r="BJ34" s="84">
        <f t="shared" si="52"/>
        <v>392835.1961154546</v>
      </c>
      <c r="BK34" s="84">
        <f t="shared" si="52"/>
        <v>387855.38462175324</v>
      </c>
      <c r="BL34" s="84">
        <f t="shared" si="52"/>
        <v>382495.48060643388</v>
      </c>
      <c r="BM34" s="84">
        <f t="shared" si="52"/>
        <v>433486.85087912215</v>
      </c>
      <c r="BN34" s="84">
        <f t="shared" si="52"/>
        <v>427699.56603185</v>
      </c>
      <c r="BO34" s="84">
        <f t="shared" si="52"/>
        <v>421945.14900886657</v>
      </c>
      <c r="BP34" s="84">
        <f t="shared" si="52"/>
        <v>416380.64667536784</v>
      </c>
      <c r="BQ34" s="84">
        <f t="shared" si="52"/>
        <v>411085.39042801759</v>
      </c>
      <c r="BR34" s="84"/>
      <c r="BS34" s="84"/>
      <c r="BT34" s="84"/>
      <c r="BU34" s="84"/>
      <c r="BV34" s="84" t="str">
        <f>IF(BV8&gt;_xlfn.SINGLE(Analysis_Period),"",BV33*'[1]Property Cash Flow'!$H$18)</f>
        <v/>
      </c>
      <c r="BW34" s="165"/>
      <c r="BZ34" s="426" t="s">
        <v>72</v>
      </c>
      <c r="CA34" s="182"/>
      <c r="CB34" s="221" t="e">
        <f>IRR(CD34:CS34)</f>
        <v>#VALUE!</v>
      </c>
      <c r="CC34" s="197"/>
      <c r="CD34" s="217" t="e">
        <f>(CD20&lt;&gt;"") * ((-CD32)+CD30+CD31)</f>
        <v>#VALUE!</v>
      </c>
      <c r="CE34" s="217" t="e">
        <f t="shared" ref="CE34:CN34" si="53">(CE20&lt;&gt;"") * ((-CE32)+CE30+CE31)</f>
        <v>#VALUE!</v>
      </c>
      <c r="CF34" s="217" t="e">
        <f t="shared" si="53"/>
        <v>#VALUE!</v>
      </c>
      <c r="CG34" s="217" t="e">
        <f t="shared" si="53"/>
        <v>#VALUE!</v>
      </c>
      <c r="CH34" s="217" t="e">
        <f t="shared" si="53"/>
        <v>#VALUE!</v>
      </c>
      <c r="CI34" s="217" t="e">
        <f t="shared" si="53"/>
        <v>#VALUE!</v>
      </c>
      <c r="CJ34" s="217" t="e">
        <f t="shared" si="53"/>
        <v>#VALUE!</v>
      </c>
      <c r="CK34" s="217" t="e">
        <f t="shared" si="53"/>
        <v>#VALUE!</v>
      </c>
      <c r="CL34" s="217" t="e">
        <f t="shared" si="53"/>
        <v>#VALUE!</v>
      </c>
      <c r="CM34" s="217" t="e">
        <f t="shared" si="53"/>
        <v>#VALUE!</v>
      </c>
      <c r="CN34" s="217" t="e">
        <f t="shared" si="53"/>
        <v>#VALUE!</v>
      </c>
      <c r="CO34" s="197" t="s">
        <v>61</v>
      </c>
      <c r="CP34" s="197" t="s">
        <v>61</v>
      </c>
      <c r="CQ34" s="197" t="s">
        <v>61</v>
      </c>
      <c r="CR34" s="197" t="s">
        <v>61</v>
      </c>
      <c r="CS34" s="197" t="s">
        <v>61</v>
      </c>
    </row>
    <row r="35" spans="2:97">
      <c r="B35" s="110" t="s">
        <v>266</v>
      </c>
      <c r="C35" s="269">
        <v>0.03</v>
      </c>
      <c r="D35" s="225"/>
      <c r="F35" s="222"/>
      <c r="Z35" s="262" t="s">
        <v>267</v>
      </c>
      <c r="AA35" s="262" t="s">
        <v>1</v>
      </c>
      <c r="AB35" s="278">
        <f>AB30*D25</f>
        <v>557567.51050000009</v>
      </c>
      <c r="AC35" s="163" t="s">
        <v>268</v>
      </c>
      <c r="AG35" s="211"/>
      <c r="AH35" s="67" t="s">
        <v>269</v>
      </c>
      <c r="AI35" s="226"/>
      <c r="AJ35" s="404" t="s">
        <v>270</v>
      </c>
      <c r="AK35" s="307">
        <f t="shared" si="50"/>
        <v>0</v>
      </c>
      <c r="AL35" s="307">
        <f t="shared" si="50"/>
        <v>0</v>
      </c>
      <c r="AM35" s="307">
        <f t="shared" si="50"/>
        <v>0</v>
      </c>
      <c r="AN35" s="602">
        <f t="shared" ref="AN35" si="54">+AP35/$D$17</f>
        <v>0</v>
      </c>
      <c r="AO35" s="111"/>
      <c r="AP35" s="112">
        <f>+AM35</f>
        <v>0</v>
      </c>
      <c r="AQ35" s="112">
        <f t="shared" si="51"/>
        <v>0</v>
      </c>
      <c r="AR35" s="112">
        <f t="shared" si="51"/>
        <v>0</v>
      </c>
      <c r="AS35" s="112">
        <f t="shared" si="51"/>
        <v>250000</v>
      </c>
      <c r="AT35" s="112">
        <f t="shared" si="51"/>
        <v>0</v>
      </c>
      <c r="AU35" s="112">
        <f t="shared" si="51"/>
        <v>0</v>
      </c>
      <c r="AV35" s="112">
        <f t="shared" si="51"/>
        <v>0</v>
      </c>
      <c r="AW35" s="112">
        <f t="shared" si="51"/>
        <v>0</v>
      </c>
      <c r="AX35" s="112">
        <f t="shared" si="51"/>
        <v>0</v>
      </c>
      <c r="AY35" s="112">
        <f t="shared" si="51"/>
        <v>0</v>
      </c>
      <c r="AZ35" s="112">
        <f t="shared" si="51"/>
        <v>0</v>
      </c>
      <c r="BA35" s="379" t="s">
        <v>270</v>
      </c>
      <c r="BB35" s="112"/>
      <c r="BC35" s="112"/>
      <c r="BD35" s="152"/>
      <c r="BE35" s="103" t="s">
        <v>271</v>
      </c>
      <c r="BF35" s="292"/>
      <c r="BG35" s="74"/>
      <c r="BH35" s="74">
        <f>BH33-BH34</f>
        <v>19774027.863864612</v>
      </c>
      <c r="BI35" s="74">
        <f>BI33-BI34</f>
        <v>19505370.418094654</v>
      </c>
      <c r="BJ35" s="74">
        <f>BJ33-BJ34</f>
        <v>19248924.609657276</v>
      </c>
      <c r="BK35" s="74">
        <f t="shared" ref="BK35:BQ35" si="55">BK33-BK34</f>
        <v>19004913.846465908</v>
      </c>
      <c r="BL35" s="74">
        <f t="shared" si="55"/>
        <v>18742278.549715262</v>
      </c>
      <c r="BM35" s="74">
        <f t="shared" si="55"/>
        <v>21240855.693076987</v>
      </c>
      <c r="BN35" s="74">
        <f t="shared" si="55"/>
        <v>20957278.735560648</v>
      </c>
      <c r="BO35" s="74">
        <f t="shared" si="55"/>
        <v>20675312.301434461</v>
      </c>
      <c r="BP35" s="74">
        <f t="shared" si="55"/>
        <v>20402651.687093023</v>
      </c>
      <c r="BQ35" s="74">
        <f t="shared" si="55"/>
        <v>20143184.130972862</v>
      </c>
      <c r="BR35" s="74"/>
      <c r="BS35" s="74"/>
      <c r="BT35" s="74"/>
      <c r="BU35" s="74"/>
      <c r="BV35" s="74" t="str">
        <f t="shared" ref="BV35" si="56">IF(BV34="","",BV33-BV34)</f>
        <v/>
      </c>
      <c r="BW35" s="165"/>
      <c r="BZ35" s="426" t="s">
        <v>73</v>
      </c>
      <c r="CA35" s="182"/>
      <c r="CB35" s="221">
        <v>1.5642666586810077</v>
      </c>
      <c r="CC35" s="19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  <c r="CO35" s="217"/>
      <c r="CP35" s="182"/>
      <c r="CQ35" s="182" t="s">
        <v>1</v>
      </c>
      <c r="CR35" s="182" t="s">
        <v>1</v>
      </c>
      <c r="CS35" s="182" t="s">
        <v>1</v>
      </c>
    </row>
    <row r="36" spans="2:97">
      <c r="B36" s="222"/>
      <c r="C36" s="227"/>
      <c r="E36" s="176"/>
      <c r="F36" s="222"/>
      <c r="Z36" s="253"/>
      <c r="AA36" s="253"/>
      <c r="AB36" s="253"/>
      <c r="AG36" s="211"/>
      <c r="AH36" s="67" t="s">
        <v>272</v>
      </c>
      <c r="AI36" s="203"/>
      <c r="AJ36" s="404" t="s">
        <v>273</v>
      </c>
      <c r="AK36" s="307">
        <f t="shared" si="50"/>
        <v>24131.084275599998</v>
      </c>
      <c r="AL36" s="307">
        <f t="shared" si="50"/>
        <v>24561.7</v>
      </c>
      <c r="AM36" s="307">
        <f t="shared" si="50"/>
        <v>25000</v>
      </c>
      <c r="AN36" s="602">
        <f>+AP36/$D$17</f>
        <v>0.5</v>
      </c>
      <c r="AO36" s="96"/>
      <c r="AP36" s="113">
        <f>+AM36</f>
        <v>25000</v>
      </c>
      <c r="AQ36" s="113">
        <f t="shared" ref="AQ36:AZ36" si="57">AP36*(1+G71)</f>
        <v>25500</v>
      </c>
      <c r="AR36" s="113">
        <f t="shared" si="57"/>
        <v>26010</v>
      </c>
      <c r="AS36" s="113">
        <f t="shared" si="57"/>
        <v>26530.2</v>
      </c>
      <c r="AT36" s="113">
        <f t="shared" si="57"/>
        <v>27060.804</v>
      </c>
      <c r="AU36" s="113">
        <f t="shared" si="57"/>
        <v>27602.020080000002</v>
      </c>
      <c r="AV36" s="113">
        <f t="shared" si="57"/>
        <v>28154.060481600001</v>
      </c>
      <c r="AW36" s="113">
        <f t="shared" si="57"/>
        <v>28717.141691232002</v>
      </c>
      <c r="AX36" s="113">
        <f t="shared" si="57"/>
        <v>29291.484525056643</v>
      </c>
      <c r="AY36" s="113">
        <f t="shared" si="57"/>
        <v>29877.314215557777</v>
      </c>
      <c r="AZ36" s="113">
        <f t="shared" si="57"/>
        <v>30474.860499868933</v>
      </c>
      <c r="BA36" s="379" t="s">
        <v>273</v>
      </c>
      <c r="BB36" s="71"/>
      <c r="BC36" s="71"/>
      <c r="BD36" s="300"/>
      <c r="BE36" s="103" t="s">
        <v>274</v>
      </c>
      <c r="BF36" s="291"/>
      <c r="BG36" s="114"/>
      <c r="BH36" s="115">
        <f>BH33/D17</f>
        <v>403.5515890584615</v>
      </c>
      <c r="BI36" s="115">
        <f t="shared" ref="BI36:BQ36" si="58">BI33/_xlfn.SINGLE(Property_SF)</f>
        <v>398.06878404274806</v>
      </c>
      <c r="BJ36" s="115">
        <f t="shared" si="58"/>
        <v>392.83519611545461</v>
      </c>
      <c r="BK36" s="115">
        <f t="shared" si="58"/>
        <v>387.85538462175327</v>
      </c>
      <c r="BL36" s="115">
        <f t="shared" si="58"/>
        <v>382.49548060643389</v>
      </c>
      <c r="BM36" s="115">
        <f t="shared" si="58"/>
        <v>433.48685087912219</v>
      </c>
      <c r="BN36" s="115">
        <f t="shared" si="58"/>
        <v>427.69956603185</v>
      </c>
      <c r="BO36" s="115">
        <f t="shared" si="58"/>
        <v>421.94514900886657</v>
      </c>
      <c r="BP36" s="115">
        <f t="shared" si="58"/>
        <v>416.38064667536781</v>
      </c>
      <c r="BQ36" s="115">
        <f t="shared" si="58"/>
        <v>411.0853904280176</v>
      </c>
      <c r="BR36" s="115"/>
      <c r="BS36" s="115"/>
      <c r="BT36" s="115"/>
      <c r="BU36" s="115"/>
      <c r="BV36" s="115" t="str">
        <f t="shared" ref="BV36" si="59">IFERROR(BV33/_xlfn.SINGLE(Property_SF),"")</f>
        <v/>
      </c>
      <c r="BW36" s="165"/>
      <c r="BZ36" s="427" t="s">
        <v>1</v>
      </c>
      <c r="CA36" s="228" t="s">
        <v>1</v>
      </c>
      <c r="CB36" s="228"/>
      <c r="CC36" s="182" t="s">
        <v>1</v>
      </c>
      <c r="CD36" s="182" t="s">
        <v>1</v>
      </c>
      <c r="CE36" s="182" t="s">
        <v>1</v>
      </c>
      <c r="CF36" s="182" t="s">
        <v>1</v>
      </c>
      <c r="CG36" s="182" t="s">
        <v>1</v>
      </c>
      <c r="CH36" s="182" t="s">
        <v>1</v>
      </c>
      <c r="CI36" s="182" t="s">
        <v>1</v>
      </c>
      <c r="CJ36" s="182" t="s">
        <v>1</v>
      </c>
      <c r="CK36" s="182" t="s">
        <v>1</v>
      </c>
      <c r="CL36" s="182" t="s">
        <v>1</v>
      </c>
      <c r="CM36" s="182" t="s">
        <v>1</v>
      </c>
      <c r="CN36" s="182" t="s">
        <v>1</v>
      </c>
      <c r="CO36" s="182" t="s">
        <v>1</v>
      </c>
      <c r="CP36" s="182" t="s">
        <v>1</v>
      </c>
      <c r="CQ36" s="182" t="s">
        <v>1</v>
      </c>
      <c r="CR36" s="182" t="s">
        <v>1</v>
      </c>
      <c r="CS36" s="182" t="s">
        <v>1</v>
      </c>
    </row>
    <row r="37" spans="2:97" ht="15.75">
      <c r="B37" s="230" t="s">
        <v>275</v>
      </c>
      <c r="C37" s="230"/>
      <c r="D37" s="230"/>
      <c r="E37" s="231"/>
      <c r="Z37" s="253"/>
      <c r="AA37" s="253"/>
      <c r="AB37" s="253"/>
      <c r="AG37" s="211"/>
      <c r="AH37" s="67" t="s">
        <v>276</v>
      </c>
      <c r="AI37" s="226"/>
      <c r="AJ37" s="404" t="s">
        <v>277</v>
      </c>
      <c r="AK37" s="116">
        <f t="shared" si="50"/>
        <v>0</v>
      </c>
      <c r="AL37" s="116">
        <f t="shared" si="50"/>
        <v>0</v>
      </c>
      <c r="AM37" s="116">
        <f t="shared" si="50"/>
        <v>0</v>
      </c>
      <c r="AN37" s="117">
        <f>+AP37/$D$17</f>
        <v>0</v>
      </c>
      <c r="AO37" s="87"/>
      <c r="AP37" s="112">
        <f>+AM37</f>
        <v>0</v>
      </c>
      <c r="AQ37" s="112">
        <f t="shared" ref="AQ37:AZ37" si="60">G63</f>
        <v>0</v>
      </c>
      <c r="AR37" s="112">
        <f t="shared" si="60"/>
        <v>250000</v>
      </c>
      <c r="AS37" s="112">
        <f t="shared" si="60"/>
        <v>0</v>
      </c>
      <c r="AT37" s="112">
        <f t="shared" si="60"/>
        <v>0</v>
      </c>
      <c r="AU37" s="112">
        <f t="shared" si="60"/>
        <v>0</v>
      </c>
      <c r="AV37" s="112">
        <f t="shared" si="60"/>
        <v>0</v>
      </c>
      <c r="AW37" s="112">
        <f t="shared" si="60"/>
        <v>0</v>
      </c>
      <c r="AX37" s="112">
        <f t="shared" si="60"/>
        <v>0</v>
      </c>
      <c r="AY37" s="112">
        <f t="shared" si="60"/>
        <v>0</v>
      </c>
      <c r="AZ37" s="112">
        <f t="shared" si="60"/>
        <v>0</v>
      </c>
      <c r="BA37" s="379" t="s">
        <v>277</v>
      </c>
      <c r="BB37" s="88"/>
      <c r="BC37" s="88"/>
      <c r="BD37" s="298"/>
      <c r="BE37" s="103"/>
      <c r="BF37" s="292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9"/>
      <c r="BT37" s="119"/>
      <c r="BU37" s="119"/>
      <c r="BV37" s="119"/>
      <c r="BW37" s="165"/>
      <c r="BY37" s="55" t="s">
        <v>278</v>
      </c>
      <c r="BZ37" s="186" t="s">
        <v>74</v>
      </c>
      <c r="CA37" s="200" t="s">
        <v>1</v>
      </c>
      <c r="CB37" s="200" t="s">
        <v>1</v>
      </c>
      <c r="CC37" s="200" t="s">
        <v>1</v>
      </c>
      <c r="CD37" s="240" t="s">
        <v>46</v>
      </c>
      <c r="CE37" s="240" t="s">
        <v>47</v>
      </c>
      <c r="CF37" s="240" t="s">
        <v>48</v>
      </c>
      <c r="CG37" s="240" t="s">
        <v>49</v>
      </c>
      <c r="CH37" s="240" t="s">
        <v>50</v>
      </c>
      <c r="CI37" s="240" t="s">
        <v>51</v>
      </c>
      <c r="CJ37" s="240" t="s">
        <v>52</v>
      </c>
      <c r="CK37" s="240" t="s">
        <v>53</v>
      </c>
      <c r="CL37" s="240" t="s">
        <v>54</v>
      </c>
      <c r="CM37" s="240" t="s">
        <v>55</v>
      </c>
      <c r="CN37" s="240" t="s">
        <v>56</v>
      </c>
      <c r="CO37" s="200" t="s">
        <v>1</v>
      </c>
      <c r="CP37" s="200" t="s">
        <v>1</v>
      </c>
      <c r="CQ37" s="200" t="s">
        <v>1</v>
      </c>
      <c r="CR37" s="200" t="s">
        <v>1</v>
      </c>
      <c r="CS37" s="200" t="s">
        <v>1</v>
      </c>
    </row>
    <row r="38" spans="2:97">
      <c r="B38" s="225"/>
      <c r="C38" s="120" t="s">
        <v>46</v>
      </c>
      <c r="D38" s="120" t="s">
        <v>129</v>
      </c>
      <c r="E38" s="121" t="s">
        <v>130</v>
      </c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Z38" s="840"/>
      <c r="AA38" s="840"/>
      <c r="AB38" s="840"/>
      <c r="AD38" s="233"/>
      <c r="AG38" s="201">
        <f>_xlfn.RRI(_xlfn.SINGLE(Analysis_Period)-1,AP38,_xlfn.SINGLE(INDEX(AP38:BD38,1,_xlfn.SINGLE(Analysis_Period))))</f>
        <v>2.0000000000000018E-2</v>
      </c>
      <c r="AH38" s="103" t="s">
        <v>233</v>
      </c>
      <c r="AI38" s="61"/>
      <c r="AJ38" s="405" t="s">
        <v>279</v>
      </c>
      <c r="AK38" s="306">
        <f>SUM(AK34:AK37)</f>
        <v>24131.084275599998</v>
      </c>
      <c r="AL38" s="306">
        <f>SUM(AL34:AL37)</f>
        <v>24561.7</v>
      </c>
      <c r="AM38" s="306">
        <f>SUM(AM34:AM37)</f>
        <v>25000</v>
      </c>
      <c r="AN38" s="122">
        <f>SUM(AN34:AN37)</f>
        <v>0.5</v>
      </c>
      <c r="AO38" s="70"/>
      <c r="AP38" s="123">
        <f>SUM(AP34:AP37)</f>
        <v>25000</v>
      </c>
      <c r="AQ38" s="123">
        <f>SUM(AQ34:AQ37)</f>
        <v>25500</v>
      </c>
      <c r="AR38" s="123">
        <f>SUM(AR34:AR37)</f>
        <v>276010</v>
      </c>
      <c r="AS38" s="123">
        <f>SUM(AS34:AS37)</f>
        <v>1526530.2</v>
      </c>
      <c r="AT38" s="123">
        <f t="shared" ref="AT38:AZ38" si="61">SUM(AT34:AT37)</f>
        <v>27060.804</v>
      </c>
      <c r="AU38" s="123">
        <f>SUM(AU34:AU37)</f>
        <v>27602.020080000002</v>
      </c>
      <c r="AV38" s="123">
        <f t="shared" si="61"/>
        <v>28154.060481600001</v>
      </c>
      <c r="AW38" s="123">
        <f t="shared" si="61"/>
        <v>28717.141691232002</v>
      </c>
      <c r="AX38" s="123">
        <f t="shared" si="61"/>
        <v>29291.484525056643</v>
      </c>
      <c r="AY38" s="123">
        <f t="shared" si="61"/>
        <v>29877.314215557777</v>
      </c>
      <c r="AZ38" s="123">
        <f t="shared" si="61"/>
        <v>30474.860499868933</v>
      </c>
      <c r="BA38" s="388"/>
      <c r="BB38" s="73"/>
      <c r="BC38" s="73"/>
      <c r="BD38" s="295"/>
      <c r="BE38" s="103" t="s">
        <v>280</v>
      </c>
      <c r="BF38" s="292"/>
      <c r="BG38" s="84"/>
      <c r="BH38" s="118">
        <f>-PV($D$25/12,($D$27-BH8)*12,BH27/12)</f>
        <v>15624773.607873462</v>
      </c>
      <c r="BI38" s="118">
        <f t="shared" ref="BI38:BQ38" si="62">-PV($D$25/12,($D$27-BI8)*12,BI27/12)</f>
        <v>15308173.14887373</v>
      </c>
      <c r="BJ38" s="118">
        <f t="shared" si="62"/>
        <v>14980312.176246081</v>
      </c>
      <c r="BK38" s="118">
        <f t="shared" si="62"/>
        <v>14640790.187832166</v>
      </c>
      <c r="BL38" s="118">
        <f t="shared" si="62"/>
        <v>14289192.43683221</v>
      </c>
      <c r="BM38" s="118">
        <f t="shared" si="62"/>
        <v>13925089.425166529</v>
      </c>
      <c r="BN38" s="118">
        <f t="shared" si="62"/>
        <v>13548036.378817448</v>
      </c>
      <c r="BO38" s="118">
        <f t="shared" si="62"/>
        <v>13157572.704510739</v>
      </c>
      <c r="BP38" s="118">
        <f t="shared" si="62"/>
        <v>12753221.427072851</v>
      </c>
      <c r="BQ38" s="118">
        <f t="shared" si="62"/>
        <v>12334488.606776685</v>
      </c>
      <c r="BR38" s="118"/>
      <c r="BS38" s="118"/>
      <c r="BT38" s="118"/>
      <c r="BU38" s="118"/>
      <c r="BV38" s="118" t="str">
        <f>IF(BW8="","",(BV8&lt;='[1]Property Cash Flow'!$H$27)*_xlfn.SINGLE(Debt)+('[1]Property Cash Flow'!$H$27&lt;BV8)*-PV('[1]Property Cash Flow'!$H$26/12,('[1]Property Cash Flow'!$H$28+'[1]Property Cash Flow'!$H$27-BV8)*12,'[1]Property Cash Flow'!$H$33/12))</f>
        <v/>
      </c>
      <c r="BW38" s="165"/>
      <c r="BZ38" s="55" t="s">
        <v>1</v>
      </c>
      <c r="CA38" s="55" t="s">
        <v>1</v>
      </c>
      <c r="CB38" s="55" t="s">
        <v>1</v>
      </c>
      <c r="CC38" s="55" t="s">
        <v>75</v>
      </c>
      <c r="CD38" s="415">
        <v>46203</v>
      </c>
      <c r="CE38" s="416">
        <v>46568</v>
      </c>
      <c r="CF38" s="416">
        <v>46934</v>
      </c>
      <c r="CG38" s="416">
        <v>47299</v>
      </c>
      <c r="CH38" s="416">
        <v>11139</v>
      </c>
      <c r="CI38" s="416">
        <v>11504</v>
      </c>
      <c r="CJ38" s="416">
        <v>11870</v>
      </c>
      <c r="CK38" s="416">
        <v>12235</v>
      </c>
      <c r="CL38" s="416">
        <v>12600</v>
      </c>
      <c r="CM38" s="416">
        <v>12965</v>
      </c>
      <c r="CN38" s="416">
        <v>13331</v>
      </c>
      <c r="CO38" s="55" t="s">
        <v>1</v>
      </c>
      <c r="CP38" s="55" t="s">
        <v>1</v>
      </c>
      <c r="CQ38" s="55" t="s">
        <v>1</v>
      </c>
      <c r="CR38" s="55" t="s">
        <v>1</v>
      </c>
      <c r="CS38" s="55" t="s">
        <v>1</v>
      </c>
    </row>
    <row r="39" spans="2:97" ht="15.75">
      <c r="B39" s="110"/>
      <c r="C39" s="124"/>
      <c r="D39" s="124"/>
      <c r="E39" s="125"/>
      <c r="F39" s="234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Z39" s="450" t="s">
        <v>281</v>
      </c>
      <c r="AA39" s="450" t="s">
        <v>1</v>
      </c>
      <c r="AB39" s="451" t="s">
        <v>11</v>
      </c>
      <c r="AG39" s="236"/>
      <c r="AH39" s="103"/>
      <c r="AI39" s="61"/>
      <c r="AJ39" s="405"/>
      <c r="AK39" s="85"/>
      <c r="AL39" s="85"/>
      <c r="AM39" s="85"/>
      <c r="AN39" s="69"/>
      <c r="AO39" s="70"/>
      <c r="AP39" s="71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388"/>
      <c r="BB39" s="73"/>
      <c r="BC39" s="73"/>
      <c r="BD39" s="295"/>
      <c r="BE39" s="103"/>
      <c r="BF39" s="292"/>
      <c r="BG39" s="118"/>
      <c r="BH39" s="118"/>
      <c r="BI39" s="118"/>
      <c r="BJ39" s="118"/>
      <c r="BK39" s="285"/>
      <c r="BL39" s="118"/>
      <c r="BM39" s="118"/>
      <c r="BN39" s="118"/>
      <c r="BO39" s="118"/>
      <c r="BP39" s="118"/>
      <c r="BQ39" s="118"/>
      <c r="BR39" s="118"/>
      <c r="BS39" s="119"/>
      <c r="BT39" s="119"/>
      <c r="BU39" s="119"/>
      <c r="BV39" s="119"/>
      <c r="BW39" s="165"/>
      <c r="BZ39" s="423" t="s">
        <v>76</v>
      </c>
      <c r="CA39" s="55" t="s">
        <v>1</v>
      </c>
      <c r="CB39" s="55" t="s">
        <v>1</v>
      </c>
      <c r="CC39" s="55" t="s">
        <v>1</v>
      </c>
      <c r="CD39" s="417">
        <f t="shared" ref="CD39:CN39" si="63">BG55</f>
        <v>-9477435.9429999981</v>
      </c>
      <c r="CE39" s="417">
        <f t="shared" si="63"/>
        <v>428121.88037777285</v>
      </c>
      <c r="CF39" s="417">
        <f t="shared" si="63"/>
        <v>419754.48367777292</v>
      </c>
      <c r="CG39" s="417">
        <f t="shared" si="63"/>
        <v>161925.36311877298</v>
      </c>
      <c r="CH39" s="417">
        <f t="shared" si="63"/>
        <v>-1095331.8301948975</v>
      </c>
      <c r="CI39" s="417">
        <f t="shared" si="63"/>
        <v>395878.27196932642</v>
      </c>
      <c r="CJ39" s="417">
        <f t="shared" si="63"/>
        <v>576995.31757481035</v>
      </c>
      <c r="CK39" s="417">
        <f t="shared" si="63"/>
        <v>567603.67996446288</v>
      </c>
      <c r="CL39" s="417">
        <f t="shared" si="63"/>
        <v>558024.20960190881</v>
      </c>
      <c r="CM39" s="417">
        <f t="shared" si="63"/>
        <v>548800.96244273533</v>
      </c>
      <c r="CN39" s="417">
        <f t="shared" si="63"/>
        <v>8348919.1576557541</v>
      </c>
      <c r="CO39" s="418"/>
      <c r="CP39" s="418" t="s">
        <v>61</v>
      </c>
      <c r="CQ39" s="418" t="s">
        <v>61</v>
      </c>
      <c r="CR39" s="418" t="s">
        <v>61</v>
      </c>
      <c r="CS39" s="418" t="s">
        <v>61</v>
      </c>
    </row>
    <row r="40" spans="2:97" ht="16.149999999999999">
      <c r="B40" s="110" t="s">
        <v>167</v>
      </c>
      <c r="C40" s="124">
        <v>660000</v>
      </c>
      <c r="D40" s="124">
        <v>670000</v>
      </c>
      <c r="E40" s="125">
        <v>685000</v>
      </c>
      <c r="F40" s="234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Z40" s="452" t="s">
        <v>4</v>
      </c>
      <c r="AA40" s="452" t="s">
        <v>1</v>
      </c>
      <c r="AB40" s="453">
        <f>D134</f>
        <v>0</v>
      </c>
      <c r="AG40" s="201">
        <f>_xlfn.RRI(_xlfn.SINGLE(Analysis_Period)-1,AP40,_xlfn.SINGLE(INDEX(AP40:BD40,1,_xlfn.SINGLE(Analysis_Period))))</f>
        <v>9.3259940266237074E-3</v>
      </c>
      <c r="AH40" s="106" t="s">
        <v>237</v>
      </c>
      <c r="AI40" s="202"/>
      <c r="AJ40" s="409" t="s">
        <v>282</v>
      </c>
      <c r="AK40" s="107">
        <f>AK32-AK38</f>
        <v>1257845.5651653328</v>
      </c>
      <c r="AL40" s="107">
        <f>AL32-AL38</f>
        <v>1255397.9690999996</v>
      </c>
      <c r="AM40" s="107">
        <f t="shared" ref="AM40" si="64">AM32-AM38</f>
        <v>1286542.66444</v>
      </c>
      <c r="AN40" s="107">
        <f>AN32-AN38</f>
        <v>25.730853288799995</v>
      </c>
      <c r="AO40" s="90"/>
      <c r="AP40" s="83">
        <f>AP32-AP38</f>
        <v>1286542.66444</v>
      </c>
      <c r="AQ40" s="83">
        <f t="shared" ref="AQ40:AZ40" si="65">AQ32-AQ38</f>
        <v>1278175.26774</v>
      </c>
      <c r="AR40" s="83">
        <f t="shared" si="65"/>
        <v>1020346.1471810001</v>
      </c>
      <c r="AS40" s="83">
        <f>AS32-AS38</f>
        <v>-236911.04613267025</v>
      </c>
      <c r="AT40" s="83">
        <f t="shared" si="65"/>
        <v>1254299.0560315535</v>
      </c>
      <c r="AU40" s="83">
        <f t="shared" si="65"/>
        <v>1435416.1016370375</v>
      </c>
      <c r="AV40" s="83">
        <f t="shared" si="65"/>
        <v>1426024.46402669</v>
      </c>
      <c r="AW40" s="83">
        <f t="shared" si="65"/>
        <v>1416444.9936641359</v>
      </c>
      <c r="AX40" s="83">
        <f t="shared" si="65"/>
        <v>1407221.7465049624</v>
      </c>
      <c r="AY40" s="83">
        <f t="shared" si="65"/>
        <v>1398644.4175218034</v>
      </c>
      <c r="AZ40" s="83">
        <f t="shared" si="65"/>
        <v>1597000.9415330144</v>
      </c>
      <c r="BA40" s="392"/>
      <c r="BB40" s="91"/>
      <c r="BC40" s="91"/>
      <c r="BD40" s="299"/>
      <c r="BE40" s="106" t="s">
        <v>283</v>
      </c>
      <c r="BF40" s="292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9"/>
      <c r="BT40" s="119"/>
      <c r="BU40" s="119"/>
      <c r="BV40" s="119"/>
      <c r="BW40" s="165"/>
      <c r="BZ40" s="424" t="s">
        <v>77</v>
      </c>
      <c r="CA40" s="55" t="s">
        <v>1</v>
      </c>
      <c r="CB40" s="55" t="s">
        <v>1</v>
      </c>
      <c r="CC40" s="55" t="s">
        <v>1</v>
      </c>
      <c r="CD40" s="227">
        <v>0</v>
      </c>
      <c r="CE40" s="227">
        <f t="shared" ref="CE40:CN40" si="66">$C$128</f>
        <v>0</v>
      </c>
      <c r="CF40" s="227">
        <f t="shared" si="66"/>
        <v>0</v>
      </c>
      <c r="CG40" s="227">
        <f t="shared" si="66"/>
        <v>0</v>
      </c>
      <c r="CH40" s="227">
        <f t="shared" si="66"/>
        <v>0</v>
      </c>
      <c r="CI40" s="227">
        <f t="shared" si="66"/>
        <v>0</v>
      </c>
      <c r="CJ40" s="227">
        <f t="shared" si="66"/>
        <v>0</v>
      </c>
      <c r="CK40" s="227">
        <f t="shared" si="66"/>
        <v>0</v>
      </c>
      <c r="CL40" s="227">
        <f t="shared" si="66"/>
        <v>0</v>
      </c>
      <c r="CM40" s="227">
        <f t="shared" si="66"/>
        <v>0</v>
      </c>
      <c r="CN40" s="227">
        <f t="shared" si="66"/>
        <v>0</v>
      </c>
      <c r="CO40" s="176" t="s">
        <v>284</v>
      </c>
      <c r="CP40" s="176" t="s">
        <v>285</v>
      </c>
      <c r="CQ40" s="176" t="s">
        <v>285</v>
      </c>
      <c r="CR40" s="176" t="s">
        <v>284</v>
      </c>
      <c r="CS40" s="176" t="s">
        <v>284</v>
      </c>
    </row>
    <row r="41" spans="2:97" ht="16.5">
      <c r="B41" s="110" t="s">
        <v>173</v>
      </c>
      <c r="C41" s="126">
        <v>98751</v>
      </c>
      <c r="D41" s="126">
        <v>99152</v>
      </c>
      <c r="E41" s="127">
        <v>100000</v>
      </c>
      <c r="F41" s="237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Z41" s="452" t="s">
        <v>286</v>
      </c>
      <c r="AA41" s="452" t="s">
        <v>1</v>
      </c>
      <c r="AB41" s="454">
        <f>D136</f>
        <v>0</v>
      </c>
      <c r="AG41" s="58"/>
      <c r="AH41" s="103"/>
      <c r="AI41" s="61"/>
      <c r="AJ41" s="405"/>
      <c r="AK41" s="85"/>
      <c r="AL41" s="85"/>
      <c r="AM41" s="85"/>
      <c r="AN41" s="56"/>
      <c r="AO41" s="57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388"/>
      <c r="BB41" s="73"/>
      <c r="BC41" s="73"/>
      <c r="BD41" s="295"/>
      <c r="BE41" s="92" t="s">
        <v>163</v>
      </c>
      <c r="BF41" s="292"/>
      <c r="BG41" s="74">
        <f t="shared" ref="BG41:BQ41" si="67">BG15</f>
        <v>25248631.239999998</v>
      </c>
      <c r="BH41" s="74">
        <f t="shared" si="67"/>
        <v>0</v>
      </c>
      <c r="BI41" s="74">
        <f t="shared" si="67"/>
        <v>0</v>
      </c>
      <c r="BJ41" s="74">
        <f>BJ15</f>
        <v>0</v>
      </c>
      <c r="BK41" s="74">
        <f t="shared" si="67"/>
        <v>0</v>
      </c>
      <c r="BL41" s="74">
        <f t="shared" si="67"/>
        <v>0</v>
      </c>
      <c r="BM41" s="74">
        <f t="shared" si="67"/>
        <v>0</v>
      </c>
      <c r="BN41" s="74">
        <f t="shared" si="67"/>
        <v>0</v>
      </c>
      <c r="BO41" s="74">
        <f t="shared" si="67"/>
        <v>0</v>
      </c>
      <c r="BP41" s="74">
        <f t="shared" si="67"/>
        <v>0</v>
      </c>
      <c r="BQ41" s="74">
        <f t="shared" si="67"/>
        <v>0</v>
      </c>
      <c r="BR41" s="74" t="str">
        <f t="shared" ref="BR41:BV41" si="68">IF(BR8&gt;_xlfn.SINGLE(Analysis_Period),"",BR15)</f>
        <v/>
      </c>
      <c r="BS41" s="74" t="str">
        <f t="shared" si="68"/>
        <v/>
      </c>
      <c r="BT41" s="74" t="str">
        <f t="shared" si="68"/>
        <v/>
      </c>
      <c r="BU41" s="74" t="str">
        <f t="shared" si="68"/>
        <v/>
      </c>
      <c r="BV41" s="74" t="str">
        <f t="shared" si="68"/>
        <v/>
      </c>
      <c r="BW41" s="165"/>
      <c r="BZ41" s="424" t="s">
        <v>79</v>
      </c>
      <c r="CA41" s="55" t="s">
        <v>1</v>
      </c>
      <c r="CB41" s="55" t="s">
        <v>1</v>
      </c>
      <c r="CC41" s="55" t="s">
        <v>1</v>
      </c>
      <c r="CD41" s="227">
        <f>C129</f>
        <v>0</v>
      </c>
      <c r="CE41" s="227">
        <v>0</v>
      </c>
      <c r="CF41" s="227">
        <v>0</v>
      </c>
      <c r="CG41" s="227">
        <v>0</v>
      </c>
      <c r="CH41" s="227">
        <v>0</v>
      </c>
      <c r="CI41" s="227">
        <v>0</v>
      </c>
      <c r="CJ41" s="227">
        <v>0</v>
      </c>
      <c r="CK41" s="227">
        <v>0</v>
      </c>
      <c r="CL41" s="227">
        <v>0</v>
      </c>
      <c r="CM41" s="227">
        <v>0</v>
      </c>
      <c r="CN41" s="227">
        <v>0</v>
      </c>
      <c r="CO41" s="176" t="s">
        <v>284</v>
      </c>
      <c r="CP41" s="176" t="s">
        <v>285</v>
      </c>
      <c r="CQ41" s="176" t="s">
        <v>285</v>
      </c>
      <c r="CR41" s="176" t="s">
        <v>284</v>
      </c>
      <c r="CS41" s="176" t="s">
        <v>284</v>
      </c>
    </row>
    <row r="42" spans="2:97">
      <c r="B42" s="264"/>
      <c r="C42" s="128"/>
      <c r="D42" s="128"/>
      <c r="E42" s="128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Z42" s="452" t="s">
        <v>287</v>
      </c>
      <c r="AA42" s="452" t="s">
        <v>1</v>
      </c>
      <c r="AB42" s="454">
        <f>D137</f>
        <v>0</v>
      </c>
      <c r="AG42" s="58"/>
      <c r="AH42" s="106" t="s">
        <v>288</v>
      </c>
      <c r="AI42" s="61"/>
      <c r="AJ42" s="403"/>
      <c r="AK42" s="85"/>
      <c r="AL42" s="85"/>
      <c r="AM42" s="85"/>
      <c r="AN42" s="56"/>
      <c r="AO42" s="57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386"/>
      <c r="BB42" s="65"/>
      <c r="BC42" s="65"/>
      <c r="BD42" s="294"/>
      <c r="BE42" s="92" t="s">
        <v>216</v>
      </c>
      <c r="BF42" s="292"/>
      <c r="BG42" s="74">
        <f t="shared" ref="BG42:BQ42" si="69">BG26</f>
        <v>0</v>
      </c>
      <c r="BH42" s="74">
        <f t="shared" si="69"/>
        <v>1286542.66444</v>
      </c>
      <c r="BI42" s="74">
        <f t="shared" si="69"/>
        <v>1278175.26774</v>
      </c>
      <c r="BJ42" s="74">
        <f t="shared" si="69"/>
        <v>1020346.1471810001</v>
      </c>
      <c r="BK42" s="74">
        <f t="shared" si="69"/>
        <v>-236911.04613267025</v>
      </c>
      <c r="BL42" s="74">
        <f t="shared" si="69"/>
        <v>1254299.0560315535</v>
      </c>
      <c r="BM42" s="74">
        <f t="shared" si="69"/>
        <v>1435416.1016370375</v>
      </c>
      <c r="BN42" s="74">
        <f t="shared" si="69"/>
        <v>1426024.46402669</v>
      </c>
      <c r="BO42" s="74">
        <f t="shared" si="69"/>
        <v>1416444.9936641359</v>
      </c>
      <c r="BP42" s="74">
        <f t="shared" si="69"/>
        <v>1407221.7465049624</v>
      </c>
      <c r="BQ42" s="74">
        <f t="shared" si="69"/>
        <v>1398644.4175218034</v>
      </c>
      <c r="BR42" s="74" t="str">
        <f t="shared" ref="BR42:BV42" si="70">IF(BR8&gt;_xlfn.SINGLE(Analysis_Period),"",BR26)</f>
        <v/>
      </c>
      <c r="BS42" s="74" t="str">
        <f t="shared" si="70"/>
        <v/>
      </c>
      <c r="BT42" s="74" t="str">
        <f t="shared" si="70"/>
        <v/>
      </c>
      <c r="BU42" s="74" t="str">
        <f t="shared" si="70"/>
        <v/>
      </c>
      <c r="BV42" s="74" t="str">
        <f t="shared" si="70"/>
        <v/>
      </c>
      <c r="BW42" s="165"/>
      <c r="BZ42" s="424"/>
      <c r="CA42" s="55" t="s">
        <v>1</v>
      </c>
      <c r="CB42" s="55" t="s">
        <v>1</v>
      </c>
      <c r="CC42" s="55" t="s">
        <v>1</v>
      </c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176"/>
      <c r="CP42" s="176"/>
      <c r="CQ42" s="176"/>
      <c r="CR42" s="176"/>
      <c r="CS42" s="176"/>
    </row>
    <row r="43" spans="2:97">
      <c r="B43" s="150"/>
      <c r="C43" s="124"/>
      <c r="D43" s="124"/>
      <c r="E43" s="129"/>
      <c r="Z43" s="452" t="s">
        <v>289</v>
      </c>
      <c r="AA43" s="452" t="s">
        <v>1</v>
      </c>
      <c r="AB43" s="454">
        <f>D138</f>
        <v>0</v>
      </c>
      <c r="AG43" s="58"/>
      <c r="AH43" s="92" t="s">
        <v>290</v>
      </c>
      <c r="AI43" s="61"/>
      <c r="AJ43" s="410" t="s">
        <v>291</v>
      </c>
      <c r="AK43" s="130">
        <f>AK10/$D$17</f>
        <v>27.421005599999997</v>
      </c>
      <c r="AL43" s="130">
        <f>AL10/$D$17</f>
        <v>27.421005599999997</v>
      </c>
      <c r="AM43" s="130">
        <f>AM10/$D$17</f>
        <v>27.421005599999997</v>
      </c>
      <c r="AN43" s="131"/>
      <c r="AO43" s="132"/>
      <c r="AP43" s="131">
        <f t="shared" ref="AP43:AZ43" si="71">AP10/$D$17</f>
        <v>27.421005599999997</v>
      </c>
      <c r="AQ43" s="131">
        <f t="shared" si="71"/>
        <v>27.421005599999997</v>
      </c>
      <c r="AR43" s="131">
        <f t="shared" si="71"/>
        <v>27.421005599999997</v>
      </c>
      <c r="AS43" s="131">
        <f t="shared" si="71"/>
        <v>27.421005599999997</v>
      </c>
      <c r="AT43" s="131">
        <f t="shared" si="71"/>
        <v>27.421005599999997</v>
      </c>
      <c r="AU43" s="131">
        <f t="shared" si="71"/>
        <v>30.163106159999998</v>
      </c>
      <c r="AV43" s="131">
        <f t="shared" si="71"/>
        <v>30.163106159999998</v>
      </c>
      <c r="AW43" s="131">
        <f t="shared" si="71"/>
        <v>30.163106159999998</v>
      </c>
      <c r="AX43" s="131">
        <f t="shared" si="71"/>
        <v>30.163106159999998</v>
      </c>
      <c r="AY43" s="131">
        <f t="shared" si="71"/>
        <v>30.163106159999998</v>
      </c>
      <c r="AZ43" s="131">
        <f t="shared" si="71"/>
        <v>33.179416776000004</v>
      </c>
      <c r="BA43" s="393"/>
      <c r="BB43" s="131"/>
      <c r="BC43" s="131"/>
      <c r="BD43" s="302"/>
      <c r="BE43" s="92" t="s">
        <v>292</v>
      </c>
      <c r="BF43" s="292"/>
      <c r="BG43" s="84">
        <f t="shared" ref="BG43:BQ43" si="72">(BG8&lt;=$D$10)*(BG8=$D$10)*BG35</f>
        <v>0</v>
      </c>
      <c r="BH43" s="84">
        <f t="shared" si="72"/>
        <v>0</v>
      </c>
      <c r="BI43" s="84">
        <f t="shared" si="72"/>
        <v>0</v>
      </c>
      <c r="BJ43" s="84">
        <f t="shared" si="72"/>
        <v>0</v>
      </c>
      <c r="BK43" s="84">
        <f t="shared" si="72"/>
        <v>0</v>
      </c>
      <c r="BL43" s="84">
        <f t="shared" si="72"/>
        <v>0</v>
      </c>
      <c r="BM43" s="84">
        <f t="shared" si="72"/>
        <v>0</v>
      </c>
      <c r="BN43" s="84">
        <f t="shared" si="72"/>
        <v>0</v>
      </c>
      <c r="BO43" s="84">
        <f t="shared" si="72"/>
        <v>0</v>
      </c>
      <c r="BP43" s="84">
        <f t="shared" si="72"/>
        <v>0</v>
      </c>
      <c r="BQ43" s="84">
        <f t="shared" si="72"/>
        <v>20143184.130972862</v>
      </c>
      <c r="BR43" s="84" t="str">
        <f t="shared" ref="BR43:BV43" si="73">IF(BR8&gt;_xlfn.SINGLE(Analysis_Period),"",(BR8=_xlfn.SINGLE(Analysis_Period))*BR35)</f>
        <v/>
      </c>
      <c r="BS43" s="84" t="str">
        <f t="shared" si="73"/>
        <v/>
      </c>
      <c r="BT43" s="84" t="str">
        <f t="shared" si="73"/>
        <v/>
      </c>
      <c r="BU43" s="84" t="str">
        <f t="shared" si="73"/>
        <v/>
      </c>
      <c r="BV43" s="84" t="str">
        <f t="shared" si="73"/>
        <v/>
      </c>
      <c r="BW43" s="165"/>
      <c r="BZ43" s="423" t="s">
        <v>80</v>
      </c>
      <c r="CA43" s="55" t="s">
        <v>1</v>
      </c>
      <c r="CB43" s="55" t="s">
        <v>1</v>
      </c>
      <c r="CC43" s="434"/>
      <c r="CD43" s="419">
        <f t="shared" ref="CD43:CN43" si="74">CD39-CD40-CD41</f>
        <v>-9477435.9429999981</v>
      </c>
      <c r="CE43" s="419">
        <f t="shared" si="74"/>
        <v>428121.88037777285</v>
      </c>
      <c r="CF43" s="419">
        <f t="shared" si="74"/>
        <v>419754.48367777292</v>
      </c>
      <c r="CG43" s="419">
        <f t="shared" si="74"/>
        <v>161925.36311877298</v>
      </c>
      <c r="CH43" s="419">
        <f t="shared" si="74"/>
        <v>-1095331.8301948975</v>
      </c>
      <c r="CI43" s="419">
        <f t="shared" si="74"/>
        <v>395878.27196932642</v>
      </c>
      <c r="CJ43" s="419">
        <f t="shared" si="74"/>
        <v>576995.31757481035</v>
      </c>
      <c r="CK43" s="419">
        <f t="shared" si="74"/>
        <v>567603.67996446288</v>
      </c>
      <c r="CL43" s="419">
        <f t="shared" si="74"/>
        <v>558024.20960190881</v>
      </c>
      <c r="CM43" s="419">
        <f t="shared" si="74"/>
        <v>548800.96244273533</v>
      </c>
      <c r="CN43" s="419">
        <f t="shared" si="74"/>
        <v>8348919.1576557541</v>
      </c>
      <c r="CO43" s="178"/>
      <c r="CP43" s="178" t="s">
        <v>61</v>
      </c>
      <c r="CQ43" s="178" t="s">
        <v>61</v>
      </c>
      <c r="CR43" s="178" t="s">
        <v>61</v>
      </c>
      <c r="CS43" s="178" t="s">
        <v>61</v>
      </c>
    </row>
    <row r="44" spans="2:97">
      <c r="B44" s="110" t="s">
        <v>190</v>
      </c>
      <c r="C44" s="124">
        <v>-24131.084275599998</v>
      </c>
      <c r="D44" s="124">
        <v>-24561.7</v>
      </c>
      <c r="E44" s="125">
        <v>0</v>
      </c>
      <c r="Z44" s="452" t="s">
        <v>27</v>
      </c>
      <c r="AA44" s="452" t="s">
        <v>1</v>
      </c>
      <c r="AB44" s="455">
        <f>D125</f>
        <v>0</v>
      </c>
      <c r="AG44" s="58"/>
      <c r="AH44" s="92" t="s">
        <v>293</v>
      </c>
      <c r="AI44" s="61"/>
      <c r="AJ44" s="410" t="s">
        <v>294</v>
      </c>
      <c r="AK44" s="130">
        <f>AK30/$D$17</f>
        <v>13.132268365669338</v>
      </c>
      <c r="AL44" s="130">
        <f>AL30/$D$17</f>
        <v>13.351213658000001</v>
      </c>
      <c r="AM44" s="130">
        <f>AM30/$D$17</f>
        <v>13.594871751199999</v>
      </c>
      <c r="AN44" s="56"/>
      <c r="AO44" s="57"/>
      <c r="AP44" s="131">
        <f t="shared" ref="AP44:AZ44" si="75">AP30/$D$17</f>
        <v>13.594871751199999</v>
      </c>
      <c r="AQ44" s="131">
        <f t="shared" si="75"/>
        <v>13.8456774852</v>
      </c>
      <c r="AR44" s="131">
        <f t="shared" si="75"/>
        <v>14.10193580238</v>
      </c>
      <c r="AS44" s="131">
        <f t="shared" si="75"/>
        <v>14.363769910433399</v>
      </c>
      <c r="AT44" s="131">
        <f t="shared" si="75"/>
        <v>14.629982415706117</v>
      </c>
      <c r="AU44" s="131">
        <f t="shared" si="75"/>
        <v>15.019096124526332</v>
      </c>
      <c r="AV44" s="131">
        <f t="shared" si="75"/>
        <v>15.295911061670619</v>
      </c>
      <c r="AW44" s="131">
        <f t="shared" si="75"/>
        <v>15.578262297557792</v>
      </c>
      <c r="AX44" s="131">
        <f t="shared" si="75"/>
        <v>15.866599411323927</v>
      </c>
      <c r="AY44" s="131">
        <f t="shared" si="75"/>
        <v>16.161216906408182</v>
      </c>
      <c r="AZ44" s="131">
        <f t="shared" si="75"/>
        <v>16.58983318412033</v>
      </c>
      <c r="BA44" s="393"/>
      <c r="BB44" s="131"/>
      <c r="BC44" s="131"/>
      <c r="BD44" s="302"/>
      <c r="BE44" s="103" t="s">
        <v>295</v>
      </c>
      <c r="BF44" s="292"/>
      <c r="BG44" s="74">
        <f t="shared" ref="BG44:BQ44" si="76">-BG41+BG42+BG43</f>
        <v>-25248631.239999998</v>
      </c>
      <c r="BH44" s="74">
        <f t="shared" si="76"/>
        <v>1286542.66444</v>
      </c>
      <c r="BI44" s="74">
        <f t="shared" si="76"/>
        <v>1278175.26774</v>
      </c>
      <c r="BJ44" s="74">
        <f t="shared" si="76"/>
        <v>1020346.1471810001</v>
      </c>
      <c r="BK44" s="74">
        <f t="shared" si="76"/>
        <v>-236911.04613267025</v>
      </c>
      <c r="BL44" s="74">
        <f t="shared" si="76"/>
        <v>1254299.0560315535</v>
      </c>
      <c r="BM44" s="74">
        <f t="shared" si="76"/>
        <v>1435416.1016370375</v>
      </c>
      <c r="BN44" s="74">
        <f t="shared" si="76"/>
        <v>1426024.46402669</v>
      </c>
      <c r="BO44" s="74">
        <f t="shared" si="76"/>
        <v>1416444.9936641359</v>
      </c>
      <c r="BP44" s="74">
        <f t="shared" si="76"/>
        <v>1407221.7465049624</v>
      </c>
      <c r="BQ44" s="74">
        <f t="shared" si="76"/>
        <v>21541828.548494667</v>
      </c>
      <c r="BR44" s="74" t="str">
        <f t="shared" ref="BR44:BV44" si="77">IF(BR8&gt;_xlfn.SINGLE(Analysis_Period),"",-BR41+BR42+BR43)</f>
        <v/>
      </c>
      <c r="BS44" s="74" t="str">
        <f t="shared" si="77"/>
        <v/>
      </c>
      <c r="BT44" s="74" t="str">
        <f t="shared" si="77"/>
        <v/>
      </c>
      <c r="BU44" s="74" t="str">
        <f t="shared" si="77"/>
        <v/>
      </c>
      <c r="BV44" s="74" t="str">
        <f t="shared" si="77"/>
        <v/>
      </c>
      <c r="BW44" s="165"/>
      <c r="BZ44" s="253" t="s">
        <v>81</v>
      </c>
      <c r="CA44" s="55" t="s">
        <v>1</v>
      </c>
      <c r="CB44" s="55" t="s">
        <v>1</v>
      </c>
      <c r="CC44" s="55" t="s">
        <v>1</v>
      </c>
      <c r="CD44" s="177">
        <f>IRR(CD43:CS43)</f>
        <v>1.5596057063290925E-2</v>
      </c>
      <c r="CP44" s="55" t="s">
        <v>1</v>
      </c>
      <c r="CQ44" s="55" t="s">
        <v>1</v>
      </c>
      <c r="CR44" s="55" t="s">
        <v>1</v>
      </c>
      <c r="CS44" s="55" t="s">
        <v>1</v>
      </c>
    </row>
    <row r="45" spans="2:97" ht="15.75">
      <c r="B45" s="447"/>
      <c r="C45" s="448"/>
      <c r="D45" s="448"/>
      <c r="E45" s="448"/>
      <c r="Z45" s="450" t="s">
        <v>281</v>
      </c>
      <c r="AA45" s="452"/>
      <c r="AB45" s="451" t="s">
        <v>297</v>
      </c>
      <c r="AG45" s="58"/>
      <c r="AH45" s="92" t="s">
        <v>298</v>
      </c>
      <c r="AI45" s="61"/>
      <c r="AJ45" s="411"/>
      <c r="AK45" s="133">
        <f>AK12/AK30</f>
        <v>1.005157649268555</v>
      </c>
      <c r="AL45" s="133">
        <f>AL12/AL30</f>
        <v>1.0036540754458503</v>
      </c>
      <c r="AM45" s="133">
        <f>AM12/AM30</f>
        <v>1.0077329342066592</v>
      </c>
      <c r="AN45" s="56"/>
      <c r="AO45" s="57"/>
      <c r="AP45" s="134">
        <f>AP12/AP30</f>
        <v>1.0077329342066592</v>
      </c>
      <c r="AQ45" s="134">
        <f t="shared" ref="AQ45:AZ45" si="78">AQ12/AQ30</f>
        <v>0.98947848631056745</v>
      </c>
      <c r="AR45" s="134">
        <f t="shared" si="78"/>
        <v>0.97149782781508864</v>
      </c>
      <c r="AS45" s="134">
        <f t="shared" si="78"/>
        <v>0.95378860044595548</v>
      </c>
      <c r="AT45" s="134">
        <f t="shared" si="78"/>
        <v>0.93643311459433276</v>
      </c>
      <c r="AU45" s="134">
        <f t="shared" si="78"/>
        <v>1.0033892768946691</v>
      </c>
      <c r="AV45" s="134">
        <f t="shared" si="78"/>
        <v>0.98523062400403738</v>
      </c>
      <c r="AW45" s="134">
        <f t="shared" si="78"/>
        <v>0.96737362050724551</v>
      </c>
      <c r="AX45" s="134">
        <f t="shared" si="78"/>
        <v>0.94979394193595157</v>
      </c>
      <c r="AY45" s="134">
        <f t="shared" si="78"/>
        <v>0.93247928588994455</v>
      </c>
      <c r="AZ45" s="134">
        <f t="shared" si="78"/>
        <v>0.99922644284738149</v>
      </c>
      <c r="BA45" s="394"/>
      <c r="BB45" s="134"/>
      <c r="BC45" s="134"/>
      <c r="BD45" s="303"/>
      <c r="BE45" s="103"/>
      <c r="BF45" s="292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165"/>
      <c r="BZ45" s="253" t="s">
        <v>27</v>
      </c>
      <c r="CA45" s="55" t="s">
        <v>1</v>
      </c>
      <c r="CB45" s="55" t="s">
        <v>1</v>
      </c>
      <c r="CC45" s="55" t="s">
        <v>1</v>
      </c>
      <c r="CD45" s="420">
        <f>SUMIF(CD43:CN43,"&gt;0")/-SUMIF(CD43:CN43,"&lt;0")</f>
        <v>1.135561054960665</v>
      </c>
      <c r="CE45" s="420"/>
      <c r="CH45" s="420"/>
      <c r="CJ45" s="420"/>
      <c r="CP45" s="55" t="s">
        <v>1</v>
      </c>
      <c r="CQ45" s="55" t="s">
        <v>1</v>
      </c>
      <c r="CR45" s="55" t="s">
        <v>1</v>
      </c>
      <c r="CS45" s="55" t="s">
        <v>1</v>
      </c>
    </row>
    <row r="46" spans="2:97">
      <c r="B46" s="110" t="s">
        <v>200</v>
      </c>
      <c r="C46" s="126">
        <v>0</v>
      </c>
      <c r="D46" s="126">
        <v>0</v>
      </c>
      <c r="E46" s="127">
        <v>0</v>
      </c>
      <c r="Z46" s="452" t="s">
        <v>4</v>
      </c>
      <c r="AA46" s="452"/>
      <c r="AB46" s="453">
        <f>F134</f>
        <v>0</v>
      </c>
      <c r="AG46" s="58"/>
      <c r="AH46" s="92" t="s">
        <v>299</v>
      </c>
      <c r="AI46" s="61"/>
      <c r="AJ46" s="411"/>
      <c r="AK46" s="133">
        <f>AK30/AK19</f>
        <v>0.33870668648077207</v>
      </c>
      <c r="AL46" s="133">
        <f>AL30/AL19</f>
        <v>0.34277468895996432</v>
      </c>
      <c r="AM46" s="133">
        <f t="shared" ref="AM46" si="79">AM30/AM19</f>
        <v>0.3413590521590163</v>
      </c>
      <c r="AN46" s="56"/>
      <c r="AO46" s="57"/>
      <c r="AP46" s="134">
        <f>AP30/AP19</f>
        <v>0.3413590521590163</v>
      </c>
      <c r="AQ46" s="134">
        <f>AQ30/AQ19</f>
        <v>0.34684270819607788</v>
      </c>
      <c r="AR46" s="134">
        <f t="shared" ref="AR46:AZ46" si="80">AR30/AR19</f>
        <v>0.35229246562759037</v>
      </c>
      <c r="AS46" s="134">
        <f t="shared" si="80"/>
        <v>0.35769785802948978</v>
      </c>
      <c r="AT46" s="134">
        <f t="shared" si="80"/>
        <v>0.36341299999488713</v>
      </c>
      <c r="AU46" s="134">
        <f t="shared" si="80"/>
        <v>0.33918879347992203</v>
      </c>
      <c r="AV46" s="134">
        <f t="shared" si="80"/>
        <v>0.3446617789755968</v>
      </c>
      <c r="AW46" s="134">
        <f t="shared" si="80"/>
        <v>0.35021886727807361</v>
      </c>
      <c r="AX46" s="134">
        <f t="shared" si="80"/>
        <v>0.35577836593994477</v>
      </c>
      <c r="AY46" s="134">
        <f t="shared" si="80"/>
        <v>0.36129264960268764</v>
      </c>
      <c r="AZ46" s="134">
        <f t="shared" si="80"/>
        <v>0.33760791393946832</v>
      </c>
      <c r="BA46" s="394"/>
      <c r="BB46" s="134"/>
      <c r="BC46" s="134"/>
      <c r="BD46" s="303"/>
      <c r="BE46" s="103" t="s">
        <v>300</v>
      </c>
      <c r="BF46" s="292"/>
      <c r="BG46" s="108"/>
      <c r="BH46" s="108">
        <f>BH26/SUM($BG$15:BH15)</f>
        <v>5.095494691220339E-2</v>
      </c>
      <c r="BI46" s="108">
        <f>BI26/SUM($BG$15:BI15)</f>
        <v>5.0623546900041783E-2</v>
      </c>
      <c r="BJ46" s="108">
        <f>BJ26/SUM($BG$15:BJ15)</f>
        <v>4.0411939066404619E-2</v>
      </c>
      <c r="BK46" s="108">
        <f>BK26/SUM($BG$15:BK15)</f>
        <v>-9.3831243317992336E-3</v>
      </c>
      <c r="BL46" s="108">
        <f>BL26/SUM($BG$15:BL15)</f>
        <v>4.9677903095374037E-2</v>
      </c>
      <c r="BM46" s="108">
        <f>BM26/SUM($BG$15:BM15)</f>
        <v>5.6851244251331444E-2</v>
      </c>
      <c r="BN46" s="108">
        <f>BN26/SUM($BG$15:BN15)</f>
        <v>5.6479278043695257E-2</v>
      </c>
      <c r="BO46" s="108">
        <f>BO26/SUM($BG$15:BO15)</f>
        <v>5.6099872511906353E-2</v>
      </c>
      <c r="BP46" s="108">
        <f>BP26/SUM($BG$15:BP15)</f>
        <v>5.5734575594560527E-2</v>
      </c>
      <c r="BQ46" s="108">
        <f>BQ26/SUM($BG$15:BQ15)</f>
        <v>5.5394860981850334E-2</v>
      </c>
      <c r="BR46" s="108" t="str">
        <f>IF(BS8="","",BR26/SUM($AX$14:BR15))</f>
        <v/>
      </c>
      <c r="BS46" s="108" t="str">
        <f>IF(BT8="","",BS26/SUM($AX$14:BS15))</f>
        <v/>
      </c>
      <c r="BT46" s="108" t="str">
        <f>IF(BU8="","",BT26/SUM($AX$14:BT15))</f>
        <v/>
      </c>
      <c r="BU46" s="108" t="str">
        <f>IF(BV8="","",BU26/SUM($AX$14:BU15))</f>
        <v/>
      </c>
      <c r="BV46" s="108" t="str">
        <f>IF(BW8="","",BV26/SUM($AX$14:BV15))</f>
        <v/>
      </c>
      <c r="BW46" s="165"/>
      <c r="BZ46" s="253" t="s">
        <v>1</v>
      </c>
      <c r="CA46" s="55" t="s">
        <v>1</v>
      </c>
      <c r="CB46" s="55" t="s">
        <v>1</v>
      </c>
      <c r="CC46" s="55" t="s">
        <v>1</v>
      </c>
      <c r="CD46" s="421"/>
      <c r="CN46" s="421"/>
      <c r="CO46" s="55" t="s">
        <v>1</v>
      </c>
      <c r="CP46" s="55" t="s">
        <v>1</v>
      </c>
      <c r="CQ46" s="55" t="s">
        <v>1</v>
      </c>
      <c r="CR46" s="55" t="s">
        <v>1</v>
      </c>
      <c r="CS46" s="55" t="s">
        <v>1</v>
      </c>
    </row>
    <row r="47" spans="2:97" ht="15.75">
      <c r="B47" s="263"/>
      <c r="C47" s="270"/>
      <c r="D47" s="270"/>
      <c r="E47" s="270"/>
      <c r="Z47" s="452" t="s">
        <v>286</v>
      </c>
      <c r="AA47" s="452"/>
      <c r="AB47" s="454">
        <f>F135</f>
        <v>0</v>
      </c>
      <c r="AG47" s="58"/>
      <c r="AH47" s="92" t="s">
        <v>302</v>
      </c>
      <c r="AI47" s="61"/>
      <c r="AJ47" s="412"/>
      <c r="AK47" s="135">
        <f>AK38/AK32</f>
        <v>1.8823341506355448E-2</v>
      </c>
      <c r="AL47" s="135">
        <f t="shared" ref="AL47:AM47" si="81">AL38/AL32</f>
        <v>1.9189432755541819E-2</v>
      </c>
      <c r="AM47" s="135">
        <f t="shared" si="81"/>
        <v>1.9061522493951391E-2</v>
      </c>
      <c r="AN47" s="56"/>
      <c r="AO47" s="57"/>
      <c r="AP47" s="136">
        <f>AP38/AP32</f>
        <v>1.9061522493951391E-2</v>
      </c>
      <c r="AQ47" s="136">
        <f>AQ38/AQ32</f>
        <v>1.9560085729175329E-2</v>
      </c>
      <c r="AR47" s="136">
        <f t="shared" ref="AR47:AZ47" si="82">AR38/AR32</f>
        <v>0.21291216969981544</v>
      </c>
      <c r="AS47" s="136">
        <f t="shared" si="82"/>
        <v>1.1837062092496204</v>
      </c>
      <c r="AT47" s="136">
        <f t="shared" si="82"/>
        <v>2.1118816691615132E-2</v>
      </c>
      <c r="AU47" s="136">
        <f t="shared" si="82"/>
        <v>1.8866492267098873E-2</v>
      </c>
      <c r="AV47" s="136">
        <f t="shared" si="82"/>
        <v>1.9360800621863055E-2</v>
      </c>
      <c r="AW47" s="136">
        <f t="shared" si="82"/>
        <v>1.9871224818778139E-2</v>
      </c>
      <c r="AX47" s="136">
        <f t="shared" si="82"/>
        <v>2.0390682029467876E-2</v>
      </c>
      <c r="AY47" s="136">
        <f t="shared" si="82"/>
        <v>2.0914847532085584E-2</v>
      </c>
      <c r="AZ47" s="136">
        <f t="shared" si="82"/>
        <v>1.8725231098245962E-2</v>
      </c>
      <c r="BA47" s="395"/>
      <c r="BB47" s="136"/>
      <c r="BC47" s="136"/>
      <c r="BD47" s="304"/>
      <c r="BE47" s="92" t="s">
        <v>205</v>
      </c>
      <c r="BF47" s="292"/>
      <c r="BG47" s="108"/>
      <c r="BH47" s="108">
        <f>AVERAGE(BH46)</f>
        <v>5.095494691220339E-2</v>
      </c>
      <c r="BI47" s="108">
        <f>AVERAGE(BH46:BI46)</f>
        <v>5.078924690612259E-2</v>
      </c>
      <c r="BJ47" s="108">
        <f>AVERAGE(BH46:BJ46)</f>
        <v>4.7330144292883264E-2</v>
      </c>
      <c r="BK47" s="108">
        <f>AVERAGE(BH46:BK46)</f>
        <v>3.3151827136712636E-2</v>
      </c>
      <c r="BL47" s="108">
        <f>AVERAGE(BH46:BL46)</f>
        <v>3.6457042328444919E-2</v>
      </c>
      <c r="BM47" s="108">
        <f>AVERAGE(BH46:BM46)</f>
        <v>3.9856075982259341E-2</v>
      </c>
      <c r="BN47" s="108">
        <f>AVERAGE(BH46:BN46)</f>
        <v>4.2230819133893038E-2</v>
      </c>
      <c r="BO47" s="108">
        <f>AVERAGE(BH46:BO46)</f>
        <v>4.3964450806144702E-2</v>
      </c>
      <c r="BP47" s="108">
        <f>AVERAGE(BH46:BP46)</f>
        <v>4.5272242449302016E-2</v>
      </c>
      <c r="BQ47" s="108">
        <f>AVERAGE(BH46:BQ46)</f>
        <v>4.6284504302556845E-2</v>
      </c>
      <c r="BR47" s="108" t="str">
        <f>IF(BS8="","",IF(BR46="","",AVERAGE($AY$45:BR46)))</f>
        <v/>
      </c>
      <c r="BS47" s="108" t="str">
        <f>IF(BT8="","",IF(BS46="","",AVERAGE($AY$45:BS46)))</f>
        <v/>
      </c>
      <c r="BT47" s="108" t="str">
        <f>IF(BU8="","",IF(BT46="","",AVERAGE($AY$45:BT46)))</f>
        <v/>
      </c>
      <c r="BU47" s="108" t="str">
        <f>IF(BV8="","",IF(BU46="","",AVERAGE($AY$45:BU46)))</f>
        <v/>
      </c>
      <c r="BV47" s="108" t="str">
        <f>IF(BW8="","",IF(BV46="","",AVERAGE($AY$45:BV46)))</f>
        <v/>
      </c>
      <c r="BW47" s="165"/>
      <c r="BZ47" s="239" t="s">
        <v>303</v>
      </c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40"/>
      <c r="CR47" s="240"/>
      <c r="CS47" s="240"/>
    </row>
    <row r="48" spans="2:97">
      <c r="B48" s="110" t="s">
        <v>214</v>
      </c>
      <c r="C48" s="125">
        <v>14478.65056536</v>
      </c>
      <c r="D48" s="125">
        <v>14737.02</v>
      </c>
      <c r="E48" s="125">
        <v>15000</v>
      </c>
      <c r="Z48" s="452" t="s">
        <v>287</v>
      </c>
      <c r="AA48" s="452"/>
      <c r="AB48" s="454">
        <f>F136</f>
        <v>0</v>
      </c>
      <c r="AG48" s="58"/>
      <c r="AH48" s="92" t="s">
        <v>304</v>
      </c>
      <c r="AI48" s="61"/>
      <c r="AJ48" s="412"/>
      <c r="AK48" s="135">
        <f>AK29/$BH$33</f>
        <v>1.195959453589941E-2</v>
      </c>
      <c r="AL48" s="135">
        <f>AL29/$BH$33</f>
        <v>1.2173011778398295E-2</v>
      </c>
      <c r="AM48" s="135">
        <f>AM29/$BH$33</f>
        <v>1.2390237420860827E-2</v>
      </c>
      <c r="AN48" s="56"/>
      <c r="AO48" s="57"/>
      <c r="AP48" s="136">
        <f t="shared" ref="AP48:AY48" si="83">AP29/BH33</f>
        <v>1.2390237420860827E-2</v>
      </c>
      <c r="AQ48" s="136">
        <f t="shared" si="83"/>
        <v>1.2812112389732894E-2</v>
      </c>
      <c r="AR48" s="136">
        <f t="shared" si="83"/>
        <v>1.3242459157022931E-2</v>
      </c>
      <c r="AS48" s="136">
        <f t="shared" si="83"/>
        <v>1.3680733415560784E-2</v>
      </c>
      <c r="AT48" s="136">
        <f t="shared" si="83"/>
        <v>1.4149890175525804E-2</v>
      </c>
      <c r="AU48" s="136">
        <f t="shared" si="83"/>
        <v>1.2735136977937345E-2</v>
      </c>
      <c r="AV48" s="136">
        <f t="shared" si="83"/>
        <v>1.3165607729755335E-2</v>
      </c>
      <c r="AW48" s="136">
        <f t="shared" si="83"/>
        <v>1.3612061236643044E-2</v>
      </c>
      <c r="AX48" s="136">
        <f t="shared" si="83"/>
        <v>1.4069851991744842E-2</v>
      </c>
      <c r="AY48" s="136">
        <f t="shared" si="83"/>
        <v>1.4536109751180177E-2</v>
      </c>
      <c r="AZ48" s="136">
        <f>IFERROR(AZ29/BR33,AY48)</f>
        <v>1.4536109751180177E-2</v>
      </c>
      <c r="BA48" s="395"/>
      <c r="BB48" s="136"/>
      <c r="BC48" s="136"/>
      <c r="BD48" s="304"/>
      <c r="BE48" s="103" t="s">
        <v>193</v>
      </c>
      <c r="BF48" s="291"/>
      <c r="BG48" s="108">
        <f>IRR(BG44:BV44)</f>
        <v>2.8002774795947705E-2</v>
      </c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65"/>
      <c r="BZ48" s="241" t="s">
        <v>305</v>
      </c>
      <c r="CA48" s="432">
        <f>D124</f>
        <v>0</v>
      </c>
      <c r="CB48" s="240"/>
      <c r="CC48" s="240"/>
      <c r="CD48" s="344" t="str">
        <f t="shared" ref="CD48:CN48" si="84">CD37</f>
        <v>Year 0</v>
      </c>
      <c r="CE48" s="344" t="str">
        <f t="shared" si="84"/>
        <v>Year 1</v>
      </c>
      <c r="CF48" s="344" t="str">
        <f t="shared" si="84"/>
        <v>Year 2</v>
      </c>
      <c r="CG48" s="344" t="str">
        <f t="shared" si="84"/>
        <v>Year 3</v>
      </c>
      <c r="CH48" s="344" t="str">
        <f t="shared" si="84"/>
        <v>Year 4</v>
      </c>
      <c r="CI48" s="344" t="str">
        <f t="shared" si="84"/>
        <v>Year 5</v>
      </c>
      <c r="CJ48" s="344" t="str">
        <f t="shared" si="84"/>
        <v>Year 6</v>
      </c>
      <c r="CK48" s="344" t="str">
        <f t="shared" si="84"/>
        <v>Year 7</v>
      </c>
      <c r="CL48" s="344" t="str">
        <f t="shared" si="84"/>
        <v>Year 8</v>
      </c>
      <c r="CM48" s="344" t="str">
        <f t="shared" si="84"/>
        <v>Year 9</v>
      </c>
      <c r="CN48" s="344" t="str">
        <f t="shared" si="84"/>
        <v>Year 10</v>
      </c>
      <c r="CO48" s="200" t="s">
        <v>1</v>
      </c>
      <c r="CP48" s="242" t="str">
        <f>CP$21</f>
        <v> </v>
      </c>
      <c r="CQ48" s="242" t="str">
        <f>CQ$21</f>
        <v> </v>
      </c>
      <c r="CR48" s="242" t="str">
        <f>CR$21</f>
        <v> </v>
      </c>
      <c r="CS48" s="242" t="str">
        <f>CS$21</f>
        <v> </v>
      </c>
    </row>
    <row r="49" spans="2:93">
      <c r="B49" s="110" t="s">
        <v>218</v>
      </c>
      <c r="C49" s="125">
        <v>62740.81911656</v>
      </c>
      <c r="D49" s="125">
        <v>63860.42</v>
      </c>
      <c r="E49" s="125">
        <v>65000</v>
      </c>
      <c r="Z49" s="452" t="s">
        <v>289</v>
      </c>
      <c r="AA49" s="452"/>
      <c r="AB49" s="454">
        <f>F137</f>
        <v>0</v>
      </c>
      <c r="AG49" s="58"/>
      <c r="AH49" s="103"/>
      <c r="AI49" s="61"/>
      <c r="AJ49" s="405"/>
      <c r="AK49" s="137"/>
      <c r="AL49" s="137"/>
      <c r="AM49" s="137"/>
      <c r="AN49" s="138"/>
      <c r="AO49" s="56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388"/>
      <c r="BB49" s="73"/>
      <c r="BC49" s="73"/>
      <c r="BD49" s="295"/>
      <c r="BE49" s="103" t="s">
        <v>199</v>
      </c>
      <c r="BF49" s="292"/>
      <c r="BG49" s="139">
        <f>SUMIF(BG44:BV44,"&gt;0")/-SUMIF(BG44:BV44,"&lt;0")</f>
        <v>1.2582152904459929</v>
      </c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65"/>
      <c r="BZ49" s="253" t="s">
        <v>306</v>
      </c>
      <c r="CD49" s="235"/>
      <c r="CE49" s="235">
        <f>CD54</f>
        <v>0</v>
      </c>
      <c r="CF49" s="235">
        <f t="shared" ref="CF49:CO49" si="85">CE54</f>
        <v>0</v>
      </c>
      <c r="CG49" s="235">
        <f t="shared" si="85"/>
        <v>0</v>
      </c>
      <c r="CH49" s="235">
        <f t="shared" si="85"/>
        <v>0</v>
      </c>
      <c r="CI49" s="235">
        <f t="shared" si="85"/>
        <v>0</v>
      </c>
      <c r="CJ49" s="235">
        <f t="shared" si="85"/>
        <v>0</v>
      </c>
      <c r="CK49" s="235">
        <f t="shared" si="85"/>
        <v>0</v>
      </c>
      <c r="CL49" s="235">
        <f t="shared" si="85"/>
        <v>0</v>
      </c>
      <c r="CM49" s="235">
        <f t="shared" si="85"/>
        <v>0</v>
      </c>
      <c r="CN49" s="235">
        <f t="shared" si="85"/>
        <v>0</v>
      </c>
      <c r="CO49" s="235">
        <f t="shared" si="85"/>
        <v>0</v>
      </c>
    </row>
    <row r="50" spans="2:93">
      <c r="B50" s="110" t="s">
        <v>223</v>
      </c>
      <c r="C50" s="125">
        <v>72393.252826800002</v>
      </c>
      <c r="D50" s="125">
        <v>73685.100000000006</v>
      </c>
      <c r="E50" s="125">
        <v>75000</v>
      </c>
      <c r="Z50" s="452" t="s">
        <v>27</v>
      </c>
      <c r="AA50" s="452"/>
      <c r="AB50" s="455">
        <f>F138</f>
        <v>0</v>
      </c>
      <c r="AG50" s="58"/>
      <c r="AH50" s="265"/>
      <c r="AI50" s="61"/>
      <c r="AJ50" s="403"/>
      <c r="AK50" s="85"/>
      <c r="AL50" s="85"/>
      <c r="AM50" s="85"/>
      <c r="AN50" s="140"/>
      <c r="AO50" s="141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386"/>
      <c r="BB50" s="65"/>
      <c r="BC50" s="65"/>
      <c r="BD50" s="294"/>
      <c r="BE50" s="103"/>
      <c r="BF50" s="292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9"/>
      <c r="BT50" s="119"/>
      <c r="BU50" s="119"/>
      <c r="BV50" s="119"/>
      <c r="BW50" s="165"/>
      <c r="BZ50" s="253" t="s">
        <v>307</v>
      </c>
      <c r="CD50" s="55" t="b">
        <f>ROUND(SUM(CE52:CO52),0)=ROUND(SUM(CE50:CO50),0)</f>
        <v>1</v>
      </c>
      <c r="CE50" s="55">
        <f>CE51 - CE56</f>
        <v>0</v>
      </c>
      <c r="CF50" s="55">
        <f>CF51 - CF56</f>
        <v>0</v>
      </c>
      <c r="CG50" s="55">
        <f t="shared" ref="CG50:CO50" si="86">CG51 - CG56</f>
        <v>0</v>
      </c>
      <c r="CH50" s="55">
        <f t="shared" si="86"/>
        <v>0</v>
      </c>
      <c r="CI50" s="55">
        <f t="shared" si="86"/>
        <v>0</v>
      </c>
      <c r="CJ50" s="55">
        <f t="shared" si="86"/>
        <v>0</v>
      </c>
      <c r="CK50" s="55">
        <f t="shared" si="86"/>
        <v>0</v>
      </c>
      <c r="CL50" s="55">
        <f t="shared" si="86"/>
        <v>0</v>
      </c>
      <c r="CM50" s="55">
        <f t="shared" si="86"/>
        <v>0</v>
      </c>
      <c r="CN50" s="55">
        <f t="shared" si="86"/>
        <v>0</v>
      </c>
      <c r="CO50" s="55">
        <f t="shared" si="86"/>
        <v>0</v>
      </c>
    </row>
    <row r="51" spans="2:93">
      <c r="B51" s="110" t="s">
        <v>225</v>
      </c>
      <c r="C51" s="125">
        <v>91698.120247280007</v>
      </c>
      <c r="D51" s="125">
        <v>93334.46</v>
      </c>
      <c r="E51" s="125">
        <v>95000</v>
      </c>
      <c r="Z51" s="253"/>
      <c r="AA51" s="253"/>
      <c r="AB51" s="253"/>
      <c r="AG51" s="58"/>
      <c r="AH51" s="143"/>
      <c r="AI51" s="61"/>
      <c r="AJ51" s="413"/>
      <c r="AK51" s="603"/>
      <c r="AL51" s="603"/>
      <c r="AM51" s="85"/>
      <c r="AN51" s="140"/>
      <c r="AO51" s="141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396"/>
      <c r="BB51" s="145"/>
      <c r="BC51" s="145"/>
      <c r="BD51" s="305"/>
      <c r="BE51" s="106" t="s">
        <v>308</v>
      </c>
      <c r="BF51" s="292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9"/>
      <c r="BT51" s="119"/>
      <c r="BU51" s="119"/>
      <c r="BV51" s="119"/>
      <c r="BW51" s="165"/>
      <c r="BZ51" s="253" t="s">
        <v>309</v>
      </c>
      <c r="CE51" s="435">
        <f>($CA$48="Equity Multiple")*(CD52*$C$111 - CD52) + ($CA$48&lt;&gt;"Equity Multiple")*(G113*$C$111)</f>
        <v>0</v>
      </c>
    </row>
    <row r="52" spans="2:93">
      <c r="B52" s="110" t="s">
        <v>231</v>
      </c>
      <c r="C52" s="125">
        <v>82045.686537040005</v>
      </c>
      <c r="D52" s="125">
        <v>83509.78</v>
      </c>
      <c r="E52" s="125">
        <v>85000</v>
      </c>
      <c r="Z52" s="260"/>
      <c r="AA52" s="266"/>
      <c r="AB52" s="266"/>
      <c r="AC52" s="198"/>
      <c r="AG52" s="58"/>
      <c r="AH52" s="143"/>
      <c r="AI52" s="61"/>
      <c r="AJ52" s="413"/>
      <c r="AK52" s="85"/>
      <c r="AL52" s="85"/>
      <c r="AM52" s="85"/>
      <c r="AN52" s="140"/>
      <c r="AO52" s="141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396"/>
      <c r="BB52" s="145"/>
      <c r="BC52" s="145"/>
      <c r="BD52" s="305"/>
      <c r="BE52" s="92" t="s">
        <v>163</v>
      </c>
      <c r="BF52" s="292"/>
      <c r="BG52" s="74">
        <f t="shared" ref="BG52:BQ52" si="87">BG15-BG19</f>
        <v>9477435.9429999981</v>
      </c>
      <c r="BH52" s="74">
        <f t="shared" si="87"/>
        <v>0</v>
      </c>
      <c r="BI52" s="74">
        <f t="shared" si="87"/>
        <v>0</v>
      </c>
      <c r="BJ52" s="74">
        <f t="shared" si="87"/>
        <v>0</v>
      </c>
      <c r="BK52" s="74">
        <f t="shared" si="87"/>
        <v>0</v>
      </c>
      <c r="BL52" s="74">
        <f t="shared" si="87"/>
        <v>0</v>
      </c>
      <c r="BM52" s="74">
        <f t="shared" si="87"/>
        <v>0</v>
      </c>
      <c r="BN52" s="74">
        <f t="shared" si="87"/>
        <v>0</v>
      </c>
      <c r="BO52" s="74">
        <f t="shared" si="87"/>
        <v>0</v>
      </c>
      <c r="BP52" s="74">
        <f t="shared" si="87"/>
        <v>0</v>
      </c>
      <c r="BQ52" s="74">
        <f t="shared" si="87"/>
        <v>0</v>
      </c>
      <c r="BR52" s="74"/>
      <c r="BS52" s="74" t="str">
        <f t="shared" ref="BS52:BV52" si="88">IF(BS8&gt;_xlfn.SINGLE(Analysis_Period),"",BS15-BS19)</f>
        <v/>
      </c>
      <c r="BT52" s="74" t="str">
        <f t="shared" si="88"/>
        <v/>
      </c>
      <c r="BU52" s="74" t="str">
        <f t="shared" si="88"/>
        <v/>
      </c>
      <c r="BV52" s="74" t="str">
        <f t="shared" si="88"/>
        <v/>
      </c>
      <c r="BW52" s="165"/>
      <c r="BZ52" s="253" t="s">
        <v>311</v>
      </c>
      <c r="CD52" s="435">
        <f>(CD48&lt;&gt;"") * -MIN(0, CD43 * $C$118)</f>
        <v>189548.71885999996</v>
      </c>
    </row>
    <row r="53" spans="2:93">
      <c r="B53" s="110" t="s">
        <v>236</v>
      </c>
      <c r="C53" s="146">
        <v>63313.344471731994</v>
      </c>
      <c r="D53" s="146">
        <v>65255.25299999999</v>
      </c>
      <c r="E53" s="124">
        <v>68445</v>
      </c>
      <c r="Z53" s="260" t="s">
        <v>312</v>
      </c>
      <c r="AA53" s="260"/>
      <c r="AB53" s="147" t="str">
        <f>"/"&amp;D9</f>
        <v>/SF</v>
      </c>
      <c r="AC53" s="198"/>
      <c r="AG53" s="58"/>
      <c r="AH53" s="143"/>
      <c r="AI53" s="61"/>
      <c r="AJ53" s="413"/>
      <c r="AK53" s="85"/>
      <c r="AL53" s="85"/>
      <c r="AM53" s="85"/>
      <c r="AN53" s="140"/>
      <c r="AO53" s="141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396"/>
      <c r="BB53" s="145"/>
      <c r="BC53" s="145"/>
      <c r="BD53" s="305"/>
      <c r="BE53" s="92" t="s">
        <v>216</v>
      </c>
      <c r="BF53" s="292"/>
      <c r="BG53" s="74">
        <f>BG29</f>
        <v>0</v>
      </c>
      <c r="BH53" s="74">
        <f>BH29</f>
        <v>428121.88037777285</v>
      </c>
      <c r="BI53" s="74">
        <f t="shared" ref="BI53:BV53" si="89">BI29</f>
        <v>419754.48367777292</v>
      </c>
      <c r="BJ53" s="74">
        <f t="shared" si="89"/>
        <v>161925.36311877298</v>
      </c>
      <c r="BK53" s="74">
        <f>BK29</f>
        <v>-1095331.8301948975</v>
      </c>
      <c r="BL53" s="74">
        <f t="shared" si="89"/>
        <v>395878.27196932642</v>
      </c>
      <c r="BM53" s="74">
        <f t="shared" si="89"/>
        <v>576995.31757481035</v>
      </c>
      <c r="BN53" s="74">
        <f t="shared" si="89"/>
        <v>567603.67996446288</v>
      </c>
      <c r="BO53" s="74">
        <f t="shared" si="89"/>
        <v>558024.20960190881</v>
      </c>
      <c r="BP53" s="74">
        <f t="shared" si="89"/>
        <v>548800.96244273533</v>
      </c>
      <c r="BQ53" s="74">
        <f t="shared" si="89"/>
        <v>540223.63345957629</v>
      </c>
      <c r="BR53" s="74"/>
      <c r="BS53" s="74" t="str">
        <f t="shared" si="89"/>
        <v/>
      </c>
      <c r="BT53" s="74">
        <f t="shared" si="89"/>
        <v>0</v>
      </c>
      <c r="BU53" s="74" t="str">
        <f t="shared" si="89"/>
        <v/>
      </c>
      <c r="BV53" s="74" t="str">
        <f t="shared" si="89"/>
        <v/>
      </c>
      <c r="BW53" s="165"/>
      <c r="BZ53" s="253" t="s">
        <v>313</v>
      </c>
    </row>
    <row r="54" spans="2:93">
      <c r="B54" s="110" t="s">
        <v>239</v>
      </c>
      <c r="C54" s="125">
        <v>33783.517985840001</v>
      </c>
      <c r="D54" s="125">
        <v>34386.379999999997</v>
      </c>
      <c r="E54" s="125">
        <v>35000</v>
      </c>
      <c r="Z54" s="67" t="s">
        <v>161</v>
      </c>
      <c r="AA54" s="260"/>
      <c r="AB54" s="69">
        <f>E39/$D$17</f>
        <v>0</v>
      </c>
      <c r="AC54" s="198"/>
      <c r="AG54" s="58"/>
      <c r="AH54" s="143"/>
      <c r="AI54" s="61"/>
      <c r="AJ54" s="413"/>
      <c r="AK54" s="85"/>
      <c r="AL54" s="85"/>
      <c r="AM54" s="85"/>
      <c r="AN54" s="140"/>
      <c r="AO54" s="141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396"/>
      <c r="BB54" s="145"/>
      <c r="BC54" s="145"/>
      <c r="BD54" s="305"/>
      <c r="BE54" s="92" t="s">
        <v>292</v>
      </c>
      <c r="BF54" s="292"/>
      <c r="BG54" s="148">
        <f t="shared" ref="BG54:BQ54" si="90">((BG8=$D$10)*(BG35-BG38))*(BG8&lt;=$D$10)</f>
        <v>0</v>
      </c>
      <c r="BH54" s="148">
        <f t="shared" si="90"/>
        <v>0</v>
      </c>
      <c r="BI54" s="148">
        <f t="shared" si="90"/>
        <v>0</v>
      </c>
      <c r="BJ54" s="148">
        <f t="shared" si="90"/>
        <v>0</v>
      </c>
      <c r="BK54" s="148">
        <f t="shared" si="90"/>
        <v>0</v>
      </c>
      <c r="BL54" s="148">
        <f t="shared" si="90"/>
        <v>0</v>
      </c>
      <c r="BM54" s="148">
        <f t="shared" si="90"/>
        <v>0</v>
      </c>
      <c r="BN54" s="148">
        <f t="shared" si="90"/>
        <v>0</v>
      </c>
      <c r="BO54" s="148">
        <f t="shared" si="90"/>
        <v>0</v>
      </c>
      <c r="BP54" s="148">
        <f t="shared" si="90"/>
        <v>0</v>
      </c>
      <c r="BQ54" s="148">
        <f t="shared" si="90"/>
        <v>7808695.5241961777</v>
      </c>
      <c r="BR54" s="84"/>
      <c r="BS54" s="84" t="str">
        <f t="shared" ref="BS54:BV54" si="91">IF(BS8&gt;_xlfn.SINGLE(Analysis_Period),"",(BS8=_xlfn.SINGLE(Analysis_Period))*(BS35-BS38))</f>
        <v/>
      </c>
      <c r="BT54" s="84" t="str">
        <f t="shared" si="91"/>
        <v/>
      </c>
      <c r="BU54" s="84" t="str">
        <f t="shared" si="91"/>
        <v/>
      </c>
      <c r="BV54" s="84" t="str">
        <f t="shared" si="91"/>
        <v/>
      </c>
      <c r="BW54" s="165"/>
      <c r="BZ54" s="253" t="s">
        <v>314</v>
      </c>
    </row>
    <row r="55" spans="2:93">
      <c r="B55" s="110" t="s">
        <v>244</v>
      </c>
      <c r="C55" s="149">
        <v>241315.668972855</v>
      </c>
      <c r="D55" s="149">
        <v>245621.91234000001</v>
      </c>
      <c r="E55" s="149">
        <v>250005</v>
      </c>
      <c r="Z55" s="67" t="s">
        <v>167</v>
      </c>
      <c r="AA55" s="260"/>
      <c r="AB55" s="69">
        <f>E40/$D$17</f>
        <v>13.7</v>
      </c>
      <c r="AC55" s="198"/>
      <c r="AG55" s="58"/>
      <c r="AH55" s="243"/>
      <c r="AI55" s="61"/>
      <c r="AJ55" s="413"/>
      <c r="AK55" s="85"/>
      <c r="AL55" s="85"/>
      <c r="AM55" s="85"/>
      <c r="AN55" s="140"/>
      <c r="AO55" s="141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396"/>
      <c r="BB55" s="145"/>
      <c r="BC55" s="145"/>
      <c r="BD55" s="305"/>
      <c r="BE55" s="103" t="s">
        <v>295</v>
      </c>
      <c r="BF55" s="292"/>
      <c r="BG55" s="74">
        <f>-BG52-BG53-BG54</f>
        <v>-9477435.9429999981</v>
      </c>
      <c r="BH55" s="74">
        <f t="shared" ref="BH55:BQ55" si="92">SUM(BH52:BH54)</f>
        <v>428121.88037777285</v>
      </c>
      <c r="BI55" s="74">
        <f t="shared" si="92"/>
        <v>419754.48367777292</v>
      </c>
      <c r="BJ55" s="74">
        <f t="shared" si="92"/>
        <v>161925.36311877298</v>
      </c>
      <c r="BK55" s="74">
        <f t="shared" si="92"/>
        <v>-1095331.8301948975</v>
      </c>
      <c r="BL55" s="74">
        <f t="shared" si="92"/>
        <v>395878.27196932642</v>
      </c>
      <c r="BM55" s="74">
        <f t="shared" si="92"/>
        <v>576995.31757481035</v>
      </c>
      <c r="BN55" s="74">
        <f t="shared" si="92"/>
        <v>567603.67996446288</v>
      </c>
      <c r="BO55" s="74">
        <f t="shared" si="92"/>
        <v>558024.20960190881</v>
      </c>
      <c r="BP55" s="74">
        <f t="shared" si="92"/>
        <v>548800.96244273533</v>
      </c>
      <c r="BQ55" s="74">
        <f t="shared" si="92"/>
        <v>8348919.1576557541</v>
      </c>
      <c r="BR55" s="74"/>
      <c r="BS55" s="74" t="str">
        <f t="shared" ref="BS55:BV55" si="93">IF(BS8&gt;_xlfn.SINGLE(Analysis_Period),"",-BS52+BS53+BS54)</f>
        <v/>
      </c>
      <c r="BT55" s="74" t="str">
        <f t="shared" si="93"/>
        <v/>
      </c>
      <c r="BU55" s="74" t="str">
        <f t="shared" si="93"/>
        <v/>
      </c>
      <c r="BV55" s="74" t="str">
        <f t="shared" si="93"/>
        <v/>
      </c>
      <c r="BW55" s="165"/>
      <c r="BZ55" s="433" t="str">
        <f>IF(CB14="Equity Multiple", "LP EMx Check","LP IRR Check")</f>
        <v>LP IRR Check</v>
      </c>
    </row>
    <row r="56" spans="2:93" ht="16.5">
      <c r="B56" s="150" t="s">
        <v>224</v>
      </c>
      <c r="C56" s="124"/>
      <c r="D56" s="124"/>
      <c r="E56" s="125"/>
      <c r="Z56" s="67" t="s">
        <v>173</v>
      </c>
      <c r="AA56" s="260"/>
      <c r="AB56" s="69">
        <f>E41/$D$17</f>
        <v>2</v>
      </c>
      <c r="AC56" s="198"/>
      <c r="AG56" s="165"/>
      <c r="AH56" s="165"/>
      <c r="AI56" s="165"/>
      <c r="AJ56" s="707"/>
      <c r="AK56" s="244"/>
      <c r="AL56" s="244"/>
      <c r="AM56" s="165"/>
      <c r="AN56" s="165"/>
      <c r="AO56" s="244"/>
      <c r="AP56" s="245"/>
      <c r="AQ56" s="245"/>
      <c r="AR56" s="245"/>
      <c r="AS56" s="245"/>
      <c r="AT56" s="245"/>
      <c r="AU56" s="245"/>
      <c r="AV56" s="245"/>
      <c r="AW56" s="245"/>
      <c r="AX56" s="245"/>
      <c r="AY56" s="245"/>
      <c r="AZ56" s="245"/>
      <c r="BA56" s="397"/>
      <c r="BB56" s="245"/>
      <c r="BC56" s="245"/>
      <c r="BD56" s="165"/>
      <c r="BE56" s="103"/>
      <c r="BF56" s="292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165"/>
      <c r="BZ56" s="253" t="s">
        <v>315</v>
      </c>
    </row>
    <row r="57" spans="2:93" ht="16.5">
      <c r="B57" s="165"/>
      <c r="C57" s="227"/>
      <c r="D57" s="227"/>
      <c r="E57" s="246"/>
      <c r="Z57" s="106" t="s">
        <v>180</v>
      </c>
      <c r="AA57" s="260"/>
      <c r="AB57" s="153">
        <f>E42/$D$17</f>
        <v>0</v>
      </c>
      <c r="AC57" s="198"/>
      <c r="AG57" s="165"/>
      <c r="AH57" s="165"/>
      <c r="AI57" s="165"/>
      <c r="AJ57" s="708"/>
      <c r="AK57" s="247"/>
      <c r="AL57" s="247"/>
      <c r="AM57" s="165"/>
      <c r="AN57" s="165"/>
      <c r="AO57" s="247"/>
      <c r="AP57" s="247"/>
      <c r="AQ57" s="247"/>
      <c r="AR57" s="247"/>
      <c r="AS57" s="247"/>
      <c r="AT57" s="247"/>
      <c r="AU57" s="247"/>
      <c r="AV57" s="247"/>
      <c r="AW57" s="247"/>
      <c r="AX57" s="247"/>
      <c r="AY57" s="247"/>
      <c r="AZ57" s="247"/>
      <c r="BA57" s="398"/>
      <c r="BB57" s="247"/>
      <c r="BC57" s="247"/>
      <c r="BD57" s="165"/>
      <c r="BE57" s="103" t="s">
        <v>316</v>
      </c>
      <c r="BF57" s="292"/>
      <c r="BG57" s="108"/>
      <c r="BH57" s="108">
        <f>(BH8 &lt;= D10) * (BH29 / (SUM($BG$15:BH15) - SUM($BG$19:BH19)))</f>
        <v>4.5172753786216005E-2</v>
      </c>
      <c r="BI57" s="108">
        <f t="shared" ref="BI57:BQ57" si="94">(BI29-BI28)/($BG$15-$BG$19)</f>
        <v>4.4289878212028663E-2</v>
      </c>
      <c r="BJ57" s="108">
        <f t="shared" si="94"/>
        <v>1.7085355584847872E-2</v>
      </c>
      <c r="BK57" s="108">
        <f t="shared" si="94"/>
        <v>-0.11557259123485882</v>
      </c>
      <c r="BL57" s="108">
        <f t="shared" si="94"/>
        <v>4.1770609091979223E-2</v>
      </c>
      <c r="BM57" s="108">
        <f t="shared" si="94"/>
        <v>6.0880951456177043E-2</v>
      </c>
      <c r="BN57" s="108">
        <f t="shared" si="94"/>
        <v>5.9890004361748607E-2</v>
      </c>
      <c r="BO57" s="108">
        <f t="shared" si="94"/>
        <v>5.8879238325431633E-2</v>
      </c>
      <c r="BP57" s="108">
        <f t="shared" si="94"/>
        <v>5.7906058742404676E-2</v>
      </c>
      <c r="BQ57" s="108">
        <f t="shared" si="94"/>
        <v>5.700103242149409E-2</v>
      </c>
      <c r="BR57" s="108"/>
      <c r="BS57" s="108" t="str">
        <f>IF(BS8&gt;_xlfn.SINGLE(Analysis_Period),"",BS29/(SUM($AX$14:BS15)-SUM($AX$18:BS19)))</f>
        <v/>
      </c>
      <c r="BT57" s="108" t="str">
        <f>IF(BT8&gt;_xlfn.SINGLE(Analysis_Period),"",BT29/(SUM($AX$14:BT15)-SUM($AX$18:BT19)))</f>
        <v/>
      </c>
      <c r="BU57" s="108" t="str">
        <f>IF(BU8&gt;_xlfn.SINGLE(Analysis_Period),"",BU29/(SUM($AX$14:BU15)-SUM($AX$18:BU19)))</f>
        <v/>
      </c>
      <c r="BV57" s="108" t="str">
        <f>IF(BV8&gt;_xlfn.SINGLE(Analysis_Period),"",BV29/(SUM($AX$14:BV15)-SUM($AX$18:BV19)))</f>
        <v/>
      </c>
      <c r="BW57" s="165"/>
      <c r="BZ57" s="253"/>
    </row>
    <row r="58" spans="2:93" ht="18.75">
      <c r="B58" s="165"/>
      <c r="C58" s="227"/>
      <c r="D58" s="227"/>
      <c r="Z58" s="103"/>
      <c r="AA58" s="260"/>
      <c r="AB58" s="69"/>
      <c r="AC58" s="198"/>
      <c r="AG58" s="721" t="s">
        <v>623</v>
      </c>
      <c r="AH58" s="700"/>
      <c r="AI58" s="700"/>
      <c r="AJ58" s="701"/>
      <c r="AK58" s="700"/>
      <c r="AL58" s="700"/>
      <c r="AM58" s="700"/>
      <c r="AN58" s="700"/>
      <c r="AO58" s="700"/>
      <c r="AP58" s="700"/>
      <c r="AQ58" s="700"/>
      <c r="AR58" s="700"/>
      <c r="AS58" s="700"/>
      <c r="AT58" s="700"/>
      <c r="AU58" s="700"/>
      <c r="AV58" s="700"/>
      <c r="AW58" s="700"/>
      <c r="AX58" s="700"/>
      <c r="AY58" s="700"/>
      <c r="AZ58" s="700"/>
      <c r="BA58" s="701"/>
      <c r="BB58" s="700"/>
      <c r="BC58" s="700"/>
      <c r="BD58" s="165"/>
      <c r="BE58" s="92" t="s">
        <v>221</v>
      </c>
      <c r="BF58" s="292"/>
      <c r="BG58" s="108"/>
      <c r="BH58" s="108">
        <f>AVERAGE(BH57)</f>
        <v>4.5172753786216005E-2</v>
      </c>
      <c r="BI58" s="108">
        <f>AVERAGE(BH57:BI57)</f>
        <v>4.4731315999122334E-2</v>
      </c>
      <c r="BJ58" s="108">
        <f>AVERAGE(BH57:BJ57)</f>
        <v>3.5515995861030845E-2</v>
      </c>
      <c r="BK58" s="108">
        <f>AVERAGE(BH57:BK57)</f>
        <v>-2.256150912941568E-3</v>
      </c>
      <c r="BL58" s="108">
        <f>AVERAGE(BH57:BL57)</f>
        <v>6.5492010880425899E-3</v>
      </c>
      <c r="BM58" s="108">
        <f>AVERAGE(BH57:BM57)</f>
        <v>1.5604492816065E-2</v>
      </c>
      <c r="BN58" s="108">
        <f>AVERAGE(BH57:BN57)</f>
        <v>2.1930994465448373E-2</v>
      </c>
      <c r="BO58" s="108">
        <f>AVERAGE(BH57:BO57)</f>
        <v>2.6549524947946278E-2</v>
      </c>
      <c r="BP58" s="108">
        <f>AVERAGE(BH57:BP57)</f>
        <v>3.0033584258441652E-2</v>
      </c>
      <c r="BQ58" s="108">
        <f>AVERAGE(BH57:BQ57)</f>
        <v>3.2730329074746892E-2</v>
      </c>
      <c r="BR58" s="108" t="str">
        <f>IF(BR8&gt;_xlfn.SINGLE(Analysis_Period),"",AVERAGE($AX$56:BR57))</f>
        <v/>
      </c>
      <c r="BS58" s="108" t="str">
        <f>IF(BS8&gt;_xlfn.SINGLE(Analysis_Period),"",AVERAGE($AX$56:BS57))</f>
        <v/>
      </c>
      <c r="BT58" s="108" t="str">
        <f>IF(BT8&gt;_xlfn.SINGLE(Analysis_Period),"",AVERAGE($AX$56:BT57))</f>
        <v/>
      </c>
      <c r="BU58" s="108" t="str">
        <f>IF(BU8&gt;_xlfn.SINGLE(Analysis_Period),"",AVERAGE($AX$56:BU57))</f>
        <v/>
      </c>
      <c r="BV58" s="108" t="str">
        <f>IF(BV8&gt;_xlfn.SINGLE(Analysis_Period),"",AVERAGE($AX$56:BV57))</f>
        <v/>
      </c>
      <c r="BW58" s="165"/>
      <c r="BZ58" s="253" t="s">
        <v>317</v>
      </c>
    </row>
    <row r="59" spans="2:93" ht="18.75">
      <c r="B59" s="231"/>
      <c r="C59" s="231" t="s">
        <v>46</v>
      </c>
      <c r="D59" s="231" t="s">
        <v>129</v>
      </c>
      <c r="E59" s="248" t="s">
        <v>130</v>
      </c>
      <c r="F59" s="598" t="s">
        <v>47</v>
      </c>
      <c r="G59" s="249">
        <v>2</v>
      </c>
      <c r="H59" s="249">
        <v>3</v>
      </c>
      <c r="I59" s="249">
        <v>4</v>
      </c>
      <c r="J59" s="249">
        <v>5</v>
      </c>
      <c r="K59" s="249">
        <v>6</v>
      </c>
      <c r="L59" s="249">
        <v>7</v>
      </c>
      <c r="M59" s="249">
        <v>8</v>
      </c>
      <c r="N59" s="249">
        <v>9</v>
      </c>
      <c r="O59" s="249">
        <v>10</v>
      </c>
      <c r="P59" s="249">
        <v>11</v>
      </c>
      <c r="Q59" s="249">
        <v>12</v>
      </c>
      <c r="R59" s="249">
        <v>13</v>
      </c>
      <c r="S59" s="249">
        <v>14</v>
      </c>
      <c r="T59" s="249">
        <v>15</v>
      </c>
      <c r="Z59" s="67" t="s">
        <v>190</v>
      </c>
      <c r="AA59" s="260"/>
      <c r="AB59" s="69">
        <f>E44/$D$17</f>
        <v>0</v>
      </c>
      <c r="AC59" s="198"/>
      <c r="AG59" s="721" t="s">
        <v>624</v>
      </c>
      <c r="AH59" s="700"/>
      <c r="AI59" s="700"/>
      <c r="AJ59" s="701"/>
      <c r="AK59" s="700"/>
      <c r="AL59" s="700"/>
      <c r="AM59" s="700"/>
      <c r="AN59" s="700"/>
      <c r="AO59" s="700"/>
      <c r="AP59" s="700"/>
      <c r="AQ59" s="700"/>
      <c r="AR59" s="700"/>
      <c r="AS59" s="700"/>
      <c r="AT59" s="700"/>
      <c r="AU59" s="700"/>
      <c r="AV59" s="700"/>
      <c r="AW59" s="700"/>
      <c r="AX59" s="700"/>
      <c r="AY59" s="700"/>
      <c r="AZ59" s="700"/>
      <c r="BA59" s="701"/>
      <c r="BB59" s="700"/>
      <c r="BC59" s="700"/>
      <c r="BD59" s="165"/>
      <c r="BE59" s="103" t="s">
        <v>81</v>
      </c>
      <c r="BF59" s="291"/>
      <c r="BG59" s="108">
        <f>IRR(BG55:BV55)</f>
        <v>1.5596057063290925E-2</v>
      </c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65"/>
      <c r="BZ59" s="253" t="s">
        <v>318</v>
      </c>
    </row>
    <row r="60" spans="2:93" ht="16.5">
      <c r="B60" s="110" t="s">
        <v>263</v>
      </c>
      <c r="C60" s="124">
        <v>0</v>
      </c>
      <c r="D60" s="124">
        <v>0</v>
      </c>
      <c r="E60" s="124">
        <v>0</v>
      </c>
      <c r="F60" s="271"/>
      <c r="G60" s="124">
        <v>0</v>
      </c>
      <c r="H60" s="124">
        <v>0</v>
      </c>
      <c r="I60" s="124">
        <v>1250000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270"/>
      <c r="R60" s="270"/>
      <c r="S60" s="154"/>
      <c r="T60" s="154"/>
      <c r="Z60" s="67" t="s">
        <v>194</v>
      </c>
      <c r="AA60" s="260"/>
      <c r="AB60" s="69">
        <f>E45/$D$17</f>
        <v>0</v>
      </c>
      <c r="AC60" s="198"/>
      <c r="AG60" s="709" t="s">
        <v>346</v>
      </c>
      <c r="AH60" s="713" t="s">
        <v>344</v>
      </c>
      <c r="AI60" s="718" t="s">
        <v>625</v>
      </c>
      <c r="AJ60" s="717">
        <f>AP9</f>
        <v>1</v>
      </c>
      <c r="AK60" s="717">
        <f t="shared" ref="AK60:AT60" si="95">AQ9</f>
        <v>2</v>
      </c>
      <c r="AL60" s="717">
        <f t="shared" si="95"/>
        <v>3</v>
      </c>
      <c r="AM60" s="717">
        <f t="shared" si="95"/>
        <v>4</v>
      </c>
      <c r="AN60" s="717">
        <f t="shared" si="95"/>
        <v>5</v>
      </c>
      <c r="AO60" s="717">
        <f t="shared" si="95"/>
        <v>6</v>
      </c>
      <c r="AP60" s="717">
        <f t="shared" si="95"/>
        <v>7</v>
      </c>
      <c r="AQ60" s="717">
        <f t="shared" si="95"/>
        <v>8</v>
      </c>
      <c r="AR60" s="717">
        <f t="shared" si="95"/>
        <v>9</v>
      </c>
      <c r="AS60" s="717">
        <f t="shared" si="95"/>
        <v>10</v>
      </c>
      <c r="AT60" s="717">
        <f t="shared" si="95"/>
        <v>11</v>
      </c>
      <c r="AU60" s="710"/>
      <c r="AV60" s="704"/>
      <c r="AW60" s="704"/>
      <c r="AX60" s="705"/>
      <c r="AY60" s="705"/>
      <c r="AZ60" s="705"/>
      <c r="BA60" s="706"/>
      <c r="BB60" s="705"/>
      <c r="BC60" s="705"/>
      <c r="BD60" s="165"/>
      <c r="BE60" s="103" t="s">
        <v>217</v>
      </c>
      <c r="BF60" s="292"/>
      <c r="BG60" s="139">
        <f>SUMIF(BG55:BV55,"&gt;0")/-SUMIF(BG55:BV55,"&lt;0")</f>
        <v>1.135561054960665</v>
      </c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65"/>
      <c r="BZ60" s="253" t="s">
        <v>319</v>
      </c>
    </row>
    <row r="61" spans="2:93" ht="16.5">
      <c r="B61" s="110" t="s">
        <v>269</v>
      </c>
      <c r="C61" s="124">
        <v>0</v>
      </c>
      <c r="D61" s="124">
        <v>0</v>
      </c>
      <c r="E61" s="124">
        <v>0</v>
      </c>
      <c r="F61" s="272"/>
      <c r="G61" s="124">
        <v>0</v>
      </c>
      <c r="H61" s="124">
        <v>0</v>
      </c>
      <c r="I61" s="124">
        <v>250000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124">
        <v>0</v>
      </c>
      <c r="Q61" s="270"/>
      <c r="R61" s="270"/>
      <c r="S61" s="270"/>
      <c r="T61" s="270"/>
      <c r="Z61" s="67" t="s">
        <v>200</v>
      </c>
      <c r="AA61" s="260"/>
      <c r="AB61" s="69">
        <f>E46/$D$17</f>
        <v>0</v>
      </c>
      <c r="AC61" s="198"/>
      <c r="AD61" s="233"/>
      <c r="AG61" s="711" t="str">
        <f>D89</f>
        <v>A</v>
      </c>
      <c r="AH61" s="714">
        <f>B89</f>
        <v>1</v>
      </c>
      <c r="AI61" s="715">
        <f>D108</f>
        <v>1200000</v>
      </c>
      <c r="AJ61" s="716">
        <f>AI61*(1+C116)</f>
        <v>1236000</v>
      </c>
      <c r="AK61" s="716">
        <f t="shared" ref="AK61:AT61" si="96">AJ61*(1+D116)</f>
        <v>1248360</v>
      </c>
      <c r="AL61" s="716">
        <f t="shared" si="96"/>
        <v>1273327.2</v>
      </c>
      <c r="AM61" s="716">
        <f t="shared" si="96"/>
        <v>1311527.0160000001</v>
      </c>
      <c r="AN61" s="716">
        <f t="shared" si="96"/>
        <v>1363988.0966400001</v>
      </c>
      <c r="AO61" s="716">
        <f t="shared" si="96"/>
        <v>1432187.5014720003</v>
      </c>
      <c r="AP61" s="716">
        <f t="shared" si="96"/>
        <v>1460831.2515014403</v>
      </c>
      <c r="AQ61" s="716">
        <f t="shared" si="96"/>
        <v>1490047.8765314692</v>
      </c>
      <c r="AR61" s="716">
        <f t="shared" si="96"/>
        <v>1519848.8340620985</v>
      </c>
      <c r="AS61" s="716">
        <f t="shared" si="96"/>
        <v>1565444.2990839614</v>
      </c>
      <c r="AT61" s="716">
        <f t="shared" si="96"/>
        <v>1612407.6280564803</v>
      </c>
      <c r="AU61" s="711"/>
      <c r="AV61" s="705"/>
      <c r="AW61" s="705"/>
      <c r="AX61" s="705"/>
      <c r="AY61" s="705"/>
      <c r="AZ61" s="705"/>
      <c r="BA61" s="706"/>
      <c r="BB61" s="705"/>
      <c r="BC61" s="705"/>
      <c r="BD61" s="165"/>
      <c r="BE61" s="103"/>
      <c r="BF61" s="292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9"/>
      <c r="BT61" s="119"/>
      <c r="BU61" s="119"/>
      <c r="BV61" s="119"/>
      <c r="BW61" s="165"/>
      <c r="BZ61" s="253" t="s">
        <v>321</v>
      </c>
    </row>
    <row r="62" spans="2:93" ht="16.5">
      <c r="B62" s="110" t="s">
        <v>272</v>
      </c>
      <c r="C62" s="124">
        <v>24131.084275599998</v>
      </c>
      <c r="D62" s="124">
        <v>24561.7</v>
      </c>
      <c r="E62" s="124">
        <v>25000</v>
      </c>
      <c r="F62" s="273"/>
      <c r="G62" s="126">
        <v>0</v>
      </c>
      <c r="H62" s="126">
        <v>0</v>
      </c>
      <c r="I62" s="126"/>
      <c r="J62" s="126"/>
      <c r="K62" s="126"/>
      <c r="L62" s="126"/>
      <c r="M62" s="126"/>
      <c r="N62" s="126"/>
      <c r="O62" s="126"/>
      <c r="P62" s="126"/>
      <c r="Q62" s="270"/>
      <c r="R62" s="270"/>
      <c r="S62" s="270"/>
      <c r="T62" s="270"/>
      <c r="Z62" s="89" t="s">
        <v>207</v>
      </c>
      <c r="AA62" s="260"/>
      <c r="AB62" s="153">
        <f>AB57+(SUM(AB59:AB61))</f>
        <v>0</v>
      </c>
      <c r="AC62" s="198"/>
      <c r="AG62" s="711" t="str">
        <f t="shared" ref="AG62:AG65" si="97">D90</f>
        <v>B</v>
      </c>
      <c r="AH62" s="714">
        <f t="shared" ref="AH62:AH64" si="98">B90</f>
        <v>2</v>
      </c>
      <c r="AI62" s="715">
        <f t="shared" ref="AI62:AI64" si="99">D109</f>
        <v>850000</v>
      </c>
      <c r="AJ62" s="716">
        <f>AI62*(1+C117)</f>
        <v>875500</v>
      </c>
      <c r="AK62" s="716">
        <f t="shared" ref="AK62:AT62" si="100">AJ62*(1+D117)</f>
        <v>919275</v>
      </c>
      <c r="AL62" s="716">
        <f t="shared" si="100"/>
        <v>965238.75</v>
      </c>
      <c r="AM62" s="716">
        <f t="shared" si="100"/>
        <v>1013500.6875</v>
      </c>
      <c r="AN62" s="716">
        <f t="shared" si="100"/>
        <v>1033770.70125</v>
      </c>
      <c r="AO62" s="716">
        <f t="shared" si="100"/>
        <v>1054446.115275</v>
      </c>
      <c r="AP62" s="716">
        <f t="shared" si="100"/>
        <v>1075535.0375805001</v>
      </c>
      <c r="AQ62" s="716">
        <f t="shared" si="100"/>
        <v>1097045.7383321102</v>
      </c>
      <c r="AR62" s="716">
        <f t="shared" si="100"/>
        <v>1140927.5678653948</v>
      </c>
      <c r="AS62" s="716">
        <f t="shared" si="100"/>
        <v>1186564.6705800106</v>
      </c>
      <c r="AT62" s="716">
        <f t="shared" si="100"/>
        <v>1234027.2574032112</v>
      </c>
      <c r="AU62" s="711"/>
      <c r="AV62" s="705"/>
      <c r="AW62" s="705"/>
      <c r="AX62" s="705"/>
      <c r="AY62" s="705"/>
      <c r="AZ62" s="705"/>
      <c r="BA62" s="706"/>
      <c r="BB62" s="705"/>
      <c r="BC62" s="705"/>
      <c r="BD62" s="165"/>
      <c r="BE62" s="103" t="s">
        <v>322</v>
      </c>
      <c r="BF62" s="292"/>
      <c r="BG62" s="139"/>
      <c r="BH62" s="139">
        <f t="shared" ref="BH62:BQ62" si="101">BH24/BH27</f>
        <v>1.5278552066662519</v>
      </c>
      <c r="BI62" s="139">
        <f t="shared" si="101"/>
        <v>1.5186902413647714</v>
      </c>
      <c r="BJ62" s="139">
        <f t="shared" si="101"/>
        <v>1.5101639793090411</v>
      </c>
      <c r="BK62" s="139">
        <f t="shared" si="101"/>
        <v>1.5023158546611388</v>
      </c>
      <c r="BL62" s="139">
        <f t="shared" si="101"/>
        <v>1.4926943566858786</v>
      </c>
      <c r="BM62" s="139">
        <f t="shared" si="101"/>
        <v>1.7043134892351148</v>
      </c>
      <c r="BN62" s="139">
        <f t="shared" si="101"/>
        <v>1.6940159785353894</v>
      </c>
      <c r="BO62" s="139">
        <f t="shared" si="101"/>
        <v>1.6835125176216701</v>
      </c>
      <c r="BP62" s="139">
        <f t="shared" si="101"/>
        <v>1.6734371507550612</v>
      </c>
      <c r="BQ62" s="139">
        <f t="shared" si="101"/>
        <v>1.6641276146382395</v>
      </c>
      <c r="BR62" s="139" t="str">
        <f t="shared" ref="BR62:BV62" si="102">IFERROR(BR24/BR27,"")</f>
        <v/>
      </c>
      <c r="BS62" s="139" t="str">
        <f t="shared" si="102"/>
        <v/>
      </c>
      <c r="BT62" s="139" t="str">
        <f t="shared" si="102"/>
        <v/>
      </c>
      <c r="BU62" s="139" t="str">
        <f t="shared" si="102"/>
        <v/>
      </c>
      <c r="BV62" s="139" t="str">
        <f t="shared" si="102"/>
        <v/>
      </c>
      <c r="BW62" s="165"/>
      <c r="BZ62" s="253" t="s">
        <v>323</v>
      </c>
    </row>
    <row r="63" spans="2:93" ht="16.5">
      <c r="B63" s="110" t="s">
        <v>276</v>
      </c>
      <c r="C63" s="126">
        <v>0</v>
      </c>
      <c r="D63" s="126">
        <v>0</v>
      </c>
      <c r="E63" s="126">
        <v>0</v>
      </c>
      <c r="F63" s="270"/>
      <c r="G63" s="126">
        <v>0</v>
      </c>
      <c r="H63" s="126">
        <v>250000</v>
      </c>
      <c r="I63" s="126">
        <v>0</v>
      </c>
      <c r="J63" s="126">
        <v>0</v>
      </c>
      <c r="K63" s="126">
        <v>0</v>
      </c>
      <c r="L63" s="126">
        <v>0</v>
      </c>
      <c r="M63" s="126">
        <v>0</v>
      </c>
      <c r="N63" s="126">
        <v>0</v>
      </c>
      <c r="O63" s="126">
        <v>0</v>
      </c>
      <c r="P63" s="126">
        <v>0</v>
      </c>
      <c r="Q63" s="270"/>
      <c r="R63" s="270"/>
      <c r="S63" s="270"/>
      <c r="T63" s="270"/>
      <c r="Z63" s="103"/>
      <c r="AA63" s="260"/>
      <c r="AB63" s="69"/>
      <c r="AC63" s="198"/>
      <c r="AG63" s="711" t="str">
        <f t="shared" si="97"/>
        <v>C</v>
      </c>
      <c r="AH63" s="714">
        <f t="shared" si="98"/>
        <v>3</v>
      </c>
      <c r="AI63" s="715">
        <f t="shared" si="99"/>
        <v>500000</v>
      </c>
      <c r="AJ63" s="716">
        <f>AI63*(1+C118)</f>
        <v>510000</v>
      </c>
      <c r="AK63" s="716">
        <f t="shared" ref="AK63:AT63" si="103">AJ63*(1+D118)</f>
        <v>520200</v>
      </c>
      <c r="AL63" s="716">
        <f t="shared" si="103"/>
        <v>530604</v>
      </c>
      <c r="AM63" s="716">
        <f t="shared" si="103"/>
        <v>541216.07999999996</v>
      </c>
      <c r="AN63" s="716">
        <f t="shared" si="103"/>
        <v>541216.07999999996</v>
      </c>
      <c r="AO63" s="716">
        <f t="shared" si="103"/>
        <v>541216.07999999996</v>
      </c>
      <c r="AP63" s="716">
        <f t="shared" si="103"/>
        <v>541216.07999999996</v>
      </c>
      <c r="AQ63" s="716">
        <f t="shared" si="103"/>
        <v>541216.07999999996</v>
      </c>
      <c r="AR63" s="716">
        <f t="shared" si="103"/>
        <v>552040.40159999998</v>
      </c>
      <c r="AS63" s="716">
        <f t="shared" si="103"/>
        <v>563081.20963199995</v>
      </c>
      <c r="AT63" s="716">
        <f t="shared" si="103"/>
        <v>574342.83382463991</v>
      </c>
      <c r="AU63" s="711"/>
      <c r="AV63" s="705"/>
      <c r="AW63" s="705"/>
      <c r="AX63" s="705"/>
      <c r="AY63" s="705"/>
      <c r="AZ63" s="705"/>
      <c r="BA63" s="706"/>
      <c r="BB63" s="705"/>
      <c r="BC63" s="705"/>
      <c r="BD63" s="165"/>
      <c r="BE63" s="103" t="s">
        <v>324</v>
      </c>
      <c r="BF63" s="292"/>
      <c r="BG63" s="108"/>
      <c r="BH63" s="108">
        <f t="shared" ref="BH63:BQ63" si="104">(BH24/BH38)</f>
        <v>8.3939946738114779E-2</v>
      </c>
      <c r="BI63" s="108">
        <f t="shared" si="104"/>
        <v>8.5162040895514407E-2</v>
      </c>
      <c r="BJ63" s="108">
        <f t="shared" si="104"/>
        <v>8.6537325252580566E-2</v>
      </c>
      <c r="BK63" s="108">
        <f t="shared" si="104"/>
        <v>8.808398572224066E-2</v>
      </c>
      <c r="BL63" s="108">
        <f t="shared" si="104"/>
        <v>8.9673357378033877E-2</v>
      </c>
      <c r="BM63" s="108">
        <f t="shared" si="104"/>
        <v>0.10506346329618212</v>
      </c>
      <c r="BN63" s="108">
        <f t="shared" si="104"/>
        <v>0.10733500293680338</v>
      </c>
      <c r="BO63" s="108">
        <f t="shared" si="104"/>
        <v>0.10983501043926826</v>
      </c>
      <c r="BP63" s="108">
        <f t="shared" si="104"/>
        <v>0.1126392448562489</v>
      </c>
      <c r="BQ63" s="108">
        <f t="shared" si="104"/>
        <v>0.11581523784881669</v>
      </c>
      <c r="BR63" s="108" t="str">
        <f t="shared" ref="BR63:BV63" si="105">IFERROR(BR24/BR38,"")</f>
        <v/>
      </c>
      <c r="BS63" s="108" t="str">
        <f t="shared" si="105"/>
        <v/>
      </c>
      <c r="BT63" s="108" t="str">
        <f t="shared" si="105"/>
        <v/>
      </c>
      <c r="BU63" s="108" t="str">
        <f t="shared" si="105"/>
        <v/>
      </c>
      <c r="BV63" s="108" t="str">
        <f t="shared" si="105"/>
        <v/>
      </c>
      <c r="BW63" s="165"/>
      <c r="BZ63" s="433" t="str">
        <f>IF(CB14="Equity Multiple", "GP EMx Check","GP IRR Check")</f>
        <v>GP IRR Check</v>
      </c>
    </row>
    <row r="64" spans="2:93" ht="16.5">
      <c r="B64" s="150"/>
      <c r="C64" s="155"/>
      <c r="D64" s="155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Z64" s="67" t="s">
        <v>214</v>
      </c>
      <c r="AA64" s="260"/>
      <c r="AB64" s="69">
        <f t="shared" ref="AB64:AB71" si="106">E48/$D$17</f>
        <v>0.3</v>
      </c>
      <c r="AC64" s="198"/>
      <c r="AG64" s="711" t="str">
        <f t="shared" si="97"/>
        <v>D</v>
      </c>
      <c r="AH64" s="714">
        <f t="shared" si="98"/>
        <v>4</v>
      </c>
      <c r="AI64" s="715">
        <f t="shared" si="99"/>
        <v>2000000</v>
      </c>
      <c r="AJ64" s="716">
        <f>AI64*(1+C119)</f>
        <v>2020000</v>
      </c>
      <c r="AK64" s="716">
        <f t="shared" ref="AK64:AT64" si="107">AJ64*(1+D119)</f>
        <v>2040200</v>
      </c>
      <c r="AL64" s="716">
        <f t="shared" si="107"/>
        <v>2060602</v>
      </c>
      <c r="AM64" s="716">
        <f t="shared" si="107"/>
        <v>2081208.02</v>
      </c>
      <c r="AN64" s="716">
        <f t="shared" si="107"/>
        <v>2102020.1002000002</v>
      </c>
      <c r="AO64" s="716">
        <f t="shared" si="107"/>
        <v>2144060.5022040005</v>
      </c>
      <c r="AP64" s="716">
        <f t="shared" si="107"/>
        <v>2186941.7122480804</v>
      </c>
      <c r="AQ64" s="716">
        <f t="shared" si="107"/>
        <v>2230680.5464930423</v>
      </c>
      <c r="AR64" s="716">
        <f t="shared" si="107"/>
        <v>2252987.3519579726</v>
      </c>
      <c r="AS64" s="716">
        <f t="shared" si="107"/>
        <v>2275517.2254775525</v>
      </c>
      <c r="AT64" s="716">
        <f t="shared" si="107"/>
        <v>2298272.3977323282</v>
      </c>
      <c r="AU64" s="711"/>
      <c r="AV64" s="705"/>
      <c r="AW64" s="705"/>
      <c r="AX64" s="705"/>
      <c r="AY64" s="705"/>
      <c r="AZ64" s="705"/>
      <c r="BA64" s="706"/>
      <c r="BB64" s="705"/>
      <c r="BC64" s="705"/>
      <c r="BD64" s="165"/>
      <c r="BE64" s="103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165"/>
      <c r="BZ64" s="253"/>
    </row>
    <row r="65" spans="2:97" ht="16.5">
      <c r="B65" s="263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Z65" s="67" t="s">
        <v>218</v>
      </c>
      <c r="AA65" s="260"/>
      <c r="AB65" s="69">
        <f t="shared" si="106"/>
        <v>1.3</v>
      </c>
      <c r="AC65" s="198"/>
      <c r="AG65" s="711"/>
      <c r="AH65" s="711"/>
      <c r="AI65" s="711"/>
      <c r="AJ65" s="712"/>
      <c r="AK65" s="711"/>
      <c r="AL65" s="711"/>
      <c r="AM65" s="711"/>
      <c r="AN65" s="711"/>
      <c r="AO65" s="711"/>
      <c r="AP65" s="711"/>
      <c r="AQ65" s="711"/>
      <c r="AR65" s="711"/>
      <c r="AS65" s="711"/>
      <c r="AT65" s="711"/>
      <c r="AU65" s="711"/>
      <c r="AV65" s="705"/>
      <c r="AW65" s="705"/>
      <c r="AX65" s="705"/>
      <c r="AY65" s="705"/>
      <c r="AZ65" s="705"/>
      <c r="BA65" s="706"/>
      <c r="BB65" s="705"/>
      <c r="BC65" s="705"/>
      <c r="BD65" s="165"/>
      <c r="BE65" s="267" t="s">
        <v>325</v>
      </c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65"/>
      <c r="BZ65" s="253" t="str">
        <f>"Total Distributions ("&amp;BZ47&amp;")"</f>
        <v>Total Distributions (Tier 1 - Preferred Return + Return of Capital)</v>
      </c>
    </row>
    <row r="66" spans="2:97">
      <c r="B66" s="264" t="s">
        <v>326</v>
      </c>
      <c r="C66" s="94"/>
      <c r="D66" s="94"/>
      <c r="E66" s="274"/>
      <c r="F66" s="270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232"/>
      <c r="V66" s="232"/>
      <c r="Z66" s="67" t="s">
        <v>223</v>
      </c>
      <c r="AA66" s="260"/>
      <c r="AB66" s="69">
        <f t="shared" si="106"/>
        <v>1.5</v>
      </c>
      <c r="AC66" s="198"/>
      <c r="AG66" s="705"/>
      <c r="AH66" s="705"/>
      <c r="AI66" s="705"/>
      <c r="AJ66" s="706"/>
      <c r="AK66" s="705"/>
      <c r="AL66" s="705"/>
      <c r="AM66" s="705"/>
      <c r="AN66" s="705"/>
      <c r="AO66" s="705"/>
      <c r="AP66" s="705"/>
      <c r="AQ66" s="705"/>
      <c r="AR66" s="705"/>
      <c r="AS66" s="705"/>
      <c r="AT66" s="705"/>
      <c r="AU66" s="705"/>
      <c r="AV66" s="705"/>
      <c r="AW66" s="705"/>
      <c r="AX66" s="705"/>
      <c r="AY66" s="705"/>
      <c r="AZ66" s="705"/>
      <c r="BA66" s="706"/>
      <c r="BB66" s="705"/>
      <c r="BC66" s="705"/>
      <c r="BD66" s="165"/>
      <c r="BE66" s="268" t="s">
        <v>327</v>
      </c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165"/>
      <c r="BZ66" s="253" t="s">
        <v>328</v>
      </c>
    </row>
    <row r="67" spans="2:97">
      <c r="B67" s="110" t="s">
        <v>329</v>
      </c>
      <c r="C67" s="275"/>
      <c r="D67" s="270"/>
      <c r="E67" s="270"/>
      <c r="F67" s="270"/>
      <c r="G67" s="46">
        <v>0.1</v>
      </c>
      <c r="H67" s="46">
        <v>0.1</v>
      </c>
      <c r="I67" s="46">
        <v>0.1</v>
      </c>
      <c r="J67" s="46">
        <v>0.1</v>
      </c>
      <c r="K67" s="46">
        <v>0.1</v>
      </c>
      <c r="L67" s="46">
        <v>0.1</v>
      </c>
      <c r="M67" s="46">
        <v>0.1</v>
      </c>
      <c r="N67" s="46">
        <v>0.1</v>
      </c>
      <c r="O67" s="46">
        <v>0.1</v>
      </c>
      <c r="P67" s="46">
        <v>0.1</v>
      </c>
      <c r="Q67" s="46">
        <v>0.1</v>
      </c>
      <c r="R67" s="46">
        <v>0.1</v>
      </c>
      <c r="S67" s="46">
        <v>0.1</v>
      </c>
      <c r="T67" s="46">
        <v>0.1</v>
      </c>
      <c r="U67" s="250"/>
      <c r="V67" s="250"/>
      <c r="Z67" s="67" t="s">
        <v>225</v>
      </c>
      <c r="AA67" s="260"/>
      <c r="AB67" s="69">
        <f t="shared" si="106"/>
        <v>1.9</v>
      </c>
      <c r="AC67" s="198"/>
      <c r="AG67" s="165"/>
      <c r="AH67" s="165"/>
      <c r="AI67" s="165"/>
      <c r="AJ67" s="702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381"/>
      <c r="BB67" s="165"/>
      <c r="BC67" s="165"/>
      <c r="BD67" s="165"/>
      <c r="BE67" s="66" t="s">
        <v>330</v>
      </c>
      <c r="BF67" s="59"/>
      <c r="BG67" s="157">
        <f t="shared" ref="BG67:BV67" si="108">IF(BG$43="","",BG$7)</f>
        <v>0</v>
      </c>
      <c r="BH67" s="157">
        <f t="shared" ref="BH67:BQ67" si="109">BH8</f>
        <v>1</v>
      </c>
      <c r="BI67" s="157">
        <f t="shared" si="109"/>
        <v>2</v>
      </c>
      <c r="BJ67" s="157">
        <f t="shared" si="109"/>
        <v>3</v>
      </c>
      <c r="BK67" s="157">
        <f t="shared" si="109"/>
        <v>4</v>
      </c>
      <c r="BL67" s="157">
        <f t="shared" si="109"/>
        <v>5</v>
      </c>
      <c r="BM67" s="157">
        <f t="shared" si="109"/>
        <v>6</v>
      </c>
      <c r="BN67" s="157">
        <f t="shared" si="109"/>
        <v>7</v>
      </c>
      <c r="BO67" s="157">
        <f t="shared" si="109"/>
        <v>8</v>
      </c>
      <c r="BP67" s="157">
        <f t="shared" si="109"/>
        <v>9</v>
      </c>
      <c r="BQ67" s="157">
        <f t="shared" si="109"/>
        <v>10</v>
      </c>
      <c r="BR67" s="65" t="str">
        <f t="shared" si="108"/>
        <v/>
      </c>
      <c r="BS67" s="65" t="str">
        <f t="shared" si="108"/>
        <v/>
      </c>
      <c r="BT67" s="65" t="str">
        <f t="shared" si="108"/>
        <v/>
      </c>
      <c r="BU67" s="65" t="str">
        <f t="shared" si="108"/>
        <v/>
      </c>
      <c r="BV67" s="65" t="str">
        <f t="shared" si="108"/>
        <v/>
      </c>
      <c r="BW67" s="165"/>
    </row>
    <row r="68" spans="2:97" ht="18.75">
      <c r="B68" s="110" t="s">
        <v>331</v>
      </c>
      <c r="C68" s="275"/>
      <c r="D68" s="270"/>
      <c r="E68" s="270"/>
      <c r="F68" s="270"/>
      <c r="G68" s="46">
        <v>0</v>
      </c>
      <c r="H68" s="46">
        <v>0</v>
      </c>
      <c r="I68" s="46">
        <v>0</v>
      </c>
      <c r="J68" s="46">
        <v>0</v>
      </c>
      <c r="K68" s="46">
        <v>0.1</v>
      </c>
      <c r="L68" s="46">
        <v>0</v>
      </c>
      <c r="M68" s="46">
        <v>0</v>
      </c>
      <c r="N68" s="46">
        <v>0</v>
      </c>
      <c r="O68" s="46">
        <v>0</v>
      </c>
      <c r="P68" s="46">
        <v>0.1</v>
      </c>
      <c r="Q68" s="46">
        <v>0</v>
      </c>
      <c r="R68" s="46">
        <v>0</v>
      </c>
      <c r="S68" s="46">
        <v>0</v>
      </c>
      <c r="T68" s="46">
        <v>0</v>
      </c>
      <c r="U68" s="250"/>
      <c r="V68" s="250"/>
      <c r="Z68" s="67" t="s">
        <v>231</v>
      </c>
      <c r="AA68" s="260"/>
      <c r="AB68" s="69">
        <f t="shared" si="106"/>
        <v>1.7</v>
      </c>
      <c r="AC68" s="198"/>
      <c r="AG68" s="720" t="s">
        <v>626</v>
      </c>
      <c r="AH68" s="700"/>
      <c r="AI68" s="700"/>
      <c r="AJ68" s="701"/>
      <c r="AK68" s="700"/>
      <c r="AL68" s="700"/>
      <c r="AM68" s="700"/>
      <c r="AN68" s="700"/>
      <c r="AO68" s="700"/>
      <c r="AP68" s="700"/>
      <c r="AQ68" s="700"/>
      <c r="AR68" s="700"/>
      <c r="AS68" s="700"/>
      <c r="AT68" s="700"/>
      <c r="AU68" s="700"/>
      <c r="AV68" s="700"/>
      <c r="AW68" s="700"/>
      <c r="AX68" s="700"/>
      <c r="AY68" s="700"/>
      <c r="AZ68" s="700"/>
      <c r="BA68" s="701"/>
      <c r="BB68" s="700"/>
      <c r="BC68" s="700"/>
      <c r="BD68" s="165"/>
      <c r="BE68" s="103" t="s">
        <v>4</v>
      </c>
      <c r="BF68" s="59"/>
      <c r="BG68" s="59"/>
      <c r="BH68" s="136" t="str">
        <f t="shared" ref="BH68:BV68" si="110">IF(BH67="","",IFERROR(IRR(BH69:BH84),""))</f>
        <v/>
      </c>
      <c r="BI68" s="136" t="str">
        <f t="shared" si="110"/>
        <v/>
      </c>
      <c r="BJ68" s="136" t="str">
        <f t="shared" si="110"/>
        <v/>
      </c>
      <c r="BK68" s="136">
        <f t="shared" si="110"/>
        <v>-0.45163778748638583</v>
      </c>
      <c r="BL68" s="136" t="str">
        <f t="shared" si="110"/>
        <v/>
      </c>
      <c r="BM68" s="136" t="str">
        <f t="shared" si="110"/>
        <v/>
      </c>
      <c r="BN68" s="136" t="str">
        <f t="shared" si="110"/>
        <v/>
      </c>
      <c r="BO68" s="136" t="str">
        <f t="shared" si="110"/>
        <v/>
      </c>
      <c r="BP68" s="136" t="str">
        <f t="shared" si="110"/>
        <v/>
      </c>
      <c r="BQ68" s="136" t="str">
        <f t="shared" si="110"/>
        <v/>
      </c>
      <c r="BR68" s="136" t="str">
        <f t="shared" si="110"/>
        <v/>
      </c>
      <c r="BS68" s="136" t="str">
        <f t="shared" si="110"/>
        <v/>
      </c>
      <c r="BT68" s="136" t="str">
        <f t="shared" si="110"/>
        <v/>
      </c>
      <c r="BU68" s="136" t="str">
        <f t="shared" si="110"/>
        <v/>
      </c>
      <c r="BV68" s="136" t="str">
        <f t="shared" si="110"/>
        <v/>
      </c>
      <c r="BW68" s="165"/>
      <c r="BZ68" s="431" t="s">
        <v>332</v>
      </c>
      <c r="CA68" s="240"/>
      <c r="CB68" s="240"/>
      <c r="CC68" s="240"/>
      <c r="CD68" s="344" t="str">
        <f t="shared" ref="CD68:CS68" si="111">CD48</f>
        <v>Year 0</v>
      </c>
      <c r="CE68" s="344" t="str">
        <f t="shared" si="111"/>
        <v>Year 1</v>
      </c>
      <c r="CF68" s="344" t="str">
        <f t="shared" si="111"/>
        <v>Year 2</v>
      </c>
      <c r="CG68" s="344" t="str">
        <f t="shared" si="111"/>
        <v>Year 3</v>
      </c>
      <c r="CH68" s="344" t="str">
        <f t="shared" si="111"/>
        <v>Year 4</v>
      </c>
      <c r="CI68" s="344" t="str">
        <f t="shared" si="111"/>
        <v>Year 5</v>
      </c>
      <c r="CJ68" s="344" t="str">
        <f t="shared" si="111"/>
        <v>Year 6</v>
      </c>
      <c r="CK68" s="344" t="str">
        <f t="shared" si="111"/>
        <v>Year 7</v>
      </c>
      <c r="CL68" s="344" t="str">
        <f t="shared" si="111"/>
        <v>Year 8</v>
      </c>
      <c r="CM68" s="344" t="str">
        <f t="shared" si="111"/>
        <v>Year 9</v>
      </c>
      <c r="CN68" s="344" t="str">
        <f t="shared" si="111"/>
        <v>Year 10</v>
      </c>
      <c r="CO68" s="344" t="str">
        <f t="shared" si="111"/>
        <v> </v>
      </c>
      <c r="CP68" s="344" t="str">
        <f t="shared" si="111"/>
        <v> </v>
      </c>
      <c r="CQ68" s="344" t="str">
        <f t="shared" si="111"/>
        <v> </v>
      </c>
      <c r="CR68" s="344" t="str">
        <f t="shared" si="111"/>
        <v> </v>
      </c>
      <c r="CS68" s="344" t="str">
        <f t="shared" si="111"/>
        <v> </v>
      </c>
    </row>
    <row r="69" spans="2:97">
      <c r="B69" s="110" t="s">
        <v>333</v>
      </c>
      <c r="C69" s="275"/>
      <c r="D69" s="270"/>
      <c r="E69" s="270"/>
      <c r="F69" s="270"/>
      <c r="G69" s="46">
        <v>0.02</v>
      </c>
      <c r="H69" s="46">
        <v>0.02</v>
      </c>
      <c r="I69" s="46">
        <v>0.02</v>
      </c>
      <c r="J69" s="46">
        <v>0.02</v>
      </c>
      <c r="K69" s="46">
        <v>0.02</v>
      </c>
      <c r="L69" s="46">
        <v>0.02</v>
      </c>
      <c r="M69" s="46">
        <v>0.02</v>
      </c>
      <c r="N69" s="46">
        <v>0.02</v>
      </c>
      <c r="O69" s="46">
        <v>0.02</v>
      </c>
      <c r="P69" s="46">
        <v>0.02</v>
      </c>
      <c r="Q69" s="46">
        <v>0.02</v>
      </c>
      <c r="R69" s="46">
        <v>0.02</v>
      </c>
      <c r="S69" s="46">
        <v>0.02</v>
      </c>
      <c r="T69" s="46">
        <v>0.02</v>
      </c>
      <c r="U69" s="250"/>
      <c r="V69" s="250"/>
      <c r="Z69" s="67" t="s">
        <v>236</v>
      </c>
      <c r="AA69" s="260"/>
      <c r="AB69" s="69">
        <f t="shared" si="106"/>
        <v>1.3689</v>
      </c>
      <c r="AC69" s="198"/>
      <c r="AG69" s="700"/>
      <c r="AH69" s="700"/>
      <c r="AI69" s="700"/>
      <c r="AJ69" s="701"/>
      <c r="AK69" s="700"/>
      <c r="AL69" s="700"/>
      <c r="AM69" s="700"/>
      <c r="AN69" s="700"/>
      <c r="AO69" s="700"/>
      <c r="AP69" s="700"/>
      <c r="AQ69" s="700"/>
      <c r="AR69" s="700"/>
      <c r="AS69" s="700"/>
      <c r="AT69" s="700"/>
      <c r="AU69" s="700"/>
      <c r="AV69" s="700"/>
      <c r="AW69" s="700"/>
      <c r="AX69" s="700"/>
      <c r="AY69" s="700"/>
      <c r="AZ69" s="700"/>
      <c r="BA69" s="701"/>
      <c r="BB69" s="700"/>
      <c r="BC69" s="700"/>
      <c r="BD69" s="165"/>
      <c r="BE69" s="256">
        <f>BG67</f>
        <v>0</v>
      </c>
      <c r="BF69" s="56"/>
      <c r="BG69" s="73">
        <f t="shared" ref="BG69:BG79" si="112">$BG$44</f>
        <v>-25248631.239999998</v>
      </c>
      <c r="BH69" s="71"/>
      <c r="BI69" s="71" t="str">
        <f t="shared" ref="BI69:BV84" si="113">IF(OR(BI$66="",$AU69=""),"",(BI$66&lt;=$AU69)*(-BI$14+BI$25)+(BI$66=$AU69)*BI$34)</f>
        <v/>
      </c>
      <c r="BJ69" s="71" t="str">
        <f t="shared" si="113"/>
        <v/>
      </c>
      <c r="BK69" s="71" t="str">
        <f t="shared" si="113"/>
        <v/>
      </c>
      <c r="BL69" s="71" t="str">
        <f t="shared" si="113"/>
        <v/>
      </c>
      <c r="BM69" s="71" t="str">
        <f t="shared" si="113"/>
        <v/>
      </c>
      <c r="BN69" s="71" t="str">
        <f t="shared" si="113"/>
        <v/>
      </c>
      <c r="BO69" s="71" t="str">
        <f t="shared" si="113"/>
        <v/>
      </c>
      <c r="BP69" s="71" t="str">
        <f t="shared" si="113"/>
        <v/>
      </c>
      <c r="BQ69" s="71" t="str">
        <f t="shared" si="113"/>
        <v/>
      </c>
      <c r="BR69" s="71" t="str">
        <f t="shared" si="113"/>
        <v/>
      </c>
      <c r="BS69" s="71" t="str">
        <f t="shared" si="113"/>
        <v/>
      </c>
      <c r="BT69" s="71" t="str">
        <f t="shared" si="113"/>
        <v/>
      </c>
      <c r="BU69" s="71" t="str">
        <f t="shared" si="113"/>
        <v/>
      </c>
      <c r="BV69" s="71" t="str">
        <f t="shared" si="113"/>
        <v/>
      </c>
      <c r="BW69" s="165"/>
      <c r="BZ69" s="428" t="s">
        <v>305</v>
      </c>
      <c r="CA69" s="251" t="str">
        <f>CA19</f>
        <v> </v>
      </c>
    </row>
    <row r="70" spans="2:97" ht="16.5">
      <c r="B70" s="110" t="s">
        <v>334</v>
      </c>
      <c r="C70" s="275"/>
      <c r="D70" s="270"/>
      <c r="E70" s="270"/>
      <c r="F70" s="270"/>
      <c r="G70" s="46">
        <v>0.03</v>
      </c>
      <c r="H70" s="46">
        <v>0.03</v>
      </c>
      <c r="I70" s="46">
        <v>0.03</v>
      </c>
      <c r="J70" s="46">
        <v>0.03</v>
      </c>
      <c r="K70" s="46">
        <v>0.03</v>
      </c>
      <c r="L70" s="46">
        <v>0.03</v>
      </c>
      <c r="M70" s="46">
        <v>0.03</v>
      </c>
      <c r="N70" s="46">
        <v>0.03</v>
      </c>
      <c r="O70" s="46">
        <v>0.03</v>
      </c>
      <c r="P70" s="46">
        <v>0.03</v>
      </c>
      <c r="Q70" s="46">
        <v>0.03</v>
      </c>
      <c r="R70" s="46">
        <v>0.03</v>
      </c>
      <c r="S70" s="46">
        <v>0.03</v>
      </c>
      <c r="T70" s="46">
        <v>0.03</v>
      </c>
      <c r="U70" s="250"/>
      <c r="V70" s="250"/>
      <c r="Z70" s="67" t="s">
        <v>239</v>
      </c>
      <c r="AA70" s="260"/>
      <c r="AB70" s="69">
        <f t="shared" si="106"/>
        <v>0.7</v>
      </c>
      <c r="AC70" s="198"/>
      <c r="AG70" s="709" t="s">
        <v>346</v>
      </c>
      <c r="AH70" s="713" t="s">
        <v>344</v>
      </c>
      <c r="AI70" s="714" t="s">
        <v>627</v>
      </c>
      <c r="AJ70" s="727">
        <f>AJ60</f>
        <v>1</v>
      </c>
      <c r="AK70" s="727">
        <f>AK60</f>
        <v>2</v>
      </c>
      <c r="AL70" s="727">
        <f>AL60</f>
        <v>3</v>
      </c>
      <c r="AM70" s="727">
        <f>AM60</f>
        <v>4</v>
      </c>
      <c r="AN70" s="727">
        <f>AN60</f>
        <v>5</v>
      </c>
      <c r="AO70" s="727">
        <f>AO60</f>
        <v>6</v>
      </c>
      <c r="AP70" s="727">
        <f>AP60</f>
        <v>7</v>
      </c>
      <c r="AQ70" s="727">
        <f>AQ60</f>
        <v>8</v>
      </c>
      <c r="AR70" s="727">
        <f>AR60</f>
        <v>9</v>
      </c>
      <c r="AS70" s="727">
        <f>AS60</f>
        <v>10</v>
      </c>
      <c r="AT70" s="727">
        <f>AT60</f>
        <v>11</v>
      </c>
      <c r="AU70" s="705"/>
      <c r="AV70" s="705"/>
      <c r="AW70" s="705"/>
      <c r="AX70" s="705"/>
      <c r="AY70" s="705"/>
      <c r="AZ70" s="705"/>
      <c r="BA70" s="706"/>
      <c r="BB70" s="705"/>
      <c r="BC70" s="705"/>
      <c r="BD70" s="165"/>
      <c r="BE70" s="256">
        <f>BH67</f>
        <v>1</v>
      </c>
      <c r="BF70" s="136">
        <f>IF(BE70="","",IRR(BG70:BV70))</f>
        <v>-0.16587278224652735</v>
      </c>
      <c r="BG70" s="73">
        <f t="shared" si="112"/>
        <v>-25248631.239999998</v>
      </c>
      <c r="BH70" s="73">
        <f>(BH67&lt;&gt;"") * (BE70&lt;&gt;"") * ((BH67&lt;=BE70)*(-BH15+BH26) + (BH67=BE70)*BH35)</f>
        <v>21060570.52830461</v>
      </c>
      <c r="BI70" s="73"/>
      <c r="BJ70" s="73"/>
      <c r="BK70" s="73"/>
      <c r="BL70" s="73"/>
      <c r="BM70" s="73"/>
      <c r="BN70" s="73"/>
      <c r="BO70" s="73"/>
      <c r="BP70" s="73"/>
      <c r="BQ70" s="73"/>
      <c r="BR70" s="73" t="str">
        <f t="shared" si="113"/>
        <v/>
      </c>
      <c r="BS70" s="73" t="str">
        <f t="shared" si="113"/>
        <v/>
      </c>
      <c r="BT70" s="73" t="str">
        <f t="shared" si="113"/>
        <v/>
      </c>
      <c r="BU70" s="73" t="str">
        <f t="shared" si="113"/>
        <v/>
      </c>
      <c r="BV70" s="73" t="str">
        <f t="shared" si="113"/>
        <v/>
      </c>
      <c r="BW70" s="165"/>
      <c r="BZ70" s="422" t="s">
        <v>306</v>
      </c>
      <c r="CA70" s="216"/>
    </row>
    <row r="71" spans="2:97" ht="16.5">
      <c r="B71" s="110" t="s">
        <v>335</v>
      </c>
      <c r="C71" s="275"/>
      <c r="D71" s="270"/>
      <c r="E71" s="270"/>
      <c r="F71" s="270"/>
      <c r="G71" s="46">
        <v>0.02</v>
      </c>
      <c r="H71" s="46">
        <v>0.02</v>
      </c>
      <c r="I71" s="46">
        <v>0.02</v>
      </c>
      <c r="J71" s="46">
        <v>0.02</v>
      </c>
      <c r="K71" s="46">
        <v>0.02</v>
      </c>
      <c r="L71" s="46">
        <v>0.02</v>
      </c>
      <c r="M71" s="46">
        <v>0.02</v>
      </c>
      <c r="N71" s="46">
        <v>0.02</v>
      </c>
      <c r="O71" s="46">
        <v>0.02</v>
      </c>
      <c r="P71" s="46">
        <v>0.02</v>
      </c>
      <c r="Q71" s="46">
        <v>0.02</v>
      </c>
      <c r="R71" s="46">
        <v>0.02</v>
      </c>
      <c r="S71" s="46">
        <v>0.02</v>
      </c>
      <c r="T71" s="46">
        <v>0.02</v>
      </c>
      <c r="U71" s="250"/>
      <c r="V71" s="250"/>
      <c r="Z71" s="67" t="s">
        <v>244</v>
      </c>
      <c r="AA71" s="260"/>
      <c r="AB71" s="69">
        <f t="shared" si="106"/>
        <v>5.0000999999999998</v>
      </c>
      <c r="AC71" s="198"/>
      <c r="AG71" s="705" t="str">
        <f>AG61</f>
        <v>A</v>
      </c>
      <c r="AH71" s="705">
        <f>AH61</f>
        <v>1</v>
      </c>
      <c r="AI71" s="719">
        <f>AI61-$E$108</f>
        <v>200000</v>
      </c>
      <c r="AJ71" s="719">
        <f>AJ61-$E$108</f>
        <v>236000</v>
      </c>
      <c r="AK71" s="719">
        <f>AK61-$E$108</f>
        <v>248360</v>
      </c>
      <c r="AL71" s="719">
        <f>AL61-$E$108</f>
        <v>273327.19999999995</v>
      </c>
      <c r="AM71" s="719">
        <f>AM61-$E$108</f>
        <v>311527.01600000006</v>
      </c>
      <c r="AN71" s="719">
        <f>AN61-$E$108</f>
        <v>363988.09664000012</v>
      </c>
      <c r="AO71" s="719">
        <f>AO61-$E$108</f>
        <v>432187.50147200027</v>
      </c>
      <c r="AP71" s="719">
        <f>AP61-$E$108</f>
        <v>460831.2515014403</v>
      </c>
      <c r="AQ71" s="719">
        <f>AQ61-$E$108</f>
        <v>490047.87653146917</v>
      </c>
      <c r="AR71" s="719">
        <f>AR61-$E$108</f>
        <v>519848.83406209853</v>
      </c>
      <c r="AS71" s="719">
        <f>AS61-$E$108</f>
        <v>565444.29908396141</v>
      </c>
      <c r="AT71" s="719">
        <f>AT61-$E$108</f>
        <v>612407.62805648032</v>
      </c>
      <c r="AU71" s="719">
        <f>AU61-R108</f>
        <v>0</v>
      </c>
      <c r="AV71" s="705"/>
      <c r="AW71" s="705"/>
      <c r="AX71" s="705"/>
      <c r="AY71" s="705"/>
      <c r="AZ71" s="705"/>
      <c r="BA71" s="706"/>
      <c r="BB71" s="705"/>
      <c r="BC71" s="705"/>
      <c r="BD71" s="165"/>
      <c r="BE71" s="256">
        <f>BI67</f>
        <v>2</v>
      </c>
      <c r="BF71" s="136">
        <f t="shared" ref="BF71:BF84" si="114">IF(BE71="","",IRR(BG71:BV71))</f>
        <v>-6.6885790977092463E-2</v>
      </c>
      <c r="BG71" s="73">
        <f t="shared" si="112"/>
        <v>-25248631.239999998</v>
      </c>
      <c r="BH71" s="73">
        <f t="shared" ref="BH71:BQ79" si="115">(BH$67&lt;&gt;"") * ($BE71&lt;&gt;"") * ((BH$67&lt;=$BE71)*(-BH$15+BH$26) + (BH$67=$BE71)*BH$35)</f>
        <v>1286542.66444</v>
      </c>
      <c r="BI71" s="73">
        <f t="shared" si="115"/>
        <v>20783545.685834654</v>
      </c>
      <c r="BJ71" s="73">
        <f>(BJ$67&lt;&gt;"") * ($BE$71&lt;&gt;"") * ((BJ$67&lt;=$BE$71)*(-BJ$15+BJ$26) + (BJ$67=$BE$71)*BJ$35)</f>
        <v>0</v>
      </c>
      <c r="BK71" s="73" t="str">
        <f t="shared" ref="BK71:BQ72" si="116">IF(OR(BK$66="",$AU71=""),"",(BK$66&lt;=$AU71)*(-BK$14+BK$25)+(BK$66=$AU71)*BK$34)</f>
        <v/>
      </c>
      <c r="BL71" s="73" t="str">
        <f t="shared" si="116"/>
        <v/>
      </c>
      <c r="BM71" s="73" t="str">
        <f t="shared" si="116"/>
        <v/>
      </c>
      <c r="BN71" s="73" t="str">
        <f t="shared" si="116"/>
        <v/>
      </c>
      <c r="BO71" s="73" t="str">
        <f t="shared" si="116"/>
        <v/>
      </c>
      <c r="BP71" s="73" t="str">
        <f t="shared" si="116"/>
        <v/>
      </c>
      <c r="BQ71" s="73" t="str">
        <f t="shared" si="116"/>
        <v/>
      </c>
      <c r="BR71" s="73" t="str">
        <f t="shared" si="113"/>
        <v/>
      </c>
      <c r="BS71" s="73" t="str">
        <f t="shared" si="113"/>
        <v/>
      </c>
      <c r="BT71" s="73" t="str">
        <f t="shared" si="113"/>
        <v/>
      </c>
      <c r="BU71" s="73" t="str">
        <f t="shared" si="113"/>
        <v/>
      </c>
      <c r="BV71" s="73" t="str">
        <f t="shared" si="113"/>
        <v/>
      </c>
      <c r="BW71" s="165"/>
      <c r="BZ71" s="422" t="s">
        <v>336</v>
      </c>
      <c r="CA71" s="216"/>
    </row>
    <row r="72" spans="2:97" ht="16.5">
      <c r="B72" s="110" t="s">
        <v>337</v>
      </c>
      <c r="C72" s="275"/>
      <c r="D72" s="270"/>
      <c r="E72" s="270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250"/>
      <c r="V72" s="250"/>
      <c r="Z72" s="103" t="s">
        <v>224</v>
      </c>
      <c r="AA72" s="260"/>
      <c r="AB72" s="69">
        <f>SUM(AB64:AB71)</f>
        <v>13.768999999999998</v>
      </c>
      <c r="AC72" s="198"/>
      <c r="AG72" s="705" t="str">
        <f t="shared" ref="AG72:AH75" si="117">AG62</f>
        <v>B</v>
      </c>
      <c r="AH72" s="705">
        <f t="shared" si="117"/>
        <v>2</v>
      </c>
      <c r="AI72" s="719">
        <f>AI62-$E$109</f>
        <v>50000</v>
      </c>
      <c r="AJ72" s="719">
        <f>AJ62-$E$109</f>
        <v>75500</v>
      </c>
      <c r="AK72" s="719">
        <f>AK62-$E$109</f>
        <v>119275</v>
      </c>
      <c r="AL72" s="719">
        <f>AL62-$E$109</f>
        <v>165238.75</v>
      </c>
      <c r="AM72" s="719">
        <f>AM62-$E$109</f>
        <v>213500.6875</v>
      </c>
      <c r="AN72" s="719">
        <f>AN62-$E$109</f>
        <v>233770.70125000004</v>
      </c>
      <c r="AO72" s="719">
        <f>AO62-$E$109</f>
        <v>254446.11527499999</v>
      </c>
      <c r="AP72" s="719">
        <f>AP62-$E$109</f>
        <v>275535.03758050012</v>
      </c>
      <c r="AQ72" s="719">
        <f>AQ62-$E$109</f>
        <v>297045.73833211022</v>
      </c>
      <c r="AR72" s="719">
        <f>AR62-$E$109</f>
        <v>340927.56786539475</v>
      </c>
      <c r="AS72" s="719">
        <f>AS62-$E$109</f>
        <v>386564.67058001063</v>
      </c>
      <c r="AT72" s="719">
        <f>AT62-$E$109</f>
        <v>434027.2574032112</v>
      </c>
      <c r="AU72" s="705"/>
      <c r="AV72" s="705"/>
      <c r="AW72" s="705"/>
      <c r="AX72" s="705"/>
      <c r="AY72" s="705"/>
      <c r="AZ72" s="705"/>
      <c r="BA72" s="706"/>
      <c r="BB72" s="705"/>
      <c r="BC72" s="705"/>
      <c r="BD72" s="165"/>
      <c r="BE72" s="256">
        <f>BJ67</f>
        <v>3</v>
      </c>
      <c r="BF72" s="136">
        <f t="shared" si="114"/>
        <v>-3.4827222037983607E-2</v>
      </c>
      <c r="BG72" s="73">
        <f t="shared" si="112"/>
        <v>-25248631.239999998</v>
      </c>
      <c r="BH72" s="73">
        <f t="shared" si="115"/>
        <v>1286542.66444</v>
      </c>
      <c r="BI72" s="73">
        <f t="shared" si="115"/>
        <v>1278175.26774</v>
      </c>
      <c r="BJ72" s="73">
        <f t="shared" si="115"/>
        <v>20269270.756838277</v>
      </c>
      <c r="BK72" s="73" t="str">
        <f t="shared" si="116"/>
        <v/>
      </c>
      <c r="BL72" s="73" t="str">
        <f t="shared" si="116"/>
        <v/>
      </c>
      <c r="BM72" s="73" t="str">
        <f t="shared" si="116"/>
        <v/>
      </c>
      <c r="BN72" s="73" t="str">
        <f t="shared" si="116"/>
        <v/>
      </c>
      <c r="BO72" s="73" t="str">
        <f t="shared" si="116"/>
        <v/>
      </c>
      <c r="BP72" s="73" t="str">
        <f t="shared" si="116"/>
        <v/>
      </c>
      <c r="BQ72" s="73" t="str">
        <f t="shared" si="116"/>
        <v/>
      </c>
      <c r="BR72" s="73" t="str">
        <f t="shared" si="113"/>
        <v/>
      </c>
      <c r="BS72" s="73" t="str">
        <f t="shared" si="113"/>
        <v/>
      </c>
      <c r="BT72" s="73" t="str">
        <f t="shared" si="113"/>
        <v/>
      </c>
      <c r="BU72" s="73" t="str">
        <f t="shared" si="113"/>
        <v/>
      </c>
      <c r="BV72" s="73" t="str">
        <f t="shared" si="113"/>
        <v/>
      </c>
      <c r="BW72" s="165"/>
      <c r="BZ72" s="422" t="s">
        <v>311</v>
      </c>
      <c r="CA72" s="216"/>
    </row>
    <row r="73" spans="2:97" ht="16.5"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32"/>
      <c r="V73" s="232"/>
      <c r="Z73" s="103"/>
      <c r="AA73" s="260"/>
      <c r="AB73" s="69"/>
      <c r="AC73" s="198"/>
      <c r="AG73" s="705" t="str">
        <f t="shared" si="117"/>
        <v>C</v>
      </c>
      <c r="AH73" s="705">
        <f t="shared" si="117"/>
        <v>3</v>
      </c>
      <c r="AI73" s="719">
        <f>AI63-$E$110</f>
        <v>100000</v>
      </c>
      <c r="AJ73" s="719">
        <f>AJ63-$E$110</f>
        <v>110000</v>
      </c>
      <c r="AK73" s="719">
        <f>AK63-$E$110</f>
        <v>120200</v>
      </c>
      <c r="AL73" s="719">
        <f>AL63-$E$110</f>
        <v>130604</v>
      </c>
      <c r="AM73" s="719">
        <f>AM63-$E$110</f>
        <v>141216.07999999996</v>
      </c>
      <c r="AN73" s="719">
        <f>AN63-$E$110</f>
        <v>141216.07999999996</v>
      </c>
      <c r="AO73" s="719">
        <f>AO63-$E$110</f>
        <v>141216.07999999996</v>
      </c>
      <c r="AP73" s="719">
        <f>AP63-$E$110</f>
        <v>141216.07999999996</v>
      </c>
      <c r="AQ73" s="719">
        <f>AQ63-$E$110</f>
        <v>141216.07999999996</v>
      </c>
      <c r="AR73" s="719">
        <f>AR63-$E$110</f>
        <v>152040.40159999998</v>
      </c>
      <c r="AS73" s="719">
        <f>AS63-$E$110</f>
        <v>163081.20963199995</v>
      </c>
      <c r="AT73" s="719">
        <f>AT63-$E$110</f>
        <v>174342.83382463991</v>
      </c>
      <c r="AU73" s="705"/>
      <c r="AV73" s="705"/>
      <c r="AW73" s="705"/>
      <c r="AX73" s="705"/>
      <c r="AY73" s="705"/>
      <c r="AZ73" s="705"/>
      <c r="BA73" s="706"/>
      <c r="BB73" s="705"/>
      <c r="BC73" s="705"/>
      <c r="BD73" s="165"/>
      <c r="BE73" s="256">
        <f>BK67</f>
        <v>4</v>
      </c>
      <c r="BF73" s="136">
        <f t="shared" si="114"/>
        <v>-3.2572493068194208E-2</v>
      </c>
      <c r="BG73" s="73">
        <f t="shared" si="112"/>
        <v>-25248631.239999998</v>
      </c>
      <c r="BH73" s="73">
        <f t="shared" si="115"/>
        <v>1286542.66444</v>
      </c>
      <c r="BI73" s="73">
        <f t="shared" si="115"/>
        <v>1278175.26774</v>
      </c>
      <c r="BJ73" s="73">
        <f t="shared" si="115"/>
        <v>1020346.1471810001</v>
      </c>
      <c r="BK73" s="73">
        <f t="shared" si="115"/>
        <v>18768002.800333239</v>
      </c>
      <c r="BL73" s="73">
        <f t="shared" si="115"/>
        <v>0</v>
      </c>
      <c r="BM73" s="73">
        <f t="shared" si="115"/>
        <v>0</v>
      </c>
      <c r="BN73" s="73">
        <f t="shared" si="115"/>
        <v>0</v>
      </c>
      <c r="BO73" s="73">
        <f t="shared" si="115"/>
        <v>0</v>
      </c>
      <c r="BP73" s="73">
        <f t="shared" si="115"/>
        <v>0</v>
      </c>
      <c r="BQ73" s="73">
        <f t="shared" si="115"/>
        <v>0</v>
      </c>
      <c r="BR73" s="73" t="str">
        <f t="shared" si="113"/>
        <v/>
      </c>
      <c r="BS73" s="73" t="str">
        <f t="shared" si="113"/>
        <v/>
      </c>
      <c r="BT73" s="73" t="str">
        <f t="shared" si="113"/>
        <v/>
      </c>
      <c r="BU73" s="73" t="str">
        <f t="shared" si="113"/>
        <v/>
      </c>
      <c r="BV73" s="73" t="str">
        <f t="shared" si="113"/>
        <v/>
      </c>
      <c r="BW73" s="165"/>
      <c r="BZ73" s="422" t="s">
        <v>338</v>
      </c>
      <c r="CA73" s="216"/>
    </row>
    <row r="74" spans="2:97" ht="16.5">
      <c r="Z74" s="106" t="s">
        <v>227</v>
      </c>
      <c r="AA74" s="260"/>
      <c r="AB74" s="158">
        <f>AB62-AB72</f>
        <v>-13.768999999999998</v>
      </c>
      <c r="AC74" s="198"/>
      <c r="AG74" s="705" t="str">
        <f t="shared" si="117"/>
        <v>D</v>
      </c>
      <c r="AH74" s="705">
        <f t="shared" si="117"/>
        <v>4</v>
      </c>
      <c r="AI74" s="719">
        <f>AI64-$E$111</f>
        <v>500000</v>
      </c>
      <c r="AJ74" s="719">
        <f>AJ64-$E$111</f>
        <v>520000</v>
      </c>
      <c r="AK74" s="719">
        <f>AK64-$E$111</f>
        <v>540200</v>
      </c>
      <c r="AL74" s="719">
        <f>AL64-$E$111</f>
        <v>560602</v>
      </c>
      <c r="AM74" s="719">
        <f>AM64-$E$111</f>
        <v>581208.02</v>
      </c>
      <c r="AN74" s="719">
        <f>AN64-$E$111</f>
        <v>602020.10020000022</v>
      </c>
      <c r="AO74" s="719">
        <f>AO64-$E$111</f>
        <v>644060.50220400048</v>
      </c>
      <c r="AP74" s="719">
        <f>AP64-$E$111</f>
        <v>686941.71224808041</v>
      </c>
      <c r="AQ74" s="719">
        <f>AQ64-$E$111</f>
        <v>730680.54649304226</v>
      </c>
      <c r="AR74" s="719">
        <f>AR64-$E$111</f>
        <v>752987.35195797263</v>
      </c>
      <c r="AS74" s="719">
        <f>AS64-$E$111</f>
        <v>775517.22547755251</v>
      </c>
      <c r="AT74" s="719">
        <f>AT64-$E$111</f>
        <v>798272.39773232816</v>
      </c>
      <c r="AU74" s="705"/>
      <c r="AV74" s="705"/>
      <c r="AW74" s="705"/>
      <c r="AX74" s="705"/>
      <c r="AY74" s="705"/>
      <c r="AZ74" s="705"/>
      <c r="BA74" s="706"/>
      <c r="BB74" s="705"/>
      <c r="BC74" s="705"/>
      <c r="BD74" s="165"/>
      <c r="BE74" s="256">
        <f>BL67</f>
        <v>5</v>
      </c>
      <c r="BF74" s="136">
        <f t="shared" si="114"/>
        <v>-1.7085951518291842E-2</v>
      </c>
      <c r="BG74" s="73">
        <f t="shared" si="112"/>
        <v>-25248631.239999998</v>
      </c>
      <c r="BH74" s="73">
        <f t="shared" si="115"/>
        <v>1286542.66444</v>
      </c>
      <c r="BI74" s="73">
        <f t="shared" si="115"/>
        <v>1278175.26774</v>
      </c>
      <c r="BJ74" s="73">
        <f t="shared" si="115"/>
        <v>1020346.1471810001</v>
      </c>
      <c r="BK74" s="73">
        <f t="shared" si="115"/>
        <v>-236911.04613267025</v>
      </c>
      <c r="BL74" s="73">
        <f t="shared" si="115"/>
        <v>19996577.605746817</v>
      </c>
      <c r="BM74" s="73">
        <f t="shared" si="115"/>
        <v>0</v>
      </c>
      <c r="BN74" s="73">
        <f t="shared" si="115"/>
        <v>0</v>
      </c>
      <c r="BO74" s="73">
        <f t="shared" si="115"/>
        <v>0</v>
      </c>
      <c r="BP74" s="73">
        <f t="shared" si="115"/>
        <v>0</v>
      </c>
      <c r="BQ74" s="73">
        <f t="shared" si="115"/>
        <v>0</v>
      </c>
      <c r="BR74" s="73" t="str">
        <f t="shared" si="113"/>
        <v/>
      </c>
      <c r="BS74" s="73" t="str">
        <f t="shared" si="113"/>
        <v/>
      </c>
      <c r="BT74" s="73" t="str">
        <f t="shared" si="113"/>
        <v/>
      </c>
      <c r="BU74" s="73" t="str">
        <f t="shared" si="113"/>
        <v/>
      </c>
      <c r="BV74" s="73" t="str">
        <f t="shared" si="113"/>
        <v/>
      </c>
      <c r="BW74" s="165"/>
      <c r="BZ74" s="422" t="str">
        <f>"Distributions to LP "&amp;BZ68</f>
        <v>Distributions to LP Tier 2</v>
      </c>
      <c r="CA74" s="216"/>
    </row>
    <row r="75" spans="2:97" ht="16.5"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Z75" s="103"/>
      <c r="AA75" s="260"/>
      <c r="AB75" s="69"/>
      <c r="AC75" s="198"/>
      <c r="AG75" s="705"/>
      <c r="AH75" s="705"/>
      <c r="AI75" s="705"/>
      <c r="AJ75" s="706"/>
      <c r="AK75" s="705"/>
      <c r="AL75" s="705"/>
      <c r="AM75" s="705"/>
      <c r="AN75" s="705"/>
      <c r="AO75" s="705"/>
      <c r="AP75" s="705"/>
      <c r="AQ75" s="705"/>
      <c r="AR75" s="705"/>
      <c r="AS75" s="705"/>
      <c r="AT75" s="705"/>
      <c r="AU75" s="705"/>
      <c r="AV75" s="705"/>
      <c r="AW75" s="705"/>
      <c r="AX75" s="705"/>
      <c r="AY75" s="705"/>
      <c r="AZ75" s="705"/>
      <c r="BA75" s="706"/>
      <c r="BB75" s="705"/>
      <c r="BC75" s="705"/>
      <c r="BD75" s="165"/>
      <c r="BE75" s="256">
        <f>BM67</f>
        <v>6</v>
      </c>
      <c r="BF75" s="136">
        <f t="shared" si="114"/>
        <v>1.436607757151287E-2</v>
      </c>
      <c r="BG75" s="73">
        <f t="shared" si="112"/>
        <v>-25248631.239999998</v>
      </c>
      <c r="BH75" s="73">
        <f t="shared" si="115"/>
        <v>1286542.66444</v>
      </c>
      <c r="BI75" s="73">
        <f t="shared" si="115"/>
        <v>1278175.26774</v>
      </c>
      <c r="BJ75" s="73">
        <f t="shared" si="115"/>
        <v>1020346.1471810001</v>
      </c>
      <c r="BK75" s="73">
        <f t="shared" si="115"/>
        <v>-236911.04613267025</v>
      </c>
      <c r="BL75" s="73">
        <f t="shared" si="115"/>
        <v>1254299.0560315535</v>
      </c>
      <c r="BM75" s="73">
        <f t="shared" si="115"/>
        <v>22676271.794714026</v>
      </c>
      <c r="BN75" s="73">
        <f t="shared" si="115"/>
        <v>0</v>
      </c>
      <c r="BO75" s="73">
        <f t="shared" si="115"/>
        <v>0</v>
      </c>
      <c r="BP75" s="73">
        <f t="shared" si="115"/>
        <v>0</v>
      </c>
      <c r="BQ75" s="73">
        <f t="shared" si="115"/>
        <v>0</v>
      </c>
      <c r="BR75" s="73" t="str">
        <f t="shared" si="113"/>
        <v/>
      </c>
      <c r="BS75" s="73" t="str">
        <f t="shared" si="113"/>
        <v/>
      </c>
      <c r="BT75" s="73" t="str">
        <f t="shared" si="113"/>
        <v/>
      </c>
      <c r="BU75" s="73" t="str">
        <f t="shared" si="113"/>
        <v/>
      </c>
      <c r="BV75" s="73" t="str">
        <f t="shared" si="113"/>
        <v/>
      </c>
      <c r="BW75" s="165"/>
      <c r="BZ75" s="422" t="s">
        <v>314</v>
      </c>
      <c r="CA75" s="216"/>
    </row>
    <row r="76" spans="2:97"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232"/>
      <c r="V76" s="232"/>
      <c r="Z76" s="67" t="s">
        <v>263</v>
      </c>
      <c r="AA76" s="260"/>
      <c r="AB76" s="159">
        <f>E60/$D$17</f>
        <v>0</v>
      </c>
      <c r="AC76" s="198"/>
      <c r="AG76" s="165"/>
      <c r="AH76" s="165"/>
      <c r="AI76" s="165"/>
      <c r="AJ76" s="702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381"/>
      <c r="BB76" s="165"/>
      <c r="BC76" s="165"/>
      <c r="BD76" s="165"/>
      <c r="BE76" s="256">
        <f>BN67</f>
        <v>7</v>
      </c>
      <c r="BF76" s="136">
        <f t="shared" si="114"/>
        <v>1.9218440112091839E-2</v>
      </c>
      <c r="BG76" s="73">
        <f t="shared" si="112"/>
        <v>-25248631.239999998</v>
      </c>
      <c r="BH76" s="73">
        <f t="shared" si="115"/>
        <v>1286542.66444</v>
      </c>
      <c r="BI76" s="73">
        <f t="shared" si="115"/>
        <v>1278175.26774</v>
      </c>
      <c r="BJ76" s="73">
        <f t="shared" si="115"/>
        <v>1020346.1471810001</v>
      </c>
      <c r="BK76" s="73">
        <f t="shared" si="115"/>
        <v>-236911.04613267025</v>
      </c>
      <c r="BL76" s="73">
        <f t="shared" si="115"/>
        <v>1254299.0560315535</v>
      </c>
      <c r="BM76" s="73">
        <f t="shared" si="115"/>
        <v>1435416.1016370375</v>
      </c>
      <c r="BN76" s="73">
        <f t="shared" si="115"/>
        <v>22383303.199587338</v>
      </c>
      <c r="BO76" s="73">
        <f t="shared" si="115"/>
        <v>0</v>
      </c>
      <c r="BP76" s="73">
        <f t="shared" si="115"/>
        <v>0</v>
      </c>
      <c r="BQ76" s="73">
        <f t="shared" si="115"/>
        <v>0</v>
      </c>
      <c r="BR76" s="73" t="str">
        <f t="shared" si="113"/>
        <v/>
      </c>
      <c r="BS76" s="73" t="str">
        <f t="shared" si="113"/>
        <v/>
      </c>
      <c r="BT76" s="73" t="str">
        <f t="shared" si="113"/>
        <v/>
      </c>
      <c r="BU76" s="73" t="str">
        <f t="shared" si="113"/>
        <v/>
      </c>
      <c r="BV76" s="73" t="str">
        <f t="shared" si="113"/>
        <v/>
      </c>
      <c r="BW76" s="165"/>
      <c r="BZ76" s="429" t="str">
        <f>CA69</f>
        <v> </v>
      </c>
      <c r="CA76" s="216"/>
    </row>
    <row r="77" spans="2:97" ht="18.75"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Z77" s="67" t="s">
        <v>269</v>
      </c>
      <c r="AA77" s="260"/>
      <c r="AB77" s="159">
        <f>E61/$D$17</f>
        <v>0</v>
      </c>
      <c r="AC77" s="198"/>
      <c r="AG77" s="722" t="s">
        <v>628</v>
      </c>
      <c r="AH77" s="723"/>
      <c r="AI77" s="723"/>
      <c r="AJ77" s="724"/>
      <c r="AK77" s="723"/>
      <c r="AL77" s="723"/>
      <c r="AM77" s="723"/>
      <c r="AN77" s="723"/>
      <c r="AO77" s="723"/>
      <c r="AP77" s="723"/>
      <c r="AQ77" s="723"/>
      <c r="AR77" s="723"/>
      <c r="AS77" s="723"/>
      <c r="AT77" s="723"/>
      <c r="AU77" s="723"/>
      <c r="AV77" s="723"/>
      <c r="AW77" s="723"/>
      <c r="AX77" s="723"/>
      <c r="AY77" s="723"/>
      <c r="AZ77" s="723"/>
      <c r="BA77" s="724"/>
      <c r="BB77" s="723"/>
      <c r="BC77" s="723"/>
      <c r="BD77" s="165"/>
      <c r="BE77" s="256">
        <f>BO67</f>
        <v>8</v>
      </c>
      <c r="BF77" s="136">
        <f t="shared" si="114"/>
        <v>2.2838274130250635E-2</v>
      </c>
      <c r="BG77" s="73">
        <f t="shared" si="112"/>
        <v>-25248631.239999998</v>
      </c>
      <c r="BH77" s="73">
        <f t="shared" si="115"/>
        <v>1286542.66444</v>
      </c>
      <c r="BI77" s="73">
        <f t="shared" si="115"/>
        <v>1278175.26774</v>
      </c>
      <c r="BJ77" s="73">
        <f t="shared" si="115"/>
        <v>1020346.1471810001</v>
      </c>
      <c r="BK77" s="73">
        <f t="shared" si="115"/>
        <v>-236911.04613267025</v>
      </c>
      <c r="BL77" s="73">
        <f t="shared" si="115"/>
        <v>1254299.0560315535</v>
      </c>
      <c r="BM77" s="73">
        <f t="shared" si="115"/>
        <v>1435416.1016370375</v>
      </c>
      <c r="BN77" s="73">
        <f t="shared" si="115"/>
        <v>1426024.46402669</v>
      </c>
      <c r="BO77" s="73">
        <f t="shared" si="115"/>
        <v>22091757.295098595</v>
      </c>
      <c r="BP77" s="73">
        <f t="shared" si="115"/>
        <v>0</v>
      </c>
      <c r="BQ77" s="73">
        <f t="shared" si="115"/>
        <v>0</v>
      </c>
      <c r="BR77" s="73" t="str">
        <f t="shared" si="113"/>
        <v/>
      </c>
      <c r="BS77" s="73" t="str">
        <f t="shared" si="113"/>
        <v/>
      </c>
      <c r="BT77" s="73" t="str">
        <f t="shared" si="113"/>
        <v/>
      </c>
      <c r="BU77" s="73" t="str">
        <f t="shared" si="113"/>
        <v/>
      </c>
      <c r="BV77" s="73" t="str">
        <f t="shared" si="113"/>
        <v/>
      </c>
      <c r="BW77" s="165"/>
      <c r="BZ77" s="430" t="s">
        <v>158</v>
      </c>
      <c r="CA77" s="252" t="s">
        <v>158</v>
      </c>
    </row>
    <row r="78" spans="2:97"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Z78" s="67" t="s">
        <v>272</v>
      </c>
      <c r="AA78" s="260"/>
      <c r="AB78" s="115">
        <f>E62/$D$17</f>
        <v>0.5</v>
      </c>
      <c r="AC78" s="198"/>
      <c r="AG78" s="723"/>
      <c r="AH78" s="723"/>
      <c r="AI78" s="723"/>
      <c r="AJ78" s="724"/>
      <c r="AK78" s="723"/>
      <c r="AL78" s="723"/>
      <c r="AM78" s="723"/>
      <c r="AN78" s="723"/>
      <c r="AO78" s="723"/>
      <c r="AP78" s="723"/>
      <c r="AQ78" s="723"/>
      <c r="AR78" s="723"/>
      <c r="AS78" s="723"/>
      <c r="AT78" s="723"/>
      <c r="AU78" s="723"/>
      <c r="AV78" s="723"/>
      <c r="AW78" s="723"/>
      <c r="AX78" s="723"/>
      <c r="AY78" s="723"/>
      <c r="AZ78" s="723"/>
      <c r="BA78" s="724"/>
      <c r="BB78" s="723"/>
      <c r="BC78" s="723"/>
      <c r="BD78" s="165"/>
      <c r="BE78" s="256">
        <f>BP67</f>
        <v>9</v>
      </c>
      <c r="BF78" s="136">
        <f t="shared" si="114"/>
        <v>2.5681948104227859E-2</v>
      </c>
      <c r="BG78" s="73">
        <f t="shared" si="112"/>
        <v>-25248631.239999998</v>
      </c>
      <c r="BH78" s="73">
        <f t="shared" si="115"/>
        <v>1286542.66444</v>
      </c>
      <c r="BI78" s="73">
        <f t="shared" si="115"/>
        <v>1278175.26774</v>
      </c>
      <c r="BJ78" s="73">
        <f t="shared" si="115"/>
        <v>1020346.1471810001</v>
      </c>
      <c r="BK78" s="73">
        <f t="shared" si="115"/>
        <v>-236911.04613267025</v>
      </c>
      <c r="BL78" s="73">
        <f t="shared" si="115"/>
        <v>1254299.0560315535</v>
      </c>
      <c r="BM78" s="73">
        <f t="shared" si="115"/>
        <v>1435416.1016370375</v>
      </c>
      <c r="BN78" s="73">
        <f t="shared" si="115"/>
        <v>1426024.46402669</v>
      </c>
      <c r="BO78" s="73">
        <f t="shared" si="115"/>
        <v>1416444.9936641359</v>
      </c>
      <c r="BP78" s="73">
        <f t="shared" si="115"/>
        <v>21809873.433597986</v>
      </c>
      <c r="BQ78" s="73">
        <f t="shared" si="115"/>
        <v>0</v>
      </c>
      <c r="BR78" s="73" t="str">
        <f t="shared" si="113"/>
        <v/>
      </c>
      <c r="BS78" s="73" t="str">
        <f t="shared" si="113"/>
        <v/>
      </c>
      <c r="BT78" s="73" t="str">
        <f t="shared" si="113"/>
        <v/>
      </c>
      <c r="BU78" s="73" t="str">
        <f t="shared" si="113"/>
        <v/>
      </c>
      <c r="BV78" s="73" t="str">
        <f t="shared" si="113"/>
        <v/>
      </c>
      <c r="BW78" s="165"/>
      <c r="BZ78" s="422" t="s">
        <v>315</v>
      </c>
      <c r="CA78" s="216"/>
    </row>
    <row r="79" spans="2:97" ht="16.5">
      <c r="U79" s="164"/>
      <c r="V79" s="164"/>
      <c r="Z79" s="67" t="s">
        <v>276</v>
      </c>
      <c r="AA79" s="260"/>
      <c r="AB79" s="159">
        <f>E63/$D$17</f>
        <v>0</v>
      </c>
      <c r="AC79" s="198"/>
      <c r="AG79" s="725" t="s">
        <v>346</v>
      </c>
      <c r="AH79" s="726" t="s">
        <v>344</v>
      </c>
      <c r="AI79" s="705" t="str">
        <f>AI70</f>
        <v>YR 0</v>
      </c>
      <c r="AJ79" s="704">
        <f>AJ70</f>
        <v>1</v>
      </c>
      <c r="AK79" s="704">
        <f>AK70</f>
        <v>2</v>
      </c>
      <c r="AL79" s="704">
        <f>AL70</f>
        <v>3</v>
      </c>
      <c r="AM79" s="704">
        <f>AM70</f>
        <v>4</v>
      </c>
      <c r="AN79" s="704">
        <f>AN70</f>
        <v>5</v>
      </c>
      <c r="AO79" s="704">
        <f>AO70</f>
        <v>6</v>
      </c>
      <c r="AP79" s="704">
        <f>AP70</f>
        <v>7</v>
      </c>
      <c r="AQ79" s="704">
        <f>AQ70</f>
        <v>8</v>
      </c>
      <c r="AR79" s="704">
        <f>AR70</f>
        <v>9</v>
      </c>
      <c r="AS79" s="704">
        <f>AS70</f>
        <v>10</v>
      </c>
      <c r="AT79" s="704">
        <f>AT70</f>
        <v>11</v>
      </c>
      <c r="AU79" s="705"/>
      <c r="AV79" s="705"/>
      <c r="AW79" s="705"/>
      <c r="AX79" s="705"/>
      <c r="AY79" s="705"/>
      <c r="AZ79" s="705"/>
      <c r="BA79" s="706"/>
      <c r="BB79" s="705"/>
      <c r="BC79" s="705"/>
      <c r="BD79" s="165"/>
      <c r="BE79" s="256">
        <f>BQ67</f>
        <v>10</v>
      </c>
      <c r="BF79" s="136">
        <f t="shared" si="114"/>
        <v>2.8002774795947705E-2</v>
      </c>
      <c r="BG79" s="73">
        <f t="shared" si="112"/>
        <v>-25248631.239999998</v>
      </c>
      <c r="BH79" s="73">
        <f t="shared" si="115"/>
        <v>1286542.66444</v>
      </c>
      <c r="BI79" s="73">
        <f t="shared" si="115"/>
        <v>1278175.26774</v>
      </c>
      <c r="BJ79" s="73">
        <f t="shared" si="115"/>
        <v>1020346.1471810001</v>
      </c>
      <c r="BK79" s="73">
        <f t="shared" si="115"/>
        <v>-236911.04613267025</v>
      </c>
      <c r="BL79" s="73">
        <f t="shared" si="115"/>
        <v>1254299.0560315535</v>
      </c>
      <c r="BM79" s="73">
        <f t="shared" si="115"/>
        <v>1435416.1016370375</v>
      </c>
      <c r="BN79" s="73">
        <f t="shared" si="115"/>
        <v>1426024.46402669</v>
      </c>
      <c r="BO79" s="73">
        <f t="shared" si="115"/>
        <v>1416444.9936641359</v>
      </c>
      <c r="BP79" s="73">
        <f t="shared" si="115"/>
        <v>1407221.7465049624</v>
      </c>
      <c r="BQ79" s="137">
        <f t="shared" si="115"/>
        <v>21541828.548494667</v>
      </c>
      <c r="BR79" s="73" t="str">
        <f t="shared" si="113"/>
        <v/>
      </c>
      <c r="BS79" s="73" t="str">
        <f t="shared" si="113"/>
        <v/>
      </c>
      <c r="BT79" s="73" t="str">
        <f t="shared" si="113"/>
        <v/>
      </c>
      <c r="BU79" s="73" t="str">
        <f t="shared" si="113"/>
        <v/>
      </c>
      <c r="BV79" s="73" t="str">
        <f t="shared" si="113"/>
        <v/>
      </c>
      <c r="BW79" s="165"/>
      <c r="BZ79" s="422" t="s">
        <v>321</v>
      </c>
      <c r="CA79" s="216"/>
    </row>
    <row r="80" spans="2:97" ht="16.5">
      <c r="Z80" s="103" t="s">
        <v>233</v>
      </c>
      <c r="AA80" s="260"/>
      <c r="AB80" s="69">
        <f>SUM(AB76:AB79)</f>
        <v>0.5</v>
      </c>
      <c r="AC80" s="198"/>
      <c r="AG80" s="705" t="str">
        <f>AG71</f>
        <v>A</v>
      </c>
      <c r="AH80" s="705">
        <f>AH71</f>
        <v>1</v>
      </c>
      <c r="AI80" s="719">
        <f>AI71*$G108</f>
        <v>12000</v>
      </c>
      <c r="AJ80" s="719">
        <f>AJ71*$G108</f>
        <v>14160</v>
      </c>
      <c r="AK80" s="719">
        <f>AK71*$G108</f>
        <v>14901.599999999999</v>
      </c>
      <c r="AL80" s="719">
        <f>AL71*$G108</f>
        <v>16399.631999999998</v>
      </c>
      <c r="AM80" s="719">
        <f>AM71*$G108</f>
        <v>18691.620960000004</v>
      </c>
      <c r="AN80" s="719">
        <f>AN71*$G108</f>
        <v>21839.285798400007</v>
      </c>
      <c r="AO80" s="719">
        <f>AO71*$G108</f>
        <v>25931.250088320015</v>
      </c>
      <c r="AP80" s="719">
        <f>AP71*$G108</f>
        <v>27649.875090086418</v>
      </c>
      <c r="AQ80" s="719">
        <f>AQ71*$G108</f>
        <v>29402.87259188815</v>
      </c>
      <c r="AR80" s="719">
        <f>AR71*$G108</f>
        <v>31190.930043725912</v>
      </c>
      <c r="AS80" s="719">
        <f>AS71*$G108</f>
        <v>33926.657945037681</v>
      </c>
      <c r="AT80" s="719">
        <f>AT71*$G108</f>
        <v>36744.45768338882</v>
      </c>
      <c r="AU80" s="705"/>
      <c r="AV80" s="705"/>
      <c r="AW80" s="705"/>
      <c r="AX80" s="705"/>
      <c r="AY80" s="705"/>
      <c r="AZ80" s="705"/>
      <c r="BA80" s="706"/>
      <c r="BB80" s="705"/>
      <c r="BC80" s="705"/>
      <c r="BD80" s="165"/>
      <c r="BE80" s="256" t="str">
        <f>BR67</f>
        <v/>
      </c>
      <c r="BF80" s="136" t="str">
        <f t="shared" si="114"/>
        <v/>
      </c>
      <c r="BG80" s="73" t="str">
        <f t="shared" ref="BG80:BQ84" si="118">IF(OR(BG$66="",$AU80=""),"",(BG$66&lt;=$AU80)*(-BG$14+BG$25)+(BG$66=$AU80)*BG$34)</f>
        <v/>
      </c>
      <c r="BH80" s="73" t="str">
        <f t="shared" si="118"/>
        <v/>
      </c>
      <c r="BI80" s="73" t="str">
        <f t="shared" si="118"/>
        <v/>
      </c>
      <c r="BJ80" s="73" t="str">
        <f t="shared" si="118"/>
        <v/>
      </c>
      <c r="BK80" s="73" t="str">
        <f t="shared" si="118"/>
        <v/>
      </c>
      <c r="BL80" s="73" t="str">
        <f t="shared" si="118"/>
        <v/>
      </c>
      <c r="BM80" s="73" t="str">
        <f t="shared" si="118"/>
        <v/>
      </c>
      <c r="BN80" s="73" t="str">
        <f t="shared" si="118"/>
        <v/>
      </c>
      <c r="BO80" s="73" t="str">
        <f t="shared" si="118"/>
        <v/>
      </c>
      <c r="BP80" s="73" t="str">
        <f t="shared" si="118"/>
        <v/>
      </c>
      <c r="BQ80" s="73" t="str">
        <f t="shared" si="118"/>
        <v/>
      </c>
      <c r="BR80" s="73" t="str">
        <f t="shared" si="113"/>
        <v/>
      </c>
      <c r="BS80" s="73" t="str">
        <f t="shared" si="113"/>
        <v/>
      </c>
      <c r="BT80" s="73" t="str">
        <f t="shared" si="113"/>
        <v/>
      </c>
      <c r="BU80" s="73" t="str">
        <f t="shared" si="113"/>
        <v/>
      </c>
      <c r="BV80" s="73" t="str">
        <f t="shared" si="113"/>
        <v/>
      </c>
      <c r="BW80" s="165"/>
      <c r="BZ80" s="422" t="str">
        <f>"Total Distributions ("&amp;BZ68&amp;")"</f>
        <v>Total Distributions (Tier 2)</v>
      </c>
      <c r="CA80" s="216"/>
    </row>
    <row r="81" spans="2:97" ht="16.5">
      <c r="B81" s="172"/>
      <c r="C81" s="173" t="s">
        <v>1</v>
      </c>
      <c r="D81" s="176"/>
      <c r="E81" s="173" t="s">
        <v>1</v>
      </c>
      <c r="G81" s="332"/>
      <c r="H81" s="332"/>
      <c r="I81" s="332"/>
      <c r="J81" s="332" t="s">
        <v>1</v>
      </c>
      <c r="K81" s="332" t="s">
        <v>1</v>
      </c>
      <c r="L81" s="332" t="s">
        <v>1</v>
      </c>
      <c r="M81" s="332" t="s">
        <v>1</v>
      </c>
      <c r="N81" s="332" t="s">
        <v>1</v>
      </c>
      <c r="O81" s="332" t="s">
        <v>1</v>
      </c>
      <c r="P81" s="173" t="s">
        <v>1</v>
      </c>
      <c r="Z81" s="103"/>
      <c r="AA81" s="260"/>
      <c r="AB81" s="69"/>
      <c r="AC81" s="198"/>
      <c r="AG81" s="705" t="str">
        <f>AG72</f>
        <v>B</v>
      </c>
      <c r="AH81" s="705">
        <f>AH72</f>
        <v>2</v>
      </c>
      <c r="AI81" s="719">
        <f>AI72*$G109</f>
        <v>3000</v>
      </c>
      <c r="AJ81" s="719">
        <f>AJ72*$G109</f>
        <v>4530</v>
      </c>
      <c r="AK81" s="719">
        <f>AK72*$G109</f>
        <v>7156.5</v>
      </c>
      <c r="AL81" s="719">
        <f>AL72*$G109</f>
        <v>9914.3249999999989</v>
      </c>
      <c r="AM81" s="719">
        <f>AM72*$G109</f>
        <v>12810.04125</v>
      </c>
      <c r="AN81" s="719">
        <f>AN72*$G109</f>
        <v>14026.242075000002</v>
      </c>
      <c r="AO81" s="719">
        <f>AO72*$G109</f>
        <v>15266.766916499999</v>
      </c>
      <c r="AP81" s="719">
        <f>AP72*$G109</f>
        <v>16532.102254830006</v>
      </c>
      <c r="AQ81" s="719">
        <f>AQ72*$G109</f>
        <v>17822.744299926613</v>
      </c>
      <c r="AR81" s="719">
        <f>AR72*$G109</f>
        <v>20455.654071923684</v>
      </c>
      <c r="AS81" s="719">
        <f>AS72*$G109</f>
        <v>23193.880234800636</v>
      </c>
      <c r="AT81" s="719">
        <f>AT72*$G109</f>
        <v>26041.635444192671</v>
      </c>
      <c r="AU81" s="705"/>
      <c r="AV81" s="705"/>
      <c r="AW81" s="705"/>
      <c r="AX81" s="705"/>
      <c r="AY81" s="705"/>
      <c r="AZ81" s="705"/>
      <c r="BA81" s="706"/>
      <c r="BB81" s="705"/>
      <c r="BC81" s="705"/>
      <c r="BD81" s="165"/>
      <c r="BE81" s="256" t="str">
        <f>BS67</f>
        <v/>
      </c>
      <c r="BF81" s="136" t="str">
        <f t="shared" si="114"/>
        <v/>
      </c>
      <c r="BG81" s="73" t="str">
        <f t="shared" si="118"/>
        <v/>
      </c>
      <c r="BH81" s="73" t="str">
        <f t="shared" si="118"/>
        <v/>
      </c>
      <c r="BI81" s="73" t="str">
        <f t="shared" si="118"/>
        <v/>
      </c>
      <c r="BJ81" s="73" t="str">
        <f t="shared" si="118"/>
        <v/>
      </c>
      <c r="BK81" s="73" t="str">
        <f t="shared" si="118"/>
        <v/>
      </c>
      <c r="BL81" s="73" t="str">
        <f t="shared" si="118"/>
        <v/>
      </c>
      <c r="BM81" s="73" t="str">
        <f t="shared" si="118"/>
        <v/>
      </c>
      <c r="BN81" s="73" t="str">
        <f t="shared" si="118"/>
        <v/>
      </c>
      <c r="BO81" s="73" t="str">
        <f t="shared" si="118"/>
        <v/>
      </c>
      <c r="BP81" s="73" t="str">
        <f t="shared" si="118"/>
        <v/>
      </c>
      <c r="BQ81" s="73" t="str">
        <f t="shared" si="118"/>
        <v/>
      </c>
      <c r="BR81" s="73" t="str">
        <f t="shared" si="113"/>
        <v/>
      </c>
      <c r="BS81" s="73" t="str">
        <f t="shared" si="113"/>
        <v/>
      </c>
      <c r="BT81" s="73" t="str">
        <f t="shared" si="113"/>
        <v/>
      </c>
      <c r="BU81" s="73" t="str">
        <f t="shared" si="113"/>
        <v/>
      </c>
      <c r="BV81" s="73" t="str">
        <f t="shared" si="113"/>
        <v/>
      </c>
      <c r="BW81" s="165"/>
      <c r="BZ81" s="422" t="s">
        <v>328</v>
      </c>
      <c r="CA81" s="216"/>
    </row>
    <row r="82" spans="2:97" ht="16.5">
      <c r="B82" s="333"/>
      <c r="C82" s="332" t="s">
        <v>1</v>
      </c>
      <c r="D82" s="178"/>
      <c r="E82" s="332" t="s">
        <v>7</v>
      </c>
      <c r="F82" s="332"/>
      <c r="G82" s="332"/>
      <c r="H82" s="332"/>
      <c r="I82" s="332"/>
      <c r="J82" s="332" t="s">
        <v>1</v>
      </c>
      <c r="K82" s="332" t="s">
        <v>1</v>
      </c>
      <c r="L82" s="332" t="s">
        <v>1</v>
      </c>
      <c r="M82" s="332" t="s">
        <v>1</v>
      </c>
      <c r="N82" s="332" t="s">
        <v>1</v>
      </c>
      <c r="O82" s="332" t="s">
        <v>1</v>
      </c>
      <c r="P82" s="332" t="s">
        <v>1</v>
      </c>
      <c r="Z82" s="106" t="s">
        <v>237</v>
      </c>
      <c r="AA82" s="260"/>
      <c r="AB82" s="158">
        <f>AB74-AB80</f>
        <v>-14.268999999999998</v>
      </c>
      <c r="AC82" s="198"/>
      <c r="AG82" s="705" t="str">
        <f>AG73</f>
        <v>C</v>
      </c>
      <c r="AH82" s="705">
        <f>AH73</f>
        <v>3</v>
      </c>
      <c r="AI82" s="719">
        <f>AI73*$G110</f>
        <v>6000</v>
      </c>
      <c r="AJ82" s="719">
        <f>AJ73*$G$110</f>
        <v>6600</v>
      </c>
      <c r="AK82" s="719">
        <f>AK73*$G$110</f>
        <v>7212</v>
      </c>
      <c r="AL82" s="719">
        <f>AL73*$G$110</f>
        <v>7836.24</v>
      </c>
      <c r="AM82" s="719">
        <f>AM73*$G$110</f>
        <v>8472.9647999999979</v>
      </c>
      <c r="AN82" s="719">
        <f>AN73*$G$110</f>
        <v>8472.9647999999979</v>
      </c>
      <c r="AO82" s="719">
        <f>AO73*$G$110</f>
        <v>8472.9647999999979</v>
      </c>
      <c r="AP82" s="719">
        <f>AP73*$G$110</f>
        <v>8472.9647999999979</v>
      </c>
      <c r="AQ82" s="719">
        <f>AQ73*$G$110</f>
        <v>8472.9647999999979</v>
      </c>
      <c r="AR82" s="719">
        <f>AR73*$G$110</f>
        <v>9122.4240959999988</v>
      </c>
      <c r="AS82" s="719">
        <f>AS73*$G$110</f>
        <v>9784.8725779199976</v>
      </c>
      <c r="AT82" s="719">
        <f>AT73*$G$110</f>
        <v>10460.570029478395</v>
      </c>
      <c r="AU82" s="705"/>
      <c r="AV82" s="705"/>
      <c r="AW82" s="705"/>
      <c r="AX82" s="705"/>
      <c r="AY82" s="705"/>
      <c r="AZ82" s="705"/>
      <c r="BA82" s="706"/>
      <c r="BB82" s="705"/>
      <c r="BC82" s="705"/>
      <c r="BD82" s="165"/>
      <c r="BE82" s="256" t="str">
        <f>BT67</f>
        <v/>
      </c>
      <c r="BF82" s="136" t="str">
        <f t="shared" si="114"/>
        <v/>
      </c>
      <c r="BG82" s="73" t="str">
        <f t="shared" si="118"/>
        <v/>
      </c>
      <c r="BH82" s="73" t="str">
        <f t="shared" si="118"/>
        <v/>
      </c>
      <c r="BI82" s="73" t="str">
        <f t="shared" si="118"/>
        <v/>
      </c>
      <c r="BJ82" s="73" t="str">
        <f t="shared" si="118"/>
        <v/>
      </c>
      <c r="BK82" s="73" t="str">
        <f t="shared" si="118"/>
        <v/>
      </c>
      <c r="BL82" s="73" t="str">
        <f t="shared" si="118"/>
        <v/>
      </c>
      <c r="BM82" s="73" t="str">
        <f t="shared" si="118"/>
        <v/>
      </c>
      <c r="BN82" s="73" t="str">
        <f t="shared" si="118"/>
        <v/>
      </c>
      <c r="BO82" s="73" t="str">
        <f t="shared" si="118"/>
        <v/>
      </c>
      <c r="BP82" s="73" t="str">
        <f t="shared" si="118"/>
        <v/>
      </c>
      <c r="BQ82" s="73" t="str">
        <f t="shared" si="118"/>
        <v/>
      </c>
      <c r="BR82" s="73" t="str">
        <f t="shared" si="113"/>
        <v/>
      </c>
      <c r="BS82" s="73" t="str">
        <f t="shared" si="113"/>
        <v/>
      </c>
      <c r="BT82" s="73" t="str">
        <f t="shared" si="113"/>
        <v/>
      </c>
      <c r="BU82" s="73" t="str">
        <f t="shared" si="113"/>
        <v/>
      </c>
      <c r="BV82" s="73" t="str">
        <f t="shared" si="113"/>
        <v/>
      </c>
      <c r="BW82" s="165"/>
      <c r="BZ82" s="422"/>
      <c r="CA82" s="216"/>
    </row>
    <row r="83" spans="2:97" ht="16.5">
      <c r="Z83" s="260"/>
      <c r="AA83" s="260"/>
      <c r="AB83" s="260"/>
      <c r="AC83" s="198"/>
      <c r="AG83" s="705" t="str">
        <f>AG74</f>
        <v>D</v>
      </c>
      <c r="AH83" s="705">
        <f>AH74</f>
        <v>4</v>
      </c>
      <c r="AI83" s="719">
        <f>AI74*$G111</f>
        <v>30000</v>
      </c>
      <c r="AJ83" s="719">
        <f>AJ74*$G111</f>
        <v>31200</v>
      </c>
      <c r="AK83" s="719">
        <f>AK74*$G111</f>
        <v>32412</v>
      </c>
      <c r="AL83" s="719">
        <f>AL74*$G111</f>
        <v>33636.119999999995</v>
      </c>
      <c r="AM83" s="719">
        <f>AM74*$G111</f>
        <v>34872.481200000002</v>
      </c>
      <c r="AN83" s="719">
        <f>AN74*$G111</f>
        <v>36121.20601200001</v>
      </c>
      <c r="AO83" s="719">
        <f>AO74*$G111</f>
        <v>38643.630132240025</v>
      </c>
      <c r="AP83" s="719">
        <f>AP74*$G111</f>
        <v>41216.502734884823</v>
      </c>
      <c r="AQ83" s="719">
        <f>AQ74*$G111</f>
        <v>43840.832789582535</v>
      </c>
      <c r="AR83" s="719">
        <f>AR74*$G111</f>
        <v>45179.241117478356</v>
      </c>
      <c r="AS83" s="719">
        <f>AS74*$G111</f>
        <v>46531.033528653148</v>
      </c>
      <c r="AT83" s="719">
        <f>AT74*$G111</f>
        <v>47896.343863939685</v>
      </c>
      <c r="AU83" s="705"/>
      <c r="AV83" s="705"/>
      <c r="AW83" s="705"/>
      <c r="AX83" s="705"/>
      <c r="AY83" s="705"/>
      <c r="AZ83" s="705"/>
      <c r="BA83" s="706"/>
      <c r="BB83" s="705"/>
      <c r="BC83" s="705"/>
      <c r="BD83" s="165"/>
      <c r="BE83" s="256" t="str">
        <f>BU67</f>
        <v/>
      </c>
      <c r="BF83" s="136" t="str">
        <f t="shared" si="114"/>
        <v/>
      </c>
      <c r="BG83" s="73" t="str">
        <f t="shared" si="118"/>
        <v/>
      </c>
      <c r="BH83" s="73" t="str">
        <f t="shared" si="118"/>
        <v/>
      </c>
      <c r="BI83" s="73" t="str">
        <f t="shared" si="118"/>
        <v/>
      </c>
      <c r="BJ83" s="73" t="str">
        <f t="shared" si="118"/>
        <v/>
      </c>
      <c r="BK83" s="73" t="str">
        <f t="shared" si="118"/>
        <v/>
      </c>
      <c r="BL83" s="73" t="str">
        <f t="shared" si="118"/>
        <v/>
      </c>
      <c r="BM83" s="73" t="str">
        <f t="shared" si="118"/>
        <v/>
      </c>
      <c r="BN83" s="73" t="str">
        <f t="shared" si="118"/>
        <v/>
      </c>
      <c r="BO83" s="73" t="str">
        <f t="shared" si="118"/>
        <v/>
      </c>
      <c r="BP83" s="73" t="str">
        <f t="shared" si="118"/>
        <v/>
      </c>
      <c r="BQ83" s="73" t="str">
        <f t="shared" si="118"/>
        <v/>
      </c>
      <c r="BR83" s="73" t="str">
        <f t="shared" si="113"/>
        <v/>
      </c>
      <c r="BS83" s="73" t="str">
        <f t="shared" si="113"/>
        <v/>
      </c>
      <c r="BT83" s="73" t="str">
        <f t="shared" si="113"/>
        <v/>
      </c>
      <c r="BU83" s="73" t="str">
        <f t="shared" si="113"/>
        <v/>
      </c>
      <c r="BV83" s="73" t="str">
        <f t="shared" si="113"/>
        <v/>
      </c>
      <c r="BW83" s="165"/>
      <c r="BZ83" s="431" t="s">
        <v>339</v>
      </c>
      <c r="CA83" s="240"/>
      <c r="CB83" s="240"/>
      <c r="CC83" s="240"/>
      <c r="CD83" s="344" t="str">
        <f t="shared" ref="CD83:CN83" si="119">CD68</f>
        <v>Year 0</v>
      </c>
      <c r="CE83" s="344" t="str">
        <f t="shared" si="119"/>
        <v>Year 1</v>
      </c>
      <c r="CF83" s="344" t="str">
        <f t="shared" si="119"/>
        <v>Year 2</v>
      </c>
      <c r="CG83" s="344" t="str">
        <f t="shared" si="119"/>
        <v>Year 3</v>
      </c>
      <c r="CH83" s="344" t="str">
        <f t="shared" si="119"/>
        <v>Year 4</v>
      </c>
      <c r="CI83" s="344" t="str">
        <f t="shared" si="119"/>
        <v>Year 5</v>
      </c>
      <c r="CJ83" s="344" t="str">
        <f t="shared" si="119"/>
        <v>Year 6</v>
      </c>
      <c r="CK83" s="344" t="str">
        <f t="shared" si="119"/>
        <v>Year 7</v>
      </c>
      <c r="CL83" s="344" t="str">
        <f t="shared" si="119"/>
        <v>Year 8</v>
      </c>
      <c r="CM83" s="344" t="str">
        <f t="shared" si="119"/>
        <v>Year 9</v>
      </c>
      <c r="CN83" s="344" t="str">
        <f t="shared" si="119"/>
        <v>Year 10</v>
      </c>
      <c r="CO83" s="200" t="s">
        <v>1</v>
      </c>
      <c r="CP83" s="242" t="str">
        <f>CP$21</f>
        <v> </v>
      </c>
      <c r="CQ83" s="242" t="str">
        <f>CQ$21</f>
        <v> </v>
      </c>
      <c r="CR83" s="242" t="str">
        <f>CR$21</f>
        <v> </v>
      </c>
      <c r="CS83" s="242" t="str">
        <f>CS$21</f>
        <v> </v>
      </c>
    </row>
    <row r="84" spans="2:97" ht="16.5"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Z84" s="253"/>
      <c r="AA84" s="253"/>
      <c r="AB84" s="253"/>
      <c r="AG84" s="705"/>
      <c r="AH84" s="705"/>
      <c r="AI84" s="728">
        <f>SUM(AI80:AI83)</f>
        <v>51000</v>
      </c>
      <c r="AJ84" s="728">
        <f>SUM(AJ80:AJ83)</f>
        <v>56490</v>
      </c>
      <c r="AK84" s="728">
        <f>SUM(AK80:AK83)</f>
        <v>61682.1</v>
      </c>
      <c r="AL84" s="728">
        <f>SUM(AL80:AL83)</f>
        <v>67786.316999999981</v>
      </c>
      <c r="AM84" s="728">
        <f>SUM(AM80:AM83)</f>
        <v>74847.108210000006</v>
      </c>
      <c r="AN84" s="728">
        <f>SUM(AN80:AN83)</f>
        <v>80459.698685400013</v>
      </c>
      <c r="AO84" s="728">
        <f>SUM(AO80:AO83)</f>
        <v>88314.611937060035</v>
      </c>
      <c r="AP84" s="728">
        <f>SUM(AP80:AP83)</f>
        <v>93871.444879801245</v>
      </c>
      <c r="AQ84" s="728">
        <f>SUM(AQ80:AQ83)</f>
        <v>99539.414481397296</v>
      </c>
      <c r="AR84" s="728">
        <f>SUM(AR80:AR83)</f>
        <v>105948.24932912795</v>
      </c>
      <c r="AS84" s="728">
        <f>SUM(AS80:AS83)</f>
        <v>113436.44428641147</v>
      </c>
      <c r="AT84" s="728">
        <f>SUM(AT80:AT83)</f>
        <v>121143.00702099956</v>
      </c>
      <c r="AU84" s="705"/>
      <c r="AV84" s="705"/>
      <c r="AW84" s="705"/>
      <c r="AX84" s="705"/>
      <c r="AY84" s="705"/>
      <c r="AZ84" s="705"/>
      <c r="BA84" s="706"/>
      <c r="BB84" s="705"/>
      <c r="BC84" s="705"/>
      <c r="BD84" s="165"/>
      <c r="BE84" s="256" t="str">
        <f>BV67</f>
        <v/>
      </c>
      <c r="BF84" s="136" t="str">
        <f t="shared" si="114"/>
        <v/>
      </c>
      <c r="BG84" s="73" t="str">
        <f t="shared" si="118"/>
        <v/>
      </c>
      <c r="BH84" s="73" t="str">
        <f t="shared" si="118"/>
        <v/>
      </c>
      <c r="BI84" s="73" t="str">
        <f t="shared" si="118"/>
        <v/>
      </c>
      <c r="BJ84" s="73" t="str">
        <f t="shared" si="118"/>
        <v/>
      </c>
      <c r="BK84" s="73" t="str">
        <f t="shared" si="118"/>
        <v/>
      </c>
      <c r="BL84" s="73" t="str">
        <f t="shared" si="118"/>
        <v/>
      </c>
      <c r="BM84" s="73" t="str">
        <f t="shared" si="118"/>
        <v/>
      </c>
      <c r="BN84" s="73" t="str">
        <f t="shared" si="118"/>
        <v/>
      </c>
      <c r="BO84" s="73" t="str">
        <f t="shared" si="118"/>
        <v/>
      </c>
      <c r="BP84" s="73" t="str">
        <f t="shared" si="118"/>
        <v/>
      </c>
      <c r="BQ84" s="73" t="str">
        <f t="shared" si="118"/>
        <v/>
      </c>
      <c r="BR84" s="73" t="str">
        <f>IF(OR(BR$66="",$AU84=""),"",(BR$66&lt;=$AU84)*(-BR$14+BR$25)+(BR$66=$AU84)*BR$34)</f>
        <v/>
      </c>
      <c r="BS84" s="73" t="str">
        <f>IF(OR(BS$66="",$AU84=""),"",(BS$66&lt;=$AU84)*(-BS$14+BS$25)+(BS$66=$AU84)*BS$34)</f>
        <v/>
      </c>
      <c r="BT84" s="73" t="str">
        <f>IF(OR(BT$66="",$AU84=""),"",(BT$66&lt;=$AU84)*(-BT$14+BT$25)+(BT$66=$AU84)*BT$34)</f>
        <v/>
      </c>
      <c r="BU84" s="73" t="str">
        <f>IF(OR(BU$66="",$AU84=""),"",(BU$66&lt;=$AU84)*(-BU$14+BU$25)+(BU$66=$AU84)*BU$34)</f>
        <v/>
      </c>
      <c r="BV84" s="73" t="str">
        <f t="shared" si="113"/>
        <v/>
      </c>
      <c r="BW84" s="165"/>
      <c r="BZ84" s="428" t="s">
        <v>305</v>
      </c>
      <c r="CA84" s="251" t="str">
        <f>CA20</f>
        <v> </v>
      </c>
    </row>
    <row r="85" spans="2:97" ht="16.5">
      <c r="B85" s="334" t="s">
        <v>340</v>
      </c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Z85" s="253"/>
      <c r="AA85" s="253"/>
      <c r="AB85" s="253"/>
      <c r="AG85" s="165"/>
      <c r="AH85" s="165"/>
      <c r="AI85" s="165"/>
      <c r="AJ85" s="702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381"/>
      <c r="BB85" s="165"/>
      <c r="BC85" s="165"/>
      <c r="BD85" s="165"/>
      <c r="BE85" s="254"/>
      <c r="BF85" s="151"/>
      <c r="BG85" s="151"/>
      <c r="BH85" s="151"/>
      <c r="BI85" s="151"/>
      <c r="BJ85" s="151"/>
      <c r="BK85" s="151"/>
      <c r="BL85" s="151"/>
      <c r="BM85" s="151"/>
      <c r="BN85" s="151"/>
      <c r="BO85" s="151"/>
      <c r="BP85" s="151"/>
      <c r="BQ85" s="151"/>
      <c r="BR85" s="151"/>
      <c r="BS85" s="151"/>
      <c r="BT85" s="151"/>
      <c r="BU85" s="151"/>
      <c r="BV85" s="151"/>
      <c r="BW85" s="165"/>
      <c r="BZ85" s="422" t="s">
        <v>306</v>
      </c>
      <c r="CA85" s="216"/>
    </row>
    <row r="86" spans="2:97"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164"/>
      <c r="V86" s="164"/>
      <c r="Z86" s="253"/>
      <c r="AA86" s="253"/>
      <c r="AB86" s="253"/>
      <c r="AG86" s="165"/>
      <c r="AH86" s="165"/>
      <c r="AI86" s="165"/>
      <c r="AJ86" s="702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381"/>
      <c r="BB86" s="165"/>
      <c r="BC86" s="165"/>
      <c r="BD86" s="165"/>
      <c r="BE86" s="268" t="s">
        <v>341</v>
      </c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165"/>
      <c r="BZ86" s="422" t="s">
        <v>342</v>
      </c>
      <c r="CA86" s="216"/>
    </row>
    <row r="87" spans="2:97">
      <c r="B87" s="334" t="s">
        <v>343</v>
      </c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/>
      <c r="O87" s="225"/>
      <c r="P87" s="225"/>
      <c r="Q87" s="225"/>
      <c r="R87" s="225"/>
      <c r="S87" s="225"/>
      <c r="T87" s="225"/>
      <c r="U87" s="164"/>
      <c r="V87" s="164"/>
      <c r="AG87" s="165"/>
      <c r="AH87" s="165"/>
      <c r="AI87" s="165"/>
      <c r="AJ87" s="702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381"/>
      <c r="BB87" s="165"/>
      <c r="BC87" s="165"/>
      <c r="BD87" s="165"/>
      <c r="BE87" s="66" t="s">
        <v>330</v>
      </c>
      <c r="BF87" s="59"/>
      <c r="BG87" s="65">
        <f t="shared" ref="BG87:BV87" si="120">IF(BG$43="","",BG$7)</f>
        <v>0</v>
      </c>
      <c r="BH87" s="65">
        <f t="shared" ref="BH87:BQ87" si="121">BH8</f>
        <v>1</v>
      </c>
      <c r="BI87" s="65">
        <f t="shared" si="121"/>
        <v>2</v>
      </c>
      <c r="BJ87" s="65">
        <f t="shared" si="121"/>
        <v>3</v>
      </c>
      <c r="BK87" s="65">
        <f t="shared" si="121"/>
        <v>4</v>
      </c>
      <c r="BL87" s="65">
        <f t="shared" si="121"/>
        <v>5</v>
      </c>
      <c r="BM87" s="65">
        <f t="shared" si="121"/>
        <v>6</v>
      </c>
      <c r="BN87" s="65">
        <f t="shared" si="121"/>
        <v>7</v>
      </c>
      <c r="BO87" s="65">
        <f t="shared" si="121"/>
        <v>8</v>
      </c>
      <c r="BP87" s="65">
        <f t="shared" si="121"/>
        <v>9</v>
      </c>
      <c r="BQ87" s="65">
        <f t="shared" si="121"/>
        <v>10</v>
      </c>
      <c r="BR87" s="65" t="str">
        <f t="shared" si="120"/>
        <v/>
      </c>
      <c r="BS87" s="65" t="str">
        <f t="shared" si="120"/>
        <v/>
      </c>
      <c r="BT87" s="65" t="str">
        <f t="shared" si="120"/>
        <v/>
      </c>
      <c r="BU87" s="65" t="str">
        <f t="shared" si="120"/>
        <v/>
      </c>
      <c r="BV87" s="65" t="str">
        <f t="shared" si="120"/>
        <v/>
      </c>
      <c r="BW87" s="165"/>
      <c r="BZ87" s="422" t="s">
        <v>311</v>
      </c>
      <c r="CA87" s="216"/>
    </row>
    <row r="88" spans="2:97" ht="33">
      <c r="B88" s="342" t="s">
        <v>344</v>
      </c>
      <c r="C88" s="343" t="s">
        <v>345</v>
      </c>
      <c r="D88" s="342" t="s">
        <v>346</v>
      </c>
      <c r="E88" s="342" t="s">
        <v>88</v>
      </c>
      <c r="F88" s="225" t="s">
        <v>347</v>
      </c>
      <c r="G88" s="342" t="s">
        <v>348</v>
      </c>
      <c r="H88" s="225" t="s">
        <v>349</v>
      </c>
      <c r="I88" s="342" t="s">
        <v>350</v>
      </c>
      <c r="J88" s="342" t="s">
        <v>351</v>
      </c>
      <c r="K88" s="342" t="s">
        <v>352</v>
      </c>
      <c r="L88" s="342" t="s">
        <v>353</v>
      </c>
      <c r="M88" s="342" t="s">
        <v>354</v>
      </c>
      <c r="N88" s="342" t="s">
        <v>355</v>
      </c>
      <c r="O88" s="342" t="s">
        <v>356</v>
      </c>
      <c r="P88" s="342" t="s">
        <v>357</v>
      </c>
      <c r="Q88" s="342" t="s">
        <v>358</v>
      </c>
      <c r="R88" s="343" t="s">
        <v>359</v>
      </c>
      <c r="S88" s="225"/>
      <c r="T88" s="225"/>
      <c r="U88" s="164"/>
      <c r="V88" s="164"/>
      <c r="AG88" s="165"/>
      <c r="AH88" s="165"/>
      <c r="AI88" s="165"/>
      <c r="AJ88" s="702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381"/>
      <c r="BB88" s="165"/>
      <c r="BC88" s="165"/>
      <c r="BD88" s="165"/>
      <c r="BE88" s="103" t="s">
        <v>4</v>
      </c>
      <c r="BF88" s="59"/>
      <c r="BG88" s="59"/>
      <c r="BH88" s="136" t="str">
        <f t="shared" ref="BH88:BV88" si="122">IF(BH87="","",IFERROR(IRR(BH89:BH104),""))</f>
        <v/>
      </c>
      <c r="BI88" s="136" t="str">
        <f t="shared" si="122"/>
        <v/>
      </c>
      <c r="BJ88" s="136" t="str">
        <f t="shared" si="122"/>
        <v/>
      </c>
      <c r="BK88" s="136">
        <f t="shared" si="122"/>
        <v>0.24519136051438029</v>
      </c>
      <c r="BL88" s="136" t="str">
        <f t="shared" si="122"/>
        <v/>
      </c>
      <c r="BM88" s="136" t="str">
        <f t="shared" si="122"/>
        <v/>
      </c>
      <c r="BN88" s="136" t="str">
        <f t="shared" si="122"/>
        <v/>
      </c>
      <c r="BO88" s="136" t="str">
        <f t="shared" si="122"/>
        <v/>
      </c>
      <c r="BP88" s="136" t="str">
        <f t="shared" si="122"/>
        <v/>
      </c>
      <c r="BQ88" s="136" t="str">
        <f t="shared" si="122"/>
        <v/>
      </c>
      <c r="BR88" s="136" t="str">
        <f t="shared" si="122"/>
        <v/>
      </c>
      <c r="BS88" s="136" t="str">
        <f t="shared" si="122"/>
        <v/>
      </c>
      <c r="BT88" s="136" t="str">
        <f t="shared" si="122"/>
        <v/>
      </c>
      <c r="BU88" s="136" t="str">
        <f t="shared" si="122"/>
        <v/>
      </c>
      <c r="BV88" s="136" t="str">
        <f t="shared" si="122"/>
        <v/>
      </c>
      <c r="BW88" s="165"/>
      <c r="BZ88" s="422" t="s">
        <v>338</v>
      </c>
      <c r="CA88" s="216"/>
    </row>
    <row r="89" spans="2:97" ht="16.5">
      <c r="B89" s="677">
        <v>1</v>
      </c>
      <c r="C89" s="677" t="s">
        <v>360</v>
      </c>
      <c r="D89" s="677" t="s">
        <v>361</v>
      </c>
      <c r="E89" s="677" t="s">
        <v>629</v>
      </c>
      <c r="F89" s="678">
        <v>45701.53</v>
      </c>
      <c r="G89" s="678">
        <f>F89*12</f>
        <v>548418.36</v>
      </c>
      <c r="H89" s="678">
        <f>G89/12</f>
        <v>45701.53</v>
      </c>
      <c r="I89" s="678">
        <f>H89*12</f>
        <v>548418.36</v>
      </c>
      <c r="J89" s="678">
        <f>I89/12</f>
        <v>45701.53</v>
      </c>
      <c r="K89" s="679">
        <f>J89*12</f>
        <v>548418.36</v>
      </c>
      <c r="L89" s="680">
        <v>45839</v>
      </c>
      <c r="M89" s="681">
        <v>49856</v>
      </c>
      <c r="N89" s="682">
        <v>120</v>
      </c>
      <c r="O89" s="677" t="s">
        <v>363</v>
      </c>
      <c r="P89" s="678">
        <f>J89</f>
        <v>45701.53</v>
      </c>
      <c r="Q89" s="683">
        <v>20000</v>
      </c>
      <c r="R89" s="225"/>
      <c r="S89" s="225"/>
      <c r="T89" s="225"/>
      <c r="U89" s="164"/>
      <c r="V89" s="164"/>
      <c r="AG89" s="165"/>
      <c r="AH89" s="165"/>
      <c r="AI89" s="165"/>
      <c r="AJ89" s="702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381"/>
      <c r="BB89" s="165"/>
      <c r="BC89" s="165"/>
      <c r="BD89" s="165"/>
      <c r="BE89" s="256">
        <f>BG87</f>
        <v>0</v>
      </c>
      <c r="BF89" s="56"/>
      <c r="BG89" s="73">
        <f t="shared" ref="BG89:BG99" si="123">$BG$19-$BG$15</f>
        <v>-9477435.9429999981</v>
      </c>
      <c r="BH89" s="71" t="str">
        <f t="shared" ref="BH89:BV104" si="124">IF(OR(BH$66="",$AU89=""),"",(BH$66&lt;=$AU89)*(-BH$14+BH$18+BH$27)+(BH$66=$AU89)*(BH$34-BH$37))</f>
        <v/>
      </c>
      <c r="BI89" s="71" t="str">
        <f t="shared" si="124"/>
        <v/>
      </c>
      <c r="BJ89" s="71" t="str">
        <f t="shared" si="124"/>
        <v/>
      </c>
      <c r="BK89" s="71" t="str">
        <f t="shared" si="124"/>
        <v/>
      </c>
      <c r="BL89" s="71" t="str">
        <f t="shared" si="124"/>
        <v/>
      </c>
      <c r="BM89" s="71" t="str">
        <f t="shared" si="124"/>
        <v/>
      </c>
      <c r="BN89" s="71" t="str">
        <f t="shared" si="124"/>
        <v/>
      </c>
      <c r="BO89" s="71" t="str">
        <f t="shared" si="124"/>
        <v/>
      </c>
      <c r="BP89" s="71" t="str">
        <f t="shared" si="124"/>
        <v/>
      </c>
      <c r="BQ89" s="71" t="str">
        <f t="shared" si="124"/>
        <v/>
      </c>
      <c r="BR89" s="71" t="str">
        <f t="shared" si="124"/>
        <v/>
      </c>
      <c r="BS89" s="71" t="str">
        <f t="shared" si="124"/>
        <v/>
      </c>
      <c r="BT89" s="71" t="str">
        <f t="shared" si="124"/>
        <v/>
      </c>
      <c r="BU89" s="71" t="str">
        <f t="shared" si="124"/>
        <v/>
      </c>
      <c r="BV89" s="71" t="str">
        <f t="shared" si="124"/>
        <v/>
      </c>
      <c r="BW89" s="165"/>
      <c r="BZ89" s="422" t="str">
        <f>"Distributions to LP "&amp;BZ83</f>
        <v>Distributions to LP Tier 3</v>
      </c>
      <c r="CA89" s="216"/>
    </row>
    <row r="90" spans="2:97" ht="15.75" customHeight="1">
      <c r="B90" s="677">
        <v>2</v>
      </c>
      <c r="C90" s="677" t="s">
        <v>360</v>
      </c>
      <c r="D90" s="677" t="s">
        <v>364</v>
      </c>
      <c r="E90" s="677" t="s">
        <v>629</v>
      </c>
      <c r="F90" s="678">
        <v>22850.63</v>
      </c>
      <c r="G90" s="678">
        <f t="shared" ref="G90:G92" si="125">F90*12</f>
        <v>274207.56</v>
      </c>
      <c r="H90" s="678">
        <f t="shared" ref="H90:H92" si="126">G90/12</f>
        <v>22850.63</v>
      </c>
      <c r="I90" s="678">
        <f t="shared" ref="I90:I92" si="127">H90*12</f>
        <v>274207.56</v>
      </c>
      <c r="J90" s="678">
        <f t="shared" ref="J90:J92" si="128">I90/12</f>
        <v>22850.63</v>
      </c>
      <c r="K90" s="679">
        <f>J90*12</f>
        <v>274207.56</v>
      </c>
      <c r="L90" s="680">
        <v>45839</v>
      </c>
      <c r="M90" s="681">
        <v>49856</v>
      </c>
      <c r="N90" s="682">
        <v>120</v>
      </c>
      <c r="O90" s="677" t="s">
        <v>363</v>
      </c>
      <c r="P90" s="678">
        <f>J90</f>
        <v>22850.63</v>
      </c>
      <c r="Q90" s="683">
        <v>10000</v>
      </c>
      <c r="R90" s="225"/>
      <c r="S90" s="225"/>
      <c r="T90" s="225"/>
      <c r="AG90" s="165"/>
      <c r="AH90" s="165"/>
      <c r="AI90" s="165"/>
      <c r="AJ90" s="702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381"/>
      <c r="BB90" s="165"/>
      <c r="BC90" s="165"/>
      <c r="BD90" s="165"/>
      <c r="BE90" s="256">
        <f>BH87</f>
        <v>1</v>
      </c>
      <c r="BF90" s="136">
        <f t="shared" ref="BF90:BF104" si="129">IF(BE90="","",IRR(BG90:BV90))</f>
        <v>-0.51702378534673654</v>
      </c>
      <c r="BG90" s="73">
        <f t="shared" si="123"/>
        <v>-9477435.9429999981</v>
      </c>
      <c r="BH90" s="73">
        <f t="shared" ref="BH90:BH99" si="130">(BH$87&lt;&gt;"") * ($BE90&lt;&gt;"") * ((BH$87&lt;=$BE90)*(-$BH$15+$BH$14+$BH$29) + (BH$87=$BE90)*($BH$35-$BH$38))</f>
        <v>4577376.1363689229</v>
      </c>
      <c r="BI90" s="73">
        <f>($BH$87&lt;&gt;"") * ($BE$90&lt;&gt;"") * ((BI87&lt;=$BE$90)*(-$BH$51+$BH29) + (BI87=$BE$90)*$BH$55)</f>
        <v>0</v>
      </c>
      <c r="BJ90" s="73">
        <f>($BH$87&lt;&gt;"") * ($BE$90&lt;&gt;"") * ((BJ87&lt;=$BE$90)*(-$BH$51+$BH29) + (BJ87=$BE$90)*$BH$55)</f>
        <v>0</v>
      </c>
      <c r="BK90" s="73">
        <f>($BH$87&lt;&gt;"") * ($BE$90&lt;&gt;"") * ((BK87&lt;=$BE$90)*(-$BH$51+$BH29) + (BK87=$BE$90)*$BH$55)</f>
        <v>0</v>
      </c>
      <c r="BL90" s="73">
        <f>($BH$87&lt;&gt;"") * ($BE$90&lt;&gt;"") * ((BL87&lt;=$BE$90)*(-$BH$51+$BH29) + (BL87=$BE$90)*$BH$55)</f>
        <v>0</v>
      </c>
      <c r="BM90" s="73" t="str">
        <f t="shared" si="124"/>
        <v/>
      </c>
      <c r="BN90" s="73" t="str">
        <f t="shared" si="124"/>
        <v/>
      </c>
      <c r="BO90" s="73" t="str">
        <f t="shared" si="124"/>
        <v/>
      </c>
      <c r="BP90" s="73" t="str">
        <f t="shared" si="124"/>
        <v/>
      </c>
      <c r="BQ90" s="73" t="str">
        <f t="shared" si="124"/>
        <v/>
      </c>
      <c r="BR90" s="73" t="str">
        <f t="shared" si="124"/>
        <v/>
      </c>
      <c r="BS90" s="73" t="str">
        <f t="shared" si="124"/>
        <v/>
      </c>
      <c r="BT90" s="73" t="str">
        <f t="shared" si="124"/>
        <v/>
      </c>
      <c r="BU90" s="73" t="str">
        <f t="shared" si="124"/>
        <v/>
      </c>
      <c r="BV90" s="73" t="str">
        <f t="shared" si="124"/>
        <v/>
      </c>
      <c r="BW90" s="165"/>
      <c r="BZ90" s="422" t="s">
        <v>314</v>
      </c>
      <c r="CA90" s="216"/>
    </row>
    <row r="91" spans="2:97" ht="16.5">
      <c r="B91" s="677">
        <v>3</v>
      </c>
      <c r="C91" s="677" t="s">
        <v>360</v>
      </c>
      <c r="D91" s="677" t="s">
        <v>365</v>
      </c>
      <c r="E91" s="677" t="s">
        <v>629</v>
      </c>
      <c r="F91" s="678">
        <v>18281.03</v>
      </c>
      <c r="G91" s="678">
        <f t="shared" si="125"/>
        <v>219372.36</v>
      </c>
      <c r="H91" s="678">
        <f t="shared" si="126"/>
        <v>18281.03</v>
      </c>
      <c r="I91" s="678">
        <f t="shared" si="127"/>
        <v>219372.36</v>
      </c>
      <c r="J91" s="678">
        <f t="shared" si="128"/>
        <v>18281.03</v>
      </c>
      <c r="K91" s="679">
        <f>J91*12</f>
        <v>219372.36</v>
      </c>
      <c r="L91" s="680">
        <v>45839</v>
      </c>
      <c r="M91" s="681">
        <v>49856</v>
      </c>
      <c r="N91" s="682">
        <v>120</v>
      </c>
      <c r="O91" s="677" t="s">
        <v>363</v>
      </c>
      <c r="P91" s="678">
        <f>J91</f>
        <v>18281.03</v>
      </c>
      <c r="Q91" s="683">
        <v>8000</v>
      </c>
      <c r="R91" s="225"/>
      <c r="S91" s="225"/>
      <c r="T91" s="225"/>
      <c r="AG91" s="165"/>
      <c r="AH91" s="165"/>
      <c r="AI91" s="165"/>
      <c r="AJ91" s="702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381"/>
      <c r="BB91" s="165"/>
      <c r="BC91" s="165"/>
      <c r="BD91" s="165"/>
      <c r="BE91" s="256">
        <f>BI87</f>
        <v>2</v>
      </c>
      <c r="BF91" s="136">
        <f t="shared" si="129"/>
        <v>-0.279085525727091</v>
      </c>
      <c r="BG91" s="73">
        <f t="shared" si="123"/>
        <v>-9477435.9429999981</v>
      </c>
      <c r="BH91" s="73">
        <f t="shared" si="130"/>
        <v>428121.88037777285</v>
      </c>
      <c r="BI91" s="73">
        <f t="shared" ref="BI91:BI99" si="131">(BI$87&lt;&gt;"") * ($BE91&lt;&gt;"") * ((BI$87&lt;=$BE91)*(-$BI$15+$BI$14+$BI$29) + (BI$87=$BE91)*($BI$35-$BI$38))</f>
        <v>4616951.7528986968</v>
      </c>
      <c r="BJ91" s="73" t="str">
        <f>IF(OR(BJ$66="",$AU91=""),"",(BJ$66&lt;=$AU91)*(-BJ$14+BJ$18+BJ$27)+(BJ$66=$AU91)*(BJ$34-BJ$37))</f>
        <v/>
      </c>
      <c r="BK91" s="73" t="str">
        <f>IF(OR(BK$66="",$AU91=""),"",(BK$66&lt;=$AU91)*(-BK$14+BK$18+BK$27)+(BK$66=$AU91)*(BK$34-BK$37))</f>
        <v/>
      </c>
      <c r="BL91" s="73" t="str">
        <f>IF(OR(BL$66="",$AU91=""),"",(BL$66&lt;=$AU91)*(-BL$14+BL$18+BL$27)+(BL$66=$AU91)*(BL$34-BL$37))</f>
        <v/>
      </c>
      <c r="BM91" s="73" t="str">
        <f t="shared" si="124"/>
        <v/>
      </c>
      <c r="BN91" s="73" t="str">
        <f t="shared" si="124"/>
        <v/>
      </c>
      <c r="BO91" s="73" t="str">
        <f t="shared" si="124"/>
        <v/>
      </c>
      <c r="BP91" s="73" t="str">
        <f t="shared" si="124"/>
        <v/>
      </c>
      <c r="BQ91" s="73" t="str">
        <f t="shared" si="124"/>
        <v/>
      </c>
      <c r="BR91" s="73" t="str">
        <f t="shared" si="124"/>
        <v/>
      </c>
      <c r="BS91" s="73" t="str">
        <f t="shared" si="124"/>
        <v/>
      </c>
      <c r="BT91" s="73" t="str">
        <f t="shared" si="124"/>
        <v/>
      </c>
      <c r="BU91" s="73" t="str">
        <f t="shared" si="124"/>
        <v/>
      </c>
      <c r="BV91" s="73" t="str">
        <f t="shared" si="124"/>
        <v/>
      </c>
      <c r="BW91" s="165"/>
      <c r="BZ91" s="429" t="str">
        <f>CA84</f>
        <v> </v>
      </c>
      <c r="CA91" s="216"/>
    </row>
    <row r="92" spans="2:97" ht="16.5">
      <c r="B92" s="677">
        <v>4</v>
      </c>
      <c r="C92" s="677" t="s">
        <v>360</v>
      </c>
      <c r="D92" s="677" t="s">
        <v>366</v>
      </c>
      <c r="E92" s="677" t="s">
        <v>629</v>
      </c>
      <c r="F92" s="678">
        <v>27421</v>
      </c>
      <c r="G92" s="678">
        <f t="shared" si="125"/>
        <v>329052</v>
      </c>
      <c r="H92" s="678">
        <f t="shared" si="126"/>
        <v>27421</v>
      </c>
      <c r="I92" s="678">
        <f t="shared" si="127"/>
        <v>329052</v>
      </c>
      <c r="J92" s="678">
        <f t="shared" si="128"/>
        <v>27421</v>
      </c>
      <c r="K92" s="678">
        <f>J92*12</f>
        <v>329052</v>
      </c>
      <c r="L92" s="680">
        <v>45839</v>
      </c>
      <c r="M92" s="681">
        <v>49856</v>
      </c>
      <c r="N92" s="682">
        <v>120</v>
      </c>
      <c r="O92" s="677" t="s">
        <v>363</v>
      </c>
      <c r="P92" s="678">
        <f>J92</f>
        <v>27421</v>
      </c>
      <c r="Q92" s="683">
        <v>12000</v>
      </c>
      <c r="R92" s="225"/>
      <c r="S92" s="225"/>
      <c r="T92" s="225"/>
      <c r="AG92" s="165"/>
      <c r="AH92" s="165"/>
      <c r="AI92" s="165"/>
      <c r="AJ92" s="702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381"/>
      <c r="BB92" s="165"/>
      <c r="BC92" s="165"/>
      <c r="BD92" s="165"/>
      <c r="BE92" s="256">
        <f>BJ87</f>
        <v>3</v>
      </c>
      <c r="BF92" s="136">
        <f t="shared" si="129"/>
        <v>-0.18916107171515795</v>
      </c>
      <c r="BG92" s="73">
        <f t="shared" si="123"/>
        <v>-9477435.9429999981</v>
      </c>
      <c r="BH92" s="73">
        <f t="shared" si="130"/>
        <v>428121.88037777285</v>
      </c>
      <c r="BI92" s="73">
        <f t="shared" si="131"/>
        <v>419754.48367777292</v>
      </c>
      <c r="BJ92" s="73">
        <f>(BJ$87&lt;&gt;"") * ($BE92&lt;&gt;"") * ((BJ$87&lt;=$BE92)*(-$BJ$15+$BJ$14+$BJ$29) + (BJ$87=$BE92)*($BJ$35-$BJ$38))</f>
        <v>4430537.7965299692</v>
      </c>
      <c r="BK92" s="73" t="str">
        <f>IF(OR(BK$66="",$AU92=""),"",(BK$66&lt;=$AU92)*(-BK$14+BK$18+BK$27)+(BK$66=$AU92)*(BK$34-BK$37))</f>
        <v/>
      </c>
      <c r="BL92" s="73" t="str">
        <f>IF(OR(BL$66="",$AU92=""),"",(BL$66&lt;=$AU92)*(-BL$14+BL$18+BL$27)+(BL$66=$AU92)*(BL$34-BL$37))</f>
        <v/>
      </c>
      <c r="BM92" s="73" t="str">
        <f t="shared" si="124"/>
        <v/>
      </c>
      <c r="BN92" s="73" t="str">
        <f t="shared" si="124"/>
        <v/>
      </c>
      <c r="BO92" s="73" t="str">
        <f t="shared" si="124"/>
        <v/>
      </c>
      <c r="BP92" s="73" t="str">
        <f t="shared" si="124"/>
        <v/>
      </c>
      <c r="BQ92" s="73" t="str">
        <f t="shared" si="124"/>
        <v/>
      </c>
      <c r="BR92" s="73" t="str">
        <f t="shared" si="124"/>
        <v/>
      </c>
      <c r="BS92" s="73" t="str">
        <f t="shared" si="124"/>
        <v/>
      </c>
      <c r="BT92" s="73" t="str">
        <f t="shared" si="124"/>
        <v/>
      </c>
      <c r="BU92" s="73" t="str">
        <f t="shared" si="124"/>
        <v/>
      </c>
      <c r="BV92" s="73" t="str">
        <f t="shared" si="124"/>
        <v/>
      </c>
      <c r="BW92" s="165"/>
      <c r="BZ92" s="430" t="s">
        <v>158</v>
      </c>
      <c r="CA92" s="252" t="s">
        <v>158</v>
      </c>
    </row>
    <row r="93" spans="2:97" ht="16.5">
      <c r="B93" s="677"/>
      <c r="C93" s="677"/>
      <c r="D93" s="677"/>
      <c r="E93" s="677"/>
      <c r="F93" s="677"/>
      <c r="G93" s="677"/>
      <c r="H93" s="677"/>
      <c r="I93" s="677"/>
      <c r="J93" s="677"/>
      <c r="K93" s="677"/>
      <c r="L93" s="680"/>
      <c r="M93" s="681"/>
      <c r="N93" s="682"/>
      <c r="O93" s="677"/>
      <c r="P93" s="678"/>
      <c r="Q93" s="677"/>
      <c r="R93" s="225"/>
      <c r="S93" s="225"/>
      <c r="T93" s="225"/>
      <c r="AG93" s="165"/>
      <c r="AH93" s="165"/>
      <c r="AI93" s="165"/>
      <c r="AJ93" s="702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381"/>
      <c r="BB93" s="165"/>
      <c r="BC93" s="165"/>
      <c r="BD93" s="165"/>
      <c r="BE93" s="256">
        <f>BK87</f>
        <v>4</v>
      </c>
      <c r="BF93" s="136">
        <f t="shared" si="129"/>
        <v>-0.19976266768342754</v>
      </c>
      <c r="BG93" s="73">
        <f t="shared" si="123"/>
        <v>-9477435.9429999981</v>
      </c>
      <c r="BH93" s="73">
        <f t="shared" si="130"/>
        <v>428121.88037777285</v>
      </c>
      <c r="BI93" s="73">
        <f t="shared" si="131"/>
        <v>419754.48367777292</v>
      </c>
      <c r="BJ93" s="73">
        <f t="shared" ref="BJ93:BJ99" si="132">(BJ$87&lt;&gt;"") * ($BE93&lt;&gt;"") * ((BJ$87&lt;=$BE93)*(-$BJ$15+$BJ$14+$BJ$29) + (BJ$87=$BE93)*($BJ$35-$BJ$39))</f>
        <v>161925.36311877298</v>
      </c>
      <c r="BK93" s="73">
        <f t="shared" ref="BK93:BK99" si="133">(BK$87&lt;&gt;"") * ($BE93&lt;&gt;"") * ((BK$87&lt;=$BE93)*(-$BK$15+$BK$14+$BK$29) + (BK$87=$BE93)*($BK$35-$BK$38))</f>
        <v>3268791.828438845</v>
      </c>
      <c r="BL93" s="73" t="str">
        <f>IF(OR(BL$66="",$AU93=""),"",(BL$66&lt;=$AU93)*(-BL$14+BL$18+BL$27)+(BL$66=$AU93)*(BL$34-BL$37))</f>
        <v/>
      </c>
      <c r="BM93" s="73" t="str">
        <f t="shared" si="124"/>
        <v/>
      </c>
      <c r="BN93" s="73" t="str">
        <f t="shared" si="124"/>
        <v/>
      </c>
      <c r="BO93" s="73" t="str">
        <f t="shared" si="124"/>
        <v/>
      </c>
      <c r="BP93" s="73" t="str">
        <f t="shared" si="124"/>
        <v/>
      </c>
      <c r="BQ93" s="73" t="str">
        <f t="shared" si="124"/>
        <v/>
      </c>
      <c r="BR93" s="73" t="str">
        <f t="shared" si="124"/>
        <v/>
      </c>
      <c r="BS93" s="73" t="str">
        <f t="shared" si="124"/>
        <v/>
      </c>
      <c r="BT93" s="73" t="str">
        <f t="shared" si="124"/>
        <v/>
      </c>
      <c r="BU93" s="73" t="str">
        <f t="shared" si="124"/>
        <v/>
      </c>
      <c r="BV93" s="73" t="str">
        <f t="shared" si="124"/>
        <v/>
      </c>
      <c r="BW93" s="165"/>
      <c r="BZ93" s="422" t="s">
        <v>315</v>
      </c>
      <c r="CA93" s="216"/>
    </row>
    <row r="94" spans="2:97" ht="16.5">
      <c r="B94" s="684" t="s">
        <v>212</v>
      </c>
      <c r="C94" s="677"/>
      <c r="D94" s="677"/>
      <c r="E94" s="677"/>
      <c r="F94" s="677"/>
      <c r="G94" s="677"/>
      <c r="H94" s="677"/>
      <c r="I94" s="677"/>
      <c r="J94" s="678">
        <f>SUM(J89:J92)</f>
        <v>114254.19</v>
      </c>
      <c r="K94" s="679">
        <f>SUM(K89:K92)</f>
        <v>1371050.2799999998</v>
      </c>
      <c r="L94" s="677"/>
      <c r="M94" s="677"/>
      <c r="N94" s="677"/>
      <c r="O94" s="677"/>
      <c r="P94" s="677"/>
      <c r="Q94" s="677"/>
      <c r="R94" s="225"/>
      <c r="S94" s="225"/>
      <c r="T94" s="225"/>
      <c r="AG94" s="165"/>
      <c r="AH94" s="165"/>
      <c r="AI94" s="165"/>
      <c r="AJ94" s="702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381"/>
      <c r="BB94" s="165"/>
      <c r="BC94" s="165"/>
      <c r="BD94" s="165"/>
      <c r="BE94" s="256">
        <f>BL87</f>
        <v>5</v>
      </c>
      <c r="BF94" s="136">
        <f t="shared" si="129"/>
        <v>-0.13720749181092784</v>
      </c>
      <c r="BG94" s="73">
        <f t="shared" si="123"/>
        <v>-9477435.9429999981</v>
      </c>
      <c r="BH94" s="73">
        <f t="shared" si="130"/>
        <v>428121.88037777285</v>
      </c>
      <c r="BI94" s="73">
        <f t="shared" si="131"/>
        <v>419754.48367777292</v>
      </c>
      <c r="BJ94" s="73">
        <f t="shared" si="132"/>
        <v>161925.36311877298</v>
      </c>
      <c r="BK94" s="73">
        <f t="shared" si="133"/>
        <v>-1095331.8301948975</v>
      </c>
      <c r="BL94" s="73">
        <f>(BL$87&lt;&gt;"") * ($BE94&lt;&gt;"") * ((BL$87&lt;=$BE94)*(-$BL$15+$BL$14+$BL$29) + (BL$87=$BE94)*($BL$35-$BL$38))</f>
        <v>4848964.3848523786</v>
      </c>
      <c r="BM94" s="73" t="str">
        <f t="shared" si="124"/>
        <v/>
      </c>
      <c r="BN94" s="73" t="str">
        <f t="shared" si="124"/>
        <v/>
      </c>
      <c r="BO94" s="73" t="str">
        <f t="shared" si="124"/>
        <v/>
      </c>
      <c r="BP94" s="73" t="str">
        <f t="shared" si="124"/>
        <v/>
      </c>
      <c r="BQ94" s="73" t="str">
        <f t="shared" si="124"/>
        <v/>
      </c>
      <c r="BR94" s="73" t="str">
        <f t="shared" si="124"/>
        <v/>
      </c>
      <c r="BS94" s="73" t="str">
        <f t="shared" si="124"/>
        <v/>
      </c>
      <c r="BT94" s="73" t="str">
        <f t="shared" si="124"/>
        <v/>
      </c>
      <c r="BU94" s="73" t="str">
        <f t="shared" si="124"/>
        <v/>
      </c>
      <c r="BV94" s="73" t="str">
        <f t="shared" si="124"/>
        <v/>
      </c>
      <c r="BW94" s="165"/>
      <c r="BZ94" s="422" t="s">
        <v>321</v>
      </c>
      <c r="CA94" s="216"/>
    </row>
    <row r="95" spans="2:97"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AG95" s="165"/>
      <c r="AH95" s="165"/>
      <c r="AI95" s="165"/>
      <c r="AJ95" s="702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381"/>
      <c r="BB95" s="165"/>
      <c r="BC95" s="165"/>
      <c r="BD95" s="165"/>
      <c r="BE95" s="256">
        <f>BM87</f>
        <v>6</v>
      </c>
      <c r="BF95" s="136">
        <f t="shared" si="129"/>
        <v>-2.4950858571032741E-2</v>
      </c>
      <c r="BG95" s="73">
        <f t="shared" si="123"/>
        <v>-9477435.9429999981</v>
      </c>
      <c r="BH95" s="73">
        <f t="shared" si="130"/>
        <v>428121.88037777285</v>
      </c>
      <c r="BI95" s="73">
        <f t="shared" si="131"/>
        <v>419754.48367777292</v>
      </c>
      <c r="BJ95" s="73">
        <f t="shared" si="132"/>
        <v>161925.36311877298</v>
      </c>
      <c r="BK95" s="73">
        <f t="shared" si="133"/>
        <v>-1095331.8301948975</v>
      </c>
      <c r="BL95" s="73">
        <f>(BL$87&lt;&gt;"") * ($BE95&lt;&gt;"") * ((BL$87&lt;=$BE95)*(-$BL$15+$BL$14+$BL$29) + (BL$87=$BE95)*($BL$35-$BL$39))</f>
        <v>395878.27196932642</v>
      </c>
      <c r="BM95" s="73">
        <f>(BM$87&lt;&gt;"") * ($BE95&lt;&gt;"") * ((BM$87&lt;=$BE95)*(-$BM$15+$BM$14+$BM$29) + (BM$87=$BE95)*($BM$35-$BM$38))</f>
        <v>7892761.5854852684</v>
      </c>
      <c r="BN95" s="73" t="str">
        <f t="shared" si="124"/>
        <v/>
      </c>
      <c r="BO95" s="73" t="str">
        <f t="shared" si="124"/>
        <v/>
      </c>
      <c r="BP95" s="73" t="str">
        <f t="shared" si="124"/>
        <v/>
      </c>
      <c r="BQ95" s="73" t="str">
        <f t="shared" si="124"/>
        <v/>
      </c>
      <c r="BR95" s="73" t="str">
        <f t="shared" si="124"/>
        <v/>
      </c>
      <c r="BS95" s="73" t="str">
        <f t="shared" si="124"/>
        <v/>
      </c>
      <c r="BT95" s="73" t="str">
        <f t="shared" si="124"/>
        <v/>
      </c>
      <c r="BU95" s="73" t="str">
        <f t="shared" si="124"/>
        <v/>
      </c>
      <c r="BV95" s="73" t="str">
        <f t="shared" si="124"/>
        <v/>
      </c>
      <c r="BW95" s="165"/>
      <c r="BZ95" s="422" t="str">
        <f>"Total Distributions ("&amp;BZ83&amp;")"</f>
        <v>Total Distributions (Tier 3)</v>
      </c>
      <c r="CA95" s="216"/>
    </row>
    <row r="96" spans="2:97">
      <c r="B96" s="341" t="s">
        <v>367</v>
      </c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AG96" s="165"/>
      <c r="AH96" s="165"/>
      <c r="AI96" s="165"/>
      <c r="AJ96" s="702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381"/>
      <c r="BB96" s="165"/>
      <c r="BC96" s="165"/>
      <c r="BD96" s="165"/>
      <c r="BE96" s="256">
        <f>BN87</f>
        <v>7</v>
      </c>
      <c r="BF96" s="136">
        <f t="shared" si="129"/>
        <v>-1.0042581534338013E-2</v>
      </c>
      <c r="BG96" s="73">
        <f t="shared" si="123"/>
        <v>-9477435.9429999981</v>
      </c>
      <c r="BH96" s="73">
        <f t="shared" si="130"/>
        <v>428121.88037777285</v>
      </c>
      <c r="BI96" s="73">
        <f t="shared" si="131"/>
        <v>419754.48367777292</v>
      </c>
      <c r="BJ96" s="73">
        <f t="shared" si="132"/>
        <v>161925.36311877298</v>
      </c>
      <c r="BK96" s="73">
        <f t="shared" si="133"/>
        <v>-1095331.8301948975</v>
      </c>
      <c r="BL96" s="73">
        <f>(BL$87&lt;&gt;"") * ($BE96&lt;&gt;"") * ((BL$87&lt;=$BE96)*(-$BL$15+$BL$14+$BL$29) + (BL$87=$BE96)*($BL$35-$BL$39))</f>
        <v>395878.27196932642</v>
      </c>
      <c r="BM96" s="73">
        <f>(BM$87&lt;&gt;"") * ($BE96&lt;&gt;"") * ((BM$87&lt;=$BE96)*(-$BM$15+$BM$14+$BM$29) + (BM$87=$BE96)*($BM$35-$BM$39))</f>
        <v>576995.31757481035</v>
      </c>
      <c r="BN96" s="73">
        <f>(BN$87&lt;&gt;"") * ($BE96&lt;&gt;"") * ((BN$87&lt;=$BE96)*(-$BN$15+$BN$14+$BN$29) + (BN$87=$BE96)*($BN$35-$BN$38))</f>
        <v>7976846.036707663</v>
      </c>
      <c r="BO96" s="73" t="str">
        <f t="shared" si="124"/>
        <v/>
      </c>
      <c r="BP96" s="73" t="str">
        <f t="shared" si="124"/>
        <v/>
      </c>
      <c r="BQ96" s="73" t="str">
        <f t="shared" si="124"/>
        <v/>
      </c>
      <c r="BR96" s="73" t="str">
        <f t="shared" si="124"/>
        <v/>
      </c>
      <c r="BS96" s="73" t="str">
        <f t="shared" si="124"/>
        <v/>
      </c>
      <c r="BT96" s="73" t="str">
        <f t="shared" si="124"/>
        <v/>
      </c>
      <c r="BU96" s="73" t="str">
        <f t="shared" si="124"/>
        <v/>
      </c>
      <c r="BV96" s="73" t="str">
        <f t="shared" si="124"/>
        <v/>
      </c>
      <c r="BW96" s="165"/>
      <c r="BZ96" s="422" t="s">
        <v>328</v>
      </c>
      <c r="CA96" s="216"/>
    </row>
    <row r="97" spans="1:97">
      <c r="B97" s="341" t="s">
        <v>368</v>
      </c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AG97" s="165"/>
      <c r="AH97" s="165"/>
      <c r="AI97" s="165"/>
      <c r="AJ97" s="702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381"/>
      <c r="BB97" s="165"/>
      <c r="BC97" s="165"/>
      <c r="BD97" s="165"/>
      <c r="BE97" s="256">
        <f>BO87</f>
        <v>8</v>
      </c>
      <c r="BF97" s="136">
        <f t="shared" si="129"/>
        <v>7.4870235035451316E-4</v>
      </c>
      <c r="BG97" s="73">
        <f t="shared" si="123"/>
        <v>-9477435.9429999981</v>
      </c>
      <c r="BH97" s="73">
        <f t="shared" si="130"/>
        <v>428121.88037777285</v>
      </c>
      <c r="BI97" s="73">
        <f t="shared" si="131"/>
        <v>419754.48367777292</v>
      </c>
      <c r="BJ97" s="73">
        <f t="shared" si="132"/>
        <v>161925.36311877298</v>
      </c>
      <c r="BK97" s="73">
        <f t="shared" si="133"/>
        <v>-1095331.8301948975</v>
      </c>
      <c r="BL97" s="73">
        <f>(BL$87&lt;&gt;"") * ($BE97&lt;&gt;"") * ((BL$87&lt;=$BE97)*(-$BL$15+$BL$14+$BL$29) + (BL$87=$BE97)*($BL$35-$BL$39))</f>
        <v>395878.27196932642</v>
      </c>
      <c r="BM97" s="73">
        <f>(BM$87&lt;&gt;"") * ($BE97&lt;&gt;"") * ((BM$87&lt;=$BE97)*(-$BM$15+$BM$14+$BM$29) + (BM$87=$BE97)*($BM$35-$BM$39))</f>
        <v>576995.31757481035</v>
      </c>
      <c r="BN97" s="73">
        <f>(BN$87&lt;&gt;"") * ($BE97&lt;&gt;"") * ((BN$87&lt;=$BE97)*(-$BN$15+$BN$14+$BN$29) + (BN$87=$BE97)*($BN$35-$BN$39))</f>
        <v>567603.67996446288</v>
      </c>
      <c r="BO97" s="73">
        <f>(BO$87&lt;&gt;"") * ($BE97&lt;&gt;"") * ((BO$87&lt;=$BE97)*(-$BO$15+$BO$14+$BO$29) + (BO$87=$BE97)*($BO$35-$BO$38))</f>
        <v>8075763.8065256309</v>
      </c>
      <c r="BP97" s="73" t="str">
        <f t="shared" si="124"/>
        <v/>
      </c>
      <c r="BQ97" s="73" t="str">
        <f t="shared" si="124"/>
        <v/>
      </c>
      <c r="BR97" s="73" t="str">
        <f t="shared" si="124"/>
        <v/>
      </c>
      <c r="BS97" s="73" t="str">
        <f t="shared" si="124"/>
        <v/>
      </c>
      <c r="BT97" s="73" t="str">
        <f t="shared" si="124"/>
        <v/>
      </c>
      <c r="BU97" s="73" t="str">
        <f t="shared" si="124"/>
        <v/>
      </c>
      <c r="BV97" s="73" t="str">
        <f t="shared" si="124"/>
        <v/>
      </c>
      <c r="BW97" s="165"/>
      <c r="BZ97" s="422"/>
      <c r="CA97" s="216"/>
    </row>
    <row r="98" spans="1:97" ht="15.75">
      <c r="B98" s="341" t="s">
        <v>369</v>
      </c>
      <c r="C98" s="225"/>
      <c r="D98" s="225"/>
      <c r="E98" s="225"/>
      <c r="F98" s="225"/>
      <c r="G98" s="225"/>
      <c r="H98" s="225"/>
      <c r="I98" s="225"/>
      <c r="J98" s="225" t="s">
        <v>301</v>
      </c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AG98" s="165"/>
      <c r="AH98" s="165"/>
      <c r="AI98" s="165"/>
      <c r="AJ98" s="702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381"/>
      <c r="BB98" s="165"/>
      <c r="BC98" s="165"/>
      <c r="BD98" s="165"/>
      <c r="BE98" s="256">
        <f>BP87</f>
        <v>9</v>
      </c>
      <c r="BF98" s="136">
        <f t="shared" si="129"/>
        <v>9.0125537785386012E-3</v>
      </c>
      <c r="BG98" s="73">
        <f t="shared" si="123"/>
        <v>-9477435.9429999981</v>
      </c>
      <c r="BH98" s="73">
        <f t="shared" si="130"/>
        <v>428121.88037777285</v>
      </c>
      <c r="BI98" s="73">
        <f t="shared" si="131"/>
        <v>419754.48367777292</v>
      </c>
      <c r="BJ98" s="73">
        <f t="shared" si="132"/>
        <v>161925.36311877298</v>
      </c>
      <c r="BK98" s="73">
        <f t="shared" si="133"/>
        <v>-1095331.8301948975</v>
      </c>
      <c r="BL98" s="73">
        <f>(BL$87&lt;&gt;"") * ($BE98&lt;&gt;"") * ((BL$87&lt;=$BE98)*(-$BL$15+$BL$14+$BL$29) + (BL$87=$BE98)*($BL$35-$BL$39))</f>
        <v>395878.27196932642</v>
      </c>
      <c r="BM98" s="73">
        <f>(BM$87&lt;&gt;"") * ($BE98&lt;&gt;"") * ((BM$87&lt;=$BE98)*(-$BM$15+$BM$14+$BM$29) + (BM$87=$BE98)*($BM$35-$BM$39))</f>
        <v>576995.31757481035</v>
      </c>
      <c r="BN98" s="73">
        <f>(BN$87&lt;&gt;"") * ($BE98&lt;&gt;"") * ((BN$87&lt;=$BE98)*(-$BN$15+$BN$14+$BN$29) + (BN$87=$BE98)*($BN$35-$BN$39))</f>
        <v>567603.67996446288</v>
      </c>
      <c r="BO98" s="73">
        <f>(BO$87&lt;&gt;"") * ($BE98&lt;&gt;"") * ((BO$87&lt;=$BE98)*(-$BO$15+$BO$14+$BO$29) + (BO$87=$BE98)*($BO$35-$BO$39))</f>
        <v>558024.20960190881</v>
      </c>
      <c r="BP98" s="73">
        <f>(BP$87&lt;&gt;"") * ($BE98&lt;&gt;"") * ((BP$87&lt;=$BE98)*(-$BP$15+$BP$14+$BP$29) + (BP$87=$BE98)*($BP$35-$BP$38))</f>
        <v>8198231.2224629074</v>
      </c>
      <c r="BQ98" s="73" t="str">
        <f t="shared" si="124"/>
        <v/>
      </c>
      <c r="BR98" s="73" t="str">
        <f t="shared" si="124"/>
        <v/>
      </c>
      <c r="BS98" s="73" t="str">
        <f t="shared" si="124"/>
        <v/>
      </c>
      <c r="BT98" s="73" t="str">
        <f t="shared" si="124"/>
        <v/>
      </c>
      <c r="BU98" s="73" t="str">
        <f t="shared" si="124"/>
        <v/>
      </c>
      <c r="BV98" s="73" t="str">
        <f t="shared" si="124"/>
        <v/>
      </c>
      <c r="BW98" s="165"/>
      <c r="BZ98" s="431" t="s">
        <v>370</v>
      </c>
      <c r="CA98" s="240"/>
      <c r="CB98" s="240"/>
      <c r="CC98" s="240"/>
      <c r="CD98" s="240" t="s">
        <v>46</v>
      </c>
      <c r="CE98" s="200" t="s">
        <v>47</v>
      </c>
      <c r="CF98" s="200" t="s">
        <v>48</v>
      </c>
      <c r="CG98" s="200" t="s">
        <v>49</v>
      </c>
      <c r="CH98" s="200" t="s">
        <v>50</v>
      </c>
      <c r="CI98" s="200" t="s">
        <v>51</v>
      </c>
      <c r="CJ98" s="200" t="s">
        <v>52</v>
      </c>
      <c r="CK98" s="200" t="s">
        <v>53</v>
      </c>
      <c r="CL98" s="200" t="s">
        <v>54</v>
      </c>
      <c r="CM98" s="200" t="s">
        <v>55</v>
      </c>
      <c r="CN98" s="200" t="s">
        <v>56</v>
      </c>
      <c r="CO98" s="200" t="s">
        <v>1</v>
      </c>
      <c r="CP98" s="242" t="str">
        <f>CP$21</f>
        <v> </v>
      </c>
      <c r="CQ98" s="242" t="str">
        <f>CQ$21</f>
        <v> </v>
      </c>
      <c r="CR98" s="242" t="str">
        <f>CR$21</f>
        <v> </v>
      </c>
      <c r="CS98" s="242" t="str">
        <f>CS$21</f>
        <v> </v>
      </c>
    </row>
    <row r="99" spans="1:97">
      <c r="B99" s="341" t="s">
        <v>371</v>
      </c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AG99" s="165"/>
      <c r="AH99" s="165"/>
      <c r="AI99" s="165"/>
      <c r="AJ99" s="702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381"/>
      <c r="BB99" s="165"/>
      <c r="BC99" s="165"/>
      <c r="BD99" s="165"/>
      <c r="BE99" s="256">
        <f>BQ87</f>
        <v>10</v>
      </c>
      <c r="BF99" s="136">
        <f>IF(BE99="","",IRR(BG99:BV99))</f>
        <v>1.5596057063290925E-2</v>
      </c>
      <c r="BG99" s="73">
        <f t="shared" si="123"/>
        <v>-9477435.9429999981</v>
      </c>
      <c r="BH99" s="73">
        <f t="shared" si="130"/>
        <v>428121.88037777285</v>
      </c>
      <c r="BI99" s="73">
        <f t="shared" si="131"/>
        <v>419754.48367777292</v>
      </c>
      <c r="BJ99" s="73">
        <f t="shared" si="132"/>
        <v>161925.36311877298</v>
      </c>
      <c r="BK99" s="73">
        <f t="shared" si="133"/>
        <v>-1095331.8301948975</v>
      </c>
      <c r="BL99" s="73">
        <f>(BL$87&lt;&gt;"") * ($BE99&lt;&gt;"") * ((BL$87&lt;=$BE99)*(-$BL$15+$BL$14+$BL$29) + (BL$87=$BE99)*($BL$35-$BL$39))</f>
        <v>395878.27196932642</v>
      </c>
      <c r="BM99" s="73">
        <f>(BM$87&lt;&gt;"") * ($BE99&lt;&gt;"") * ((BM$87&lt;=$BE99)*(-$BM$15+$BM$14+$BM$29) + (BM$87=$BE99)*($BM$35-$BM$39))</f>
        <v>576995.31757481035</v>
      </c>
      <c r="BN99" s="73">
        <f>(BN$87&lt;&gt;"") * ($BE99&lt;&gt;"") * ((BN$87&lt;=$BE99)*(-$BN$15+$BN$14+$BN$29) + (BN$87=$BE99)*($BN$35-$BN$39))</f>
        <v>567603.67996446288</v>
      </c>
      <c r="BO99" s="73">
        <f>(BO$87&lt;&gt;"") * ($BE99&lt;&gt;"") * ((BO$87&lt;=$BE99)*(-$BO$15+$BO$14+$BO$29) + (BO$87=$BE99)*($BO$35-$BO$39))</f>
        <v>558024.20960190881</v>
      </c>
      <c r="BP99" s="73">
        <f>(BP$87&lt;&gt;"") * ($BE99&lt;&gt;"") * ((BP$87&lt;=$BE99)*(-$BP$15+$BP$14+$BP$29) + (BP$87=$BE99)*($BP$35-$BP$39))</f>
        <v>548800.96244273533</v>
      </c>
      <c r="BQ99" s="73">
        <f>(BQ$87&lt;&gt;"") * ($BE99&lt;&gt;"") * ((BQ$87&lt;=$BE99)*(-$BQ$15+$BQ$14+$BQ$29) + (BQ$87=$BE99)*($BQ$35-$BQ$38))</f>
        <v>8348919.1576557541</v>
      </c>
      <c r="BR99" s="73" t="str">
        <f t="shared" si="124"/>
        <v/>
      </c>
      <c r="BS99" s="73" t="str">
        <f t="shared" si="124"/>
        <v/>
      </c>
      <c r="BT99" s="73" t="str">
        <f t="shared" si="124"/>
        <v/>
      </c>
      <c r="BU99" s="73" t="str">
        <f t="shared" si="124"/>
        <v/>
      </c>
      <c r="BV99" s="73" t="str">
        <f t="shared" si="124"/>
        <v/>
      </c>
      <c r="BW99" s="165"/>
      <c r="BZ99" s="253" t="s">
        <v>372</v>
      </c>
      <c r="CA99" s="55" t="str">
        <f>CA84</f>
        <v> </v>
      </c>
    </row>
    <row r="100" spans="1:97"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AG100" s="165"/>
      <c r="AH100" s="165"/>
      <c r="AI100" s="165"/>
      <c r="AJ100" s="702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381"/>
      <c r="BB100" s="165"/>
      <c r="BC100" s="165"/>
      <c r="BD100" s="165"/>
      <c r="BE100" s="256" t="str">
        <f>BR87</f>
        <v/>
      </c>
      <c r="BF100" s="136" t="str">
        <f t="shared" si="129"/>
        <v/>
      </c>
      <c r="BG100" s="73" t="str">
        <f t="shared" ref="BG100:BQ104" si="134">IF(OR(BG$66="",$AU100=""),"",(BG$66&lt;=$AU100)*(-BG$14+BG$18+BG$27)+(BG$66=$AU100)*(BG$34-BG$37))</f>
        <v/>
      </c>
      <c r="BH100" s="73" t="str">
        <f t="shared" si="134"/>
        <v/>
      </c>
      <c r="BI100" s="73" t="str">
        <f t="shared" si="134"/>
        <v/>
      </c>
      <c r="BJ100" s="73" t="str">
        <f t="shared" si="134"/>
        <v/>
      </c>
      <c r="BK100" s="73" t="str">
        <f t="shared" si="134"/>
        <v/>
      </c>
      <c r="BL100" s="73" t="str">
        <f t="shared" si="134"/>
        <v/>
      </c>
      <c r="BM100" s="73" t="str">
        <f t="shared" si="134"/>
        <v/>
      </c>
      <c r="BN100" s="73" t="str">
        <f t="shared" si="134"/>
        <v/>
      </c>
      <c r="BO100" s="73" t="str">
        <f t="shared" si="134"/>
        <v/>
      </c>
      <c r="BP100" s="73" t="str">
        <f t="shared" si="134"/>
        <v/>
      </c>
      <c r="BQ100" s="73" t="str">
        <f t="shared" si="134"/>
        <v/>
      </c>
      <c r="BR100" s="73" t="str">
        <f t="shared" si="124"/>
        <v/>
      </c>
      <c r="BS100" s="73" t="str">
        <f t="shared" si="124"/>
        <v/>
      </c>
      <c r="BT100" s="73" t="str">
        <f t="shared" si="124"/>
        <v/>
      </c>
      <c r="BU100" s="73" t="str">
        <f t="shared" si="124"/>
        <v/>
      </c>
      <c r="BV100" s="73" t="str">
        <f t="shared" si="124"/>
        <v/>
      </c>
      <c r="BW100" s="165"/>
      <c r="BZ100" s="253" t="s">
        <v>315</v>
      </c>
      <c r="CD100" s="55" t="str">
        <f t="shared" ref="CD100:CS100" si="135">IF(CD85="","",CD96*$I$19)</f>
        <v/>
      </c>
      <c r="CE100" s="55" t="str">
        <f t="shared" si="135"/>
        <v/>
      </c>
      <c r="CF100" s="55" t="str">
        <f t="shared" si="135"/>
        <v/>
      </c>
      <c r="CG100" s="55" t="str">
        <f t="shared" si="135"/>
        <v/>
      </c>
      <c r="CH100" s="55" t="str">
        <f t="shared" si="135"/>
        <v/>
      </c>
      <c r="CI100" s="55" t="str">
        <f t="shared" si="135"/>
        <v/>
      </c>
      <c r="CJ100" s="55" t="str">
        <f t="shared" si="135"/>
        <v/>
      </c>
      <c r="CK100" s="55" t="str">
        <f t="shared" si="135"/>
        <v/>
      </c>
      <c r="CL100" s="55" t="str">
        <f t="shared" si="135"/>
        <v/>
      </c>
      <c r="CM100" s="55" t="str">
        <f t="shared" si="135"/>
        <v/>
      </c>
      <c r="CN100" s="55" t="str">
        <f t="shared" si="135"/>
        <v/>
      </c>
      <c r="CO100" s="55" t="str">
        <f t="shared" si="135"/>
        <v/>
      </c>
      <c r="CP100" s="55" t="str">
        <f t="shared" si="135"/>
        <v/>
      </c>
      <c r="CQ100" s="55" t="str">
        <f t="shared" si="135"/>
        <v/>
      </c>
      <c r="CR100" s="55" t="str">
        <f t="shared" si="135"/>
        <v/>
      </c>
      <c r="CS100" s="55" t="str">
        <f t="shared" si="135"/>
        <v/>
      </c>
    </row>
    <row r="101" spans="1:97">
      <c r="A101" s="329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AG101" s="165"/>
      <c r="AH101" s="165"/>
      <c r="AI101" s="165"/>
      <c r="AJ101" s="702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381"/>
      <c r="BB101" s="165"/>
      <c r="BC101" s="165"/>
      <c r="BD101" s="165"/>
      <c r="BE101" s="256" t="str">
        <f>BS87</f>
        <v/>
      </c>
      <c r="BF101" s="136" t="str">
        <f t="shared" si="129"/>
        <v/>
      </c>
      <c r="BG101" s="73" t="str">
        <f t="shared" si="134"/>
        <v/>
      </c>
      <c r="BH101" s="73" t="str">
        <f t="shared" si="134"/>
        <v/>
      </c>
      <c r="BI101" s="73" t="str">
        <f t="shared" si="134"/>
        <v/>
      </c>
      <c r="BJ101" s="73" t="str">
        <f t="shared" si="134"/>
        <v/>
      </c>
      <c r="BK101" s="73" t="str">
        <f t="shared" si="134"/>
        <v/>
      </c>
      <c r="BL101" s="73" t="str">
        <f t="shared" si="134"/>
        <v/>
      </c>
      <c r="BM101" s="73" t="str">
        <f t="shared" si="134"/>
        <v/>
      </c>
      <c r="BN101" s="73" t="str">
        <f t="shared" si="134"/>
        <v/>
      </c>
      <c r="BO101" s="73" t="str">
        <f t="shared" si="134"/>
        <v/>
      </c>
      <c r="BP101" s="73" t="str">
        <f t="shared" si="134"/>
        <v/>
      </c>
      <c r="BQ101" s="73" t="str">
        <f t="shared" si="134"/>
        <v/>
      </c>
      <c r="BR101" s="73" t="str">
        <f t="shared" si="124"/>
        <v/>
      </c>
      <c r="BS101" s="73" t="str">
        <f t="shared" si="124"/>
        <v/>
      </c>
      <c r="BT101" s="73" t="str">
        <f t="shared" si="124"/>
        <v/>
      </c>
      <c r="BU101" s="73" t="str">
        <f t="shared" si="124"/>
        <v/>
      </c>
      <c r="BV101" s="73" t="str">
        <f t="shared" si="124"/>
        <v/>
      </c>
      <c r="BW101" s="165"/>
      <c r="BZ101" s="253" t="s">
        <v>321</v>
      </c>
      <c r="CD101" s="55" t="str">
        <f t="shared" ref="CD101:CS101" si="136">IF(CD100="","",CD96-CD100)</f>
        <v/>
      </c>
      <c r="CE101" s="55" t="str">
        <f t="shared" si="136"/>
        <v/>
      </c>
      <c r="CF101" s="55" t="str">
        <f t="shared" si="136"/>
        <v/>
      </c>
      <c r="CG101" s="55" t="str">
        <f t="shared" si="136"/>
        <v/>
      </c>
      <c r="CH101" s="55" t="str">
        <f t="shared" si="136"/>
        <v/>
      </c>
      <c r="CI101" s="55" t="str">
        <f t="shared" si="136"/>
        <v/>
      </c>
      <c r="CJ101" s="55" t="str">
        <f t="shared" si="136"/>
        <v/>
      </c>
      <c r="CK101" s="55" t="str">
        <f t="shared" si="136"/>
        <v/>
      </c>
      <c r="CL101" s="55" t="str">
        <f t="shared" si="136"/>
        <v/>
      </c>
      <c r="CM101" s="55" t="str">
        <f t="shared" si="136"/>
        <v/>
      </c>
      <c r="CN101" s="55" t="str">
        <f t="shared" si="136"/>
        <v/>
      </c>
      <c r="CO101" s="55" t="str">
        <f t="shared" si="136"/>
        <v/>
      </c>
      <c r="CP101" s="55" t="str">
        <f t="shared" si="136"/>
        <v/>
      </c>
      <c r="CQ101" s="55" t="str">
        <f t="shared" si="136"/>
        <v/>
      </c>
      <c r="CR101" s="55" t="str">
        <f t="shared" si="136"/>
        <v/>
      </c>
      <c r="CS101" s="55" t="str">
        <f t="shared" si="136"/>
        <v/>
      </c>
    </row>
    <row r="102" spans="1:97">
      <c r="A102" s="329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AG102" s="165"/>
      <c r="AH102" s="165"/>
      <c r="AI102" s="165"/>
      <c r="AJ102" s="702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381"/>
      <c r="BB102" s="165"/>
      <c r="BC102" s="165"/>
      <c r="BD102" s="165"/>
      <c r="BE102" s="256" t="str">
        <f>BT87</f>
        <v/>
      </c>
      <c r="BF102" s="136" t="str">
        <f t="shared" si="129"/>
        <v/>
      </c>
      <c r="BG102" s="73" t="str">
        <f t="shared" si="134"/>
        <v/>
      </c>
      <c r="BH102" s="73" t="str">
        <f t="shared" si="134"/>
        <v/>
      </c>
      <c r="BI102" s="73" t="str">
        <f t="shared" si="134"/>
        <v/>
      </c>
      <c r="BJ102" s="73" t="str">
        <f t="shared" si="134"/>
        <v/>
      </c>
      <c r="BK102" s="73" t="str">
        <f t="shared" si="134"/>
        <v/>
      </c>
      <c r="BL102" s="73" t="str">
        <f t="shared" si="134"/>
        <v/>
      </c>
      <c r="BM102" s="73" t="str">
        <f t="shared" si="134"/>
        <v/>
      </c>
      <c r="BN102" s="73" t="str">
        <f t="shared" si="134"/>
        <v/>
      </c>
      <c r="BO102" s="73" t="str">
        <f t="shared" si="134"/>
        <v/>
      </c>
      <c r="BP102" s="73" t="str">
        <f t="shared" si="134"/>
        <v/>
      </c>
      <c r="BQ102" s="73" t="str">
        <f t="shared" si="134"/>
        <v/>
      </c>
      <c r="BR102" s="73" t="str">
        <f t="shared" si="124"/>
        <v/>
      </c>
      <c r="BS102" s="73" t="str">
        <f t="shared" si="124"/>
        <v/>
      </c>
      <c r="BT102" s="73" t="str">
        <f t="shared" si="124"/>
        <v/>
      </c>
      <c r="BU102" s="73" t="str">
        <f t="shared" si="124"/>
        <v/>
      </c>
      <c r="BV102" s="73" t="str">
        <f t="shared" si="124"/>
        <v/>
      </c>
      <c r="BW102" s="165"/>
      <c r="BZ102" s="253" t="str">
        <f>"Total Distributions ("&amp;BZ98&amp;")"</f>
        <v>Total Distributions (Tier 4)</v>
      </c>
      <c r="CD102" s="55" t="str">
        <f t="shared" ref="CD102:CS102" si="137">IF(CD100="","",CD100+CD101)</f>
        <v/>
      </c>
      <c r="CE102" s="55" t="str">
        <f t="shared" si="137"/>
        <v/>
      </c>
      <c r="CF102" s="55" t="str">
        <f t="shared" si="137"/>
        <v/>
      </c>
      <c r="CG102" s="55" t="str">
        <f t="shared" si="137"/>
        <v/>
      </c>
      <c r="CH102" s="55" t="str">
        <f t="shared" si="137"/>
        <v/>
      </c>
      <c r="CI102" s="55" t="str">
        <f t="shared" si="137"/>
        <v/>
      </c>
      <c r="CJ102" s="55" t="str">
        <f t="shared" si="137"/>
        <v/>
      </c>
      <c r="CK102" s="55" t="str">
        <f t="shared" si="137"/>
        <v/>
      </c>
      <c r="CL102" s="55" t="str">
        <f t="shared" si="137"/>
        <v/>
      </c>
      <c r="CM102" s="55" t="str">
        <f t="shared" si="137"/>
        <v/>
      </c>
      <c r="CN102" s="55" t="str">
        <f t="shared" si="137"/>
        <v/>
      </c>
      <c r="CO102" s="55" t="str">
        <f t="shared" si="137"/>
        <v/>
      </c>
      <c r="CP102" s="55" t="str">
        <f t="shared" si="137"/>
        <v/>
      </c>
      <c r="CQ102" s="55" t="str">
        <f t="shared" si="137"/>
        <v/>
      </c>
      <c r="CR102" s="55" t="str">
        <f t="shared" si="137"/>
        <v/>
      </c>
      <c r="CS102" s="55" t="str">
        <f t="shared" si="137"/>
        <v/>
      </c>
    </row>
    <row r="103" spans="1:97">
      <c r="A103" s="329"/>
      <c r="AG103" s="165"/>
      <c r="AH103" s="165"/>
      <c r="AI103" s="165"/>
      <c r="AJ103" s="702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381"/>
      <c r="BB103" s="165"/>
      <c r="BC103" s="165"/>
      <c r="BD103" s="165"/>
      <c r="BE103" s="256" t="str">
        <f>BU87</f>
        <v/>
      </c>
      <c r="BF103" s="136" t="str">
        <f t="shared" si="129"/>
        <v/>
      </c>
      <c r="BG103" s="73" t="str">
        <f t="shared" si="134"/>
        <v/>
      </c>
      <c r="BH103" s="73" t="str">
        <f t="shared" si="134"/>
        <v/>
      </c>
      <c r="BI103" s="73" t="str">
        <f t="shared" si="134"/>
        <v/>
      </c>
      <c r="BJ103" s="73" t="str">
        <f t="shared" si="134"/>
        <v/>
      </c>
      <c r="BK103" s="73" t="str">
        <f t="shared" si="134"/>
        <v/>
      </c>
      <c r="BL103" s="73" t="str">
        <f t="shared" si="134"/>
        <v/>
      </c>
      <c r="BM103" s="73" t="str">
        <f t="shared" si="134"/>
        <v/>
      </c>
      <c r="BN103" s="73" t="str">
        <f t="shared" si="134"/>
        <v/>
      </c>
      <c r="BO103" s="73" t="str">
        <f t="shared" si="134"/>
        <v/>
      </c>
      <c r="BP103" s="73" t="str">
        <f t="shared" si="134"/>
        <v/>
      </c>
      <c r="BQ103" s="73" t="str">
        <f t="shared" si="134"/>
        <v/>
      </c>
      <c r="BR103" s="73" t="str">
        <f t="shared" si="124"/>
        <v/>
      </c>
      <c r="BS103" s="73" t="str">
        <f t="shared" si="124"/>
        <v/>
      </c>
      <c r="BT103" s="73" t="str">
        <f t="shared" si="124"/>
        <v/>
      </c>
      <c r="BU103" s="73" t="str">
        <f t="shared" si="124"/>
        <v/>
      </c>
      <c r="BV103" s="73" t="str">
        <f t="shared" si="124"/>
        <v/>
      </c>
      <c r="BW103" s="165"/>
      <c r="BZ103" s="253" t="s">
        <v>328</v>
      </c>
      <c r="CD103" s="55" t="str">
        <f t="shared" ref="CD103:CS103" si="138">IF(CD100="","",CD96-CD102)</f>
        <v/>
      </c>
      <c r="CE103" s="55" t="str">
        <f t="shared" si="138"/>
        <v/>
      </c>
      <c r="CF103" s="55" t="str">
        <f t="shared" si="138"/>
        <v/>
      </c>
      <c r="CG103" s="55" t="str">
        <f t="shared" si="138"/>
        <v/>
      </c>
      <c r="CH103" s="55" t="str">
        <f t="shared" si="138"/>
        <v/>
      </c>
      <c r="CI103" s="55" t="str">
        <f t="shared" si="138"/>
        <v/>
      </c>
      <c r="CJ103" s="55" t="str">
        <f t="shared" si="138"/>
        <v/>
      </c>
      <c r="CK103" s="55" t="str">
        <f t="shared" si="138"/>
        <v/>
      </c>
      <c r="CL103" s="55" t="str">
        <f t="shared" si="138"/>
        <v/>
      </c>
      <c r="CM103" s="55" t="str">
        <f t="shared" si="138"/>
        <v/>
      </c>
      <c r="CN103" s="55" t="str">
        <f t="shared" si="138"/>
        <v/>
      </c>
      <c r="CO103" s="55" t="str">
        <f t="shared" si="138"/>
        <v/>
      </c>
      <c r="CP103" s="55" t="str">
        <f t="shared" si="138"/>
        <v/>
      </c>
      <c r="CQ103" s="55" t="str">
        <f t="shared" si="138"/>
        <v/>
      </c>
      <c r="CR103" s="55" t="str">
        <f t="shared" si="138"/>
        <v/>
      </c>
      <c r="CS103" s="55" t="str">
        <f t="shared" si="138"/>
        <v/>
      </c>
    </row>
    <row r="104" spans="1:97">
      <c r="A104" s="329"/>
      <c r="AG104" s="165"/>
      <c r="AH104" s="165"/>
      <c r="AI104" s="165"/>
      <c r="AJ104" s="702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381"/>
      <c r="BB104" s="165"/>
      <c r="BC104" s="165"/>
      <c r="BD104" s="165"/>
      <c r="BE104" s="256" t="str">
        <f>BV87</f>
        <v/>
      </c>
      <c r="BF104" s="136" t="str">
        <f t="shared" si="129"/>
        <v/>
      </c>
      <c r="BG104" s="73" t="str">
        <f t="shared" si="134"/>
        <v/>
      </c>
      <c r="BH104" s="73" t="str">
        <f t="shared" si="134"/>
        <v/>
      </c>
      <c r="BI104" s="73" t="str">
        <f t="shared" si="134"/>
        <v/>
      </c>
      <c r="BJ104" s="73" t="str">
        <f t="shared" si="134"/>
        <v/>
      </c>
      <c r="BK104" s="73" t="str">
        <f t="shared" si="134"/>
        <v/>
      </c>
      <c r="BL104" s="73" t="str">
        <f t="shared" si="134"/>
        <v/>
      </c>
      <c r="BM104" s="73" t="str">
        <f t="shared" si="134"/>
        <v/>
      </c>
      <c r="BN104" s="73" t="str">
        <f t="shared" si="134"/>
        <v/>
      </c>
      <c r="BO104" s="73" t="str">
        <f t="shared" si="134"/>
        <v/>
      </c>
      <c r="BP104" s="73" t="str">
        <f t="shared" si="134"/>
        <v/>
      </c>
      <c r="BQ104" s="73" t="str">
        <f t="shared" si="134"/>
        <v/>
      </c>
      <c r="BR104" s="73" t="str">
        <f>IF(OR(BR$66="",$AU104=""),"",(BR$66&lt;=$AU104)*(-BR$14+BR$18+BR$27)+(BR$66=$AU104)*(BR$34-BR$37))</f>
        <v/>
      </c>
      <c r="BS104" s="73" t="str">
        <f>IF(OR(BS$66="",$AU104=""),"",(BS$66&lt;=$AU104)*(-BS$14+BS$18+BS$27)+(BS$66=$AU104)*(BS$34-BS$37))</f>
        <v/>
      </c>
      <c r="BT104" s="73" t="str">
        <f>IF(OR(BT$66="",$AU104=""),"",(BT$66&lt;=$AU104)*(-BT$14+BT$18+BT$27)+(BT$66=$AU104)*(BT$34-BT$37))</f>
        <v/>
      </c>
      <c r="BU104" s="73" t="str">
        <f>IF(OR(BU$66="",$AU104=""),"",(BU$66&lt;=$AU104)*(-BU$14+BU$18+BU$27)+(BU$66=$AU104)*(BU$34-BU$37))</f>
        <v/>
      </c>
      <c r="BV104" s="73" t="str">
        <f t="shared" si="124"/>
        <v/>
      </c>
      <c r="BW104" s="165"/>
      <c r="BZ104" s="253"/>
    </row>
    <row r="105" spans="1:97">
      <c r="A105" s="329"/>
      <c r="D105" s="55" t="s">
        <v>630</v>
      </c>
      <c r="E105" s="55" t="s">
        <v>631</v>
      </c>
      <c r="F105" s="55" t="s">
        <v>632</v>
      </c>
      <c r="G105" s="55" t="s">
        <v>633</v>
      </c>
      <c r="H105" s="55" t="s">
        <v>634</v>
      </c>
      <c r="AG105" s="165"/>
      <c r="AH105" s="165"/>
      <c r="AI105" s="165"/>
      <c r="AJ105" s="702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381"/>
      <c r="BB105" s="165"/>
      <c r="BC105" s="165"/>
      <c r="BD105" s="165"/>
      <c r="BE105" s="165" t="s">
        <v>373</v>
      </c>
      <c r="BF105" s="165"/>
      <c r="BG105" s="165"/>
      <c r="BH105" s="165"/>
      <c r="BI105" s="165"/>
      <c r="BJ105" s="165"/>
      <c r="BK105" s="165"/>
      <c r="BL105" s="165"/>
      <c r="BM105" s="165"/>
      <c r="BN105" s="165"/>
      <c r="BO105" s="165"/>
      <c r="BP105" s="165"/>
      <c r="BQ105" s="165"/>
      <c r="BR105" s="165"/>
      <c r="BS105" s="165"/>
      <c r="BT105" s="165"/>
      <c r="BU105" s="165"/>
      <c r="BV105" s="165"/>
      <c r="BW105" s="165"/>
      <c r="BZ105" s="253"/>
    </row>
    <row r="106" spans="1:97" ht="15" customHeight="1">
      <c r="B106" s="334" t="s">
        <v>635</v>
      </c>
      <c r="C106" s="672"/>
      <c r="D106" s="672"/>
      <c r="E106" s="672"/>
      <c r="F106" s="672"/>
      <c r="G106" s="672"/>
      <c r="H106" s="672"/>
      <c r="I106" s="672"/>
      <c r="J106" s="672"/>
      <c r="K106" s="672"/>
      <c r="L106" s="672"/>
      <c r="M106" s="672"/>
      <c r="N106" s="672"/>
      <c r="O106" s="672"/>
      <c r="P106" s="672"/>
      <c r="Q106" s="672"/>
      <c r="R106" s="672"/>
      <c r="S106" s="672"/>
      <c r="T106" s="672"/>
      <c r="AJ106" s="703"/>
    </row>
    <row r="107" spans="1:97" ht="15" customHeight="1">
      <c r="B107" s="673" t="s">
        <v>346</v>
      </c>
      <c r="C107" s="673" t="s">
        <v>344</v>
      </c>
      <c r="D107" s="674" t="s">
        <v>625</v>
      </c>
      <c r="E107" s="674" t="s">
        <v>636</v>
      </c>
      <c r="F107" s="674" t="s">
        <v>626</v>
      </c>
      <c r="G107" s="674" t="s">
        <v>637</v>
      </c>
      <c r="H107" s="674" t="s">
        <v>638</v>
      </c>
      <c r="I107" s="674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AJ107" s="703"/>
    </row>
    <row r="108" spans="1:97" ht="15" customHeight="1">
      <c r="B108" s="677" t="s">
        <v>361</v>
      </c>
      <c r="C108" s="677">
        <v>1</v>
      </c>
      <c r="D108" s="692">
        <v>1200000</v>
      </c>
      <c r="E108" s="692">
        <v>1000000</v>
      </c>
      <c r="F108" s="693">
        <f>D108-E108</f>
        <v>200000</v>
      </c>
      <c r="G108" s="691">
        <v>0.06</v>
      </c>
      <c r="H108" s="693">
        <f>F108*G108</f>
        <v>12000</v>
      </c>
      <c r="I108" s="677"/>
      <c r="J108" s="677"/>
      <c r="K108" s="677"/>
      <c r="L108" s="677"/>
      <c r="M108" s="677"/>
      <c r="N108" s="677"/>
      <c r="O108" s="677"/>
      <c r="P108" s="677"/>
      <c r="Q108" s="677"/>
      <c r="R108" s="677"/>
      <c r="S108" s="677"/>
      <c r="T108" s="677"/>
      <c r="AJ108" s="703"/>
    </row>
    <row r="109" spans="1:97" ht="15" customHeight="1">
      <c r="B109" s="677" t="s">
        <v>364</v>
      </c>
      <c r="C109" s="677">
        <v>2</v>
      </c>
      <c r="D109" s="692">
        <v>850000</v>
      </c>
      <c r="E109" s="692">
        <v>800000</v>
      </c>
      <c r="F109" s="693">
        <f t="shared" ref="F109:F111" si="139">D109-E109</f>
        <v>50000</v>
      </c>
      <c r="G109" s="691">
        <v>0.06</v>
      </c>
      <c r="H109" s="693">
        <f t="shared" ref="H109:H111" si="140">F109*G109</f>
        <v>3000</v>
      </c>
      <c r="I109" s="677"/>
      <c r="J109" s="677"/>
      <c r="K109" s="677"/>
      <c r="L109" s="677"/>
      <c r="M109" s="677"/>
      <c r="N109" s="677"/>
      <c r="O109" s="677"/>
      <c r="P109" s="677"/>
      <c r="Q109" s="677"/>
      <c r="R109" s="677"/>
      <c r="S109" s="677"/>
      <c r="T109" s="677"/>
      <c r="AJ109" s="703"/>
    </row>
    <row r="110" spans="1:97" ht="15" customHeight="1">
      <c r="B110" s="677" t="s">
        <v>365</v>
      </c>
      <c r="C110" s="677">
        <v>3</v>
      </c>
      <c r="D110" s="692">
        <v>500000</v>
      </c>
      <c r="E110" s="692">
        <v>400000</v>
      </c>
      <c r="F110" s="693">
        <f t="shared" si="139"/>
        <v>100000</v>
      </c>
      <c r="G110" s="691">
        <v>0.06</v>
      </c>
      <c r="H110" s="693">
        <f>F110*G110</f>
        <v>6000</v>
      </c>
      <c r="I110" s="677"/>
      <c r="J110" s="677"/>
      <c r="K110" s="677"/>
      <c r="L110" s="677"/>
      <c r="M110" s="677"/>
      <c r="N110" s="677"/>
      <c r="O110" s="677"/>
      <c r="P110" s="677"/>
      <c r="Q110" s="677"/>
      <c r="R110" s="677"/>
      <c r="S110" s="677"/>
      <c r="T110" s="677"/>
      <c r="AJ110" s="703"/>
    </row>
    <row r="111" spans="1:97" ht="15" customHeight="1">
      <c r="B111" s="677" t="s">
        <v>366</v>
      </c>
      <c r="C111" s="677">
        <v>4</v>
      </c>
      <c r="D111" s="692">
        <v>2000000</v>
      </c>
      <c r="E111" s="692">
        <v>1500000</v>
      </c>
      <c r="F111" s="693">
        <f t="shared" si="139"/>
        <v>500000</v>
      </c>
      <c r="G111" s="691">
        <v>0.06</v>
      </c>
      <c r="H111" s="693">
        <f t="shared" si="140"/>
        <v>30000</v>
      </c>
      <c r="I111" s="677"/>
      <c r="J111" s="677"/>
      <c r="K111" s="677"/>
      <c r="L111" s="677"/>
      <c r="M111" s="677"/>
      <c r="N111" s="677"/>
      <c r="O111" s="677"/>
      <c r="P111" s="677"/>
      <c r="Q111" s="677"/>
      <c r="R111" s="677"/>
      <c r="S111" s="677"/>
      <c r="T111" s="677"/>
      <c r="AJ111" s="703"/>
    </row>
    <row r="112" spans="1:97" ht="15" customHeight="1">
      <c r="B112" s="677"/>
      <c r="C112" s="677"/>
      <c r="D112" s="692"/>
      <c r="E112" s="692"/>
      <c r="F112" s="693"/>
      <c r="G112" s="692"/>
      <c r="H112" s="693">
        <f>SUM(H108:H111)</f>
        <v>51000</v>
      </c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AJ112" s="703"/>
    </row>
    <row r="113" spans="2:36" ht="15" customHeight="1">
      <c r="B113" s="333"/>
      <c r="C113" s="332"/>
      <c r="D113" s="176"/>
      <c r="E113" s="332"/>
      <c r="G113" s="675"/>
      <c r="H113" s="332"/>
      <c r="I113" s="332"/>
      <c r="J113" s="332"/>
      <c r="K113" s="332"/>
      <c r="L113" s="332"/>
      <c r="M113" s="332"/>
      <c r="N113" s="332"/>
      <c r="AJ113" s="703"/>
    </row>
    <row r="114" spans="2:36" ht="15" customHeight="1">
      <c r="B114" s="264" t="s">
        <v>639</v>
      </c>
      <c r="C114" s="598" t="s">
        <v>47</v>
      </c>
      <c r="D114" s="249">
        <v>2</v>
      </c>
      <c r="E114" s="249">
        <v>3</v>
      </c>
      <c r="F114" s="249">
        <v>4</v>
      </c>
      <c r="G114" s="249">
        <v>5</v>
      </c>
      <c r="H114" s="249">
        <v>6</v>
      </c>
      <c r="I114" s="249">
        <v>7</v>
      </c>
      <c r="J114" s="249">
        <v>8</v>
      </c>
      <c r="K114" s="249">
        <v>9</v>
      </c>
      <c r="L114" s="249">
        <v>10</v>
      </c>
      <c r="M114" s="249">
        <v>11</v>
      </c>
      <c r="N114" s="640"/>
      <c r="O114" s="640"/>
      <c r="P114" s="640"/>
      <c r="Q114" s="640"/>
      <c r="R114" s="686"/>
      <c r="S114" s="686"/>
      <c r="T114" s="686"/>
      <c r="AJ114" s="703"/>
    </row>
    <row r="115" spans="2:36" ht="15" customHeight="1">
      <c r="B115" s="673" t="s">
        <v>346</v>
      </c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676"/>
      <c r="N115" s="225"/>
      <c r="O115" s="225"/>
      <c r="P115" s="225"/>
      <c r="Q115" s="686"/>
      <c r="R115" s="686"/>
      <c r="S115" s="686"/>
      <c r="T115" s="686"/>
      <c r="AJ115" s="703"/>
    </row>
    <row r="116" spans="2:36" ht="15" customHeight="1">
      <c r="B116" s="677" t="s">
        <v>361</v>
      </c>
      <c r="C116" s="687">
        <v>0.03</v>
      </c>
      <c r="D116" s="687">
        <v>0.01</v>
      </c>
      <c r="E116" s="687">
        <v>0.02</v>
      </c>
      <c r="F116" s="688">
        <v>0.03</v>
      </c>
      <c r="G116" s="687">
        <v>0.04</v>
      </c>
      <c r="H116" s="687">
        <v>0.05</v>
      </c>
      <c r="I116" s="687">
        <v>0.02</v>
      </c>
      <c r="J116" s="687">
        <v>0.02</v>
      </c>
      <c r="K116" s="687">
        <v>0.02</v>
      </c>
      <c r="L116" s="687">
        <v>0.03</v>
      </c>
      <c r="M116" s="687">
        <v>0.03</v>
      </c>
      <c r="N116" s="687"/>
      <c r="O116" s="687"/>
      <c r="P116" s="687"/>
      <c r="Q116" s="687"/>
      <c r="R116" s="686"/>
      <c r="S116" s="686"/>
      <c r="T116" s="686"/>
      <c r="AJ116" s="703"/>
    </row>
    <row r="117" spans="2:36" ht="15" customHeight="1">
      <c r="B117" s="677" t="s">
        <v>364</v>
      </c>
      <c r="C117" s="687">
        <v>0.03</v>
      </c>
      <c r="D117" s="687">
        <v>0.05</v>
      </c>
      <c r="E117" s="687">
        <v>0.05</v>
      </c>
      <c r="F117" s="687">
        <v>0.05</v>
      </c>
      <c r="G117" s="687">
        <v>0.02</v>
      </c>
      <c r="H117" s="687">
        <v>0.02</v>
      </c>
      <c r="I117" s="687">
        <v>0.02</v>
      </c>
      <c r="J117" s="687">
        <v>0.02</v>
      </c>
      <c r="K117" s="689">
        <v>0.04</v>
      </c>
      <c r="L117" s="689">
        <v>0.04</v>
      </c>
      <c r="M117" s="687">
        <v>0.04</v>
      </c>
      <c r="N117" s="687"/>
      <c r="O117" s="687"/>
      <c r="P117" s="687"/>
      <c r="Q117" s="687"/>
      <c r="R117" s="686"/>
      <c r="S117" s="686"/>
      <c r="T117" s="686"/>
      <c r="AJ117" s="703"/>
    </row>
    <row r="118" spans="2:36" ht="15" customHeight="1">
      <c r="B118" s="677" t="s">
        <v>365</v>
      </c>
      <c r="C118" s="687">
        <v>0.02</v>
      </c>
      <c r="D118" s="690">
        <v>0.02</v>
      </c>
      <c r="E118" s="687">
        <v>0.02</v>
      </c>
      <c r="F118" s="687">
        <v>0.02</v>
      </c>
      <c r="G118" s="687">
        <v>0</v>
      </c>
      <c r="H118" s="687">
        <v>0</v>
      </c>
      <c r="I118" s="687">
        <v>0</v>
      </c>
      <c r="J118" s="687">
        <v>0</v>
      </c>
      <c r="K118" s="689">
        <v>0.02</v>
      </c>
      <c r="L118" s="689">
        <v>0.02</v>
      </c>
      <c r="M118" s="687">
        <v>0.02</v>
      </c>
      <c r="N118" s="687"/>
      <c r="O118" s="687"/>
      <c r="P118" s="687"/>
      <c r="Q118" s="687"/>
      <c r="R118" s="225"/>
      <c r="S118" s="225"/>
      <c r="T118" s="225"/>
      <c r="AJ118" s="703"/>
    </row>
    <row r="119" spans="2:36" ht="15" customHeight="1">
      <c r="B119" s="677" t="s">
        <v>366</v>
      </c>
      <c r="C119" s="687">
        <v>0.01</v>
      </c>
      <c r="D119" s="687">
        <v>0.01</v>
      </c>
      <c r="E119" s="687">
        <v>0.01</v>
      </c>
      <c r="F119" s="687">
        <v>0.01</v>
      </c>
      <c r="G119" s="691">
        <v>0.01</v>
      </c>
      <c r="H119" s="687">
        <v>0.02</v>
      </c>
      <c r="I119" s="687">
        <v>0.02</v>
      </c>
      <c r="J119" s="687">
        <v>0.02</v>
      </c>
      <c r="K119" s="689">
        <v>0.01</v>
      </c>
      <c r="L119" s="689">
        <v>0.01</v>
      </c>
      <c r="M119" s="687">
        <v>0.01</v>
      </c>
      <c r="N119" s="687"/>
      <c r="O119" s="687"/>
      <c r="P119" s="687"/>
      <c r="Q119" s="687"/>
      <c r="R119" s="225"/>
      <c r="S119" s="225"/>
      <c r="T119" s="225"/>
      <c r="AJ119" s="703"/>
    </row>
    <row r="120" spans="2:36" ht="15" customHeight="1">
      <c r="B120" s="225"/>
      <c r="C120" s="225"/>
      <c r="D120" s="685"/>
      <c r="E120" s="225"/>
      <c r="F120" s="225"/>
      <c r="G120" s="677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AJ120" s="703"/>
    </row>
    <row r="121" spans="2:36" ht="27" customHeight="1">
      <c r="B121" s="658"/>
      <c r="C121" s="658"/>
      <c r="F121" s="659"/>
      <c r="G121" s="659"/>
      <c r="H121" s="660"/>
      <c r="I121" s="660"/>
      <c r="AJ121" s="703"/>
    </row>
    <row r="122" spans="2:36" ht="15" customHeight="1">
      <c r="B122" s="657"/>
      <c r="F122" s="659"/>
      <c r="G122" s="659"/>
      <c r="H122" s="169"/>
      <c r="I122" s="169"/>
      <c r="J122" s="169"/>
      <c r="AJ122" s="703"/>
    </row>
    <row r="123" spans="2:36" ht="15" customHeight="1">
      <c r="C123" s="661"/>
      <c r="D123" s="660"/>
      <c r="E123" s="178"/>
      <c r="F123" s="662"/>
      <c r="G123" s="662"/>
      <c r="H123" s="175"/>
      <c r="I123" s="663"/>
      <c r="J123" s="658"/>
      <c r="K123" s="658"/>
      <c r="L123" s="658"/>
      <c r="M123" s="658"/>
      <c r="N123" s="658"/>
      <c r="AJ123" s="703"/>
    </row>
    <row r="124" spans="2:36" ht="15" customHeight="1">
      <c r="C124" s="331"/>
      <c r="D124" s="664"/>
      <c r="E124" s="178"/>
      <c r="F124" s="175"/>
      <c r="H124" s="358"/>
      <c r="I124" s="663"/>
      <c r="J124" s="658"/>
      <c r="K124" s="658"/>
      <c r="L124" s="658"/>
      <c r="M124" s="658"/>
      <c r="N124" s="658"/>
      <c r="AJ124" s="703"/>
    </row>
    <row r="125" spans="2:36" ht="15" customHeight="1">
      <c r="C125" s="331"/>
      <c r="D125" s="664"/>
      <c r="E125" s="178"/>
      <c r="F125" s="175"/>
      <c r="H125" s="358"/>
      <c r="I125" s="663"/>
      <c r="J125" s="658"/>
      <c r="K125" s="658"/>
      <c r="L125" s="658"/>
      <c r="M125" s="658"/>
      <c r="N125" s="658"/>
      <c r="AJ125" s="703"/>
    </row>
    <row r="126" spans="2:36" ht="15" customHeight="1">
      <c r="C126" s="331"/>
      <c r="D126" s="664"/>
      <c r="E126" s="178"/>
      <c r="F126" s="175"/>
      <c r="H126" s="358"/>
      <c r="I126" s="663"/>
      <c r="J126" s="658"/>
      <c r="K126" s="658"/>
      <c r="L126" s="658"/>
      <c r="M126" s="658"/>
      <c r="N126" s="658"/>
      <c r="AJ126" s="703"/>
    </row>
    <row r="127" spans="2:36" ht="15" customHeight="1">
      <c r="AJ127" s="703"/>
    </row>
    <row r="128" spans="2:36" ht="15" customHeight="1">
      <c r="B128" s="657"/>
      <c r="C128" s="176"/>
      <c r="D128" s="665"/>
      <c r="AJ128" s="703"/>
    </row>
    <row r="129" spans="2:36" ht="15" customHeight="1">
      <c r="B129" s="666"/>
      <c r="C129" s="176"/>
      <c r="AJ129" s="703"/>
    </row>
    <row r="130" spans="2:36" ht="15" customHeight="1">
      <c r="B130" s="667"/>
      <c r="C130" s="667"/>
      <c r="D130" s="329"/>
      <c r="E130" s="329"/>
      <c r="F130" s="668"/>
      <c r="G130" s="668"/>
      <c r="H130" s="669"/>
      <c r="I130" s="329"/>
      <c r="J130" s="669"/>
      <c r="K130" s="329"/>
      <c r="L130" s="329"/>
      <c r="M130" s="329"/>
      <c r="N130" s="329"/>
      <c r="O130" s="329"/>
      <c r="P130" s="329"/>
      <c r="AJ130" s="703"/>
    </row>
    <row r="131" spans="2:36" ht="15" customHeight="1">
      <c r="B131" s="670"/>
      <c r="C131" s="329"/>
      <c r="D131" s="329"/>
      <c r="E131" s="329"/>
      <c r="F131" s="668"/>
      <c r="G131" s="668"/>
      <c r="H131" s="671"/>
      <c r="I131" s="329"/>
      <c r="J131" s="671"/>
      <c r="K131" s="671"/>
      <c r="L131" s="329"/>
      <c r="M131" s="329"/>
      <c r="N131" s="329"/>
      <c r="O131" s="329"/>
      <c r="P131" s="329"/>
      <c r="AJ131" s="703"/>
    </row>
    <row r="132" spans="2:36" ht="15" customHeight="1">
      <c r="AJ132" s="703"/>
    </row>
    <row r="133" spans="2:36" ht="15" customHeight="1">
      <c r="B133" s="169"/>
      <c r="C133" s="169"/>
      <c r="D133" s="169"/>
      <c r="E133" s="169"/>
      <c r="F133" s="169"/>
      <c r="AJ133" s="703"/>
    </row>
    <row r="134" spans="2:36" ht="15" customHeight="1">
      <c r="B134" s="168"/>
      <c r="C134" s="169"/>
      <c r="D134" s="177"/>
      <c r="E134" s="663"/>
      <c r="F134" s="663"/>
      <c r="AJ134" s="703"/>
    </row>
    <row r="135" spans="2:36" ht="15" customHeight="1">
      <c r="C135" s="175"/>
      <c r="D135" s="441"/>
      <c r="E135" s="441"/>
      <c r="F135" s="441"/>
      <c r="AJ135" s="703"/>
    </row>
    <row r="136" spans="2:36" ht="15" customHeight="1">
      <c r="C136" s="177"/>
      <c r="D136" s="441"/>
      <c r="E136" s="441"/>
      <c r="F136" s="441"/>
      <c r="AJ136" s="703"/>
    </row>
    <row r="137" spans="2:36" ht="15" customHeight="1">
      <c r="D137" s="441"/>
      <c r="E137" s="441"/>
      <c r="F137" s="441"/>
      <c r="AJ137" s="703"/>
    </row>
    <row r="138" spans="2:36" ht="15" customHeight="1">
      <c r="D138" s="441"/>
      <c r="F138" s="656"/>
      <c r="AJ138" s="703"/>
    </row>
    <row r="139" spans="2:36" ht="15" customHeight="1">
      <c r="AJ139" s="703"/>
    </row>
    <row r="140" spans="2:36" ht="15" customHeight="1">
      <c r="AJ140" s="703"/>
    </row>
    <row r="141" spans="2:36">
      <c r="AJ141" s="703"/>
    </row>
    <row r="142" spans="2:36">
      <c r="AJ142" s="703"/>
    </row>
    <row r="143" spans="2:36">
      <c r="AJ143" s="703"/>
    </row>
    <row r="144" spans="2:36">
      <c r="AJ144" s="703"/>
    </row>
    <row r="145" spans="36:36">
      <c r="AJ145" s="703"/>
    </row>
    <row r="146" spans="36:36">
      <c r="AJ146" s="703"/>
    </row>
    <row r="147" spans="36:36">
      <c r="AJ147" s="703"/>
    </row>
    <row r="148" spans="36:36">
      <c r="AJ148" s="703"/>
    </row>
    <row r="149" spans="36:36">
      <c r="AJ149" s="703"/>
    </row>
  </sheetData>
  <mergeCells count="9">
    <mergeCell ref="CH18:CL18"/>
    <mergeCell ref="Z29:AB29"/>
    <mergeCell ref="Z38:AB38"/>
    <mergeCell ref="B3:D3"/>
    <mergeCell ref="CD13:CE14"/>
    <mergeCell ref="CF13:CG13"/>
    <mergeCell ref="CH15:CL15"/>
    <mergeCell ref="CH16:CL16"/>
    <mergeCell ref="CH17:CL17"/>
  </mergeCells>
  <conditionalFormatting sqref="D17">
    <cfRule type="expression" dxfId="6" priority="3" stopIfTrue="1">
      <formula>$C4&lt;&gt;""</formula>
    </cfRule>
  </conditionalFormatting>
  <conditionalFormatting sqref="D18">
    <cfRule type="expression" dxfId="5" priority="6" stopIfTrue="1">
      <formula>$C8&lt;&gt;""</formula>
    </cfRule>
  </conditionalFormatting>
  <conditionalFormatting sqref="D20">
    <cfRule type="expression" dxfId="4" priority="4" stopIfTrue="1">
      <formula>$C12&lt;&gt;""</formula>
    </cfRule>
  </conditionalFormatting>
  <conditionalFormatting sqref="D25:D27 D30">
    <cfRule type="expression" dxfId="3" priority="1" stopIfTrue="1">
      <formula>$C26&lt;&gt;""</formula>
    </cfRule>
  </conditionalFormatting>
  <conditionalFormatting sqref="D28:D29">
    <cfRule type="expression" dxfId="2" priority="5" stopIfTrue="1">
      <formula>$C30&lt;&gt;""</formula>
    </cfRule>
  </conditionalFormatting>
  <conditionalFormatting sqref="D31">
    <cfRule type="expression" dxfId="1" priority="2" stopIfTrue="1">
      <formula>#REF!&lt;&gt;""</formula>
    </cfRule>
  </conditionalFormatting>
  <conditionalFormatting sqref="D19">
    <cfRule type="expression" dxfId="0" priority="27" stopIfTrue="1">
      <formula>$C10&lt;&gt;""</formula>
    </cfRule>
  </conditionalFormatting>
  <dataValidations count="6">
    <dataValidation type="list" allowBlank="1" showInputMessage="1" showErrorMessage="1" sqref="AG9" xr:uid="{A37C0409-A00D-4178-B8C0-CC239BDBADE6}">
      <formula1>"Simple, Detailed"</formula1>
    </dataValidation>
    <dataValidation type="whole" allowBlank="1" showInputMessage="1" showErrorMessage="1" errorTitle="Invalid Year" error="Mininum of 1 year._x000a_Maximum of 15 years." sqref="D10:D11" xr:uid="{4EB9FBB0-8FC7-4EA3-B54B-519380783060}">
      <formula1>1</formula1>
      <formula2>15</formula2>
    </dataValidation>
    <dataValidation type="list" allowBlank="1" showInputMessage="1" showErrorMessage="1" sqref="D7" xr:uid="{BA16042B-D0DE-4286-962D-7398AC28D2DD}">
      <formula1>"Manual Input,DCF Value,Cap Year 1 NOI,Replacement Cost"</formula1>
    </dataValidation>
    <dataValidation type="decimal" operator="greaterThan" allowBlank="1" showInputMessage="1" showErrorMessage="1" sqref="D16" xr:uid="{B653F970-3A29-4CAB-9579-8257383D27BA}">
      <formula1>0</formula1>
    </dataValidation>
    <dataValidation type="list" allowBlank="1" showInputMessage="1" showErrorMessage="1" sqref="I3 D9" xr:uid="{9D21FE99-AF05-4ED6-96D2-82057287E139}">
      <formula1>"SF,M2"</formula1>
    </dataValidation>
    <dataValidation type="list" allowBlank="1" showInputMessage="1" showErrorMessage="1" errorTitle="Invalid Entry" error="Enter a value lesser than or equal to 15 years (max length available in this model)" sqref="D12" xr:uid="{90E088BA-3593-48D5-8A5E-718029DD8CAC}">
      <formula1>"T12,Forward 12"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EAB4-1B48-4857-803A-61518B87E5E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C113921814534ABCEAAD117B6AA15B" ma:contentTypeVersion="3" ma:contentTypeDescription="Create a new document." ma:contentTypeScope="" ma:versionID="b72048b21590eca122060b0b3788588d">
  <xsd:schema xmlns:xsd="http://www.w3.org/2001/XMLSchema" xmlns:xs="http://www.w3.org/2001/XMLSchema" xmlns:p="http://schemas.microsoft.com/office/2006/metadata/properties" xmlns:ns2="7295ecc6-665d-405d-bb51-589e91971ac7" targetNamespace="http://schemas.microsoft.com/office/2006/metadata/properties" ma:root="true" ma:fieldsID="6f3794ef2b8d01baee05b6e9a327f9fe" ns2:_="">
    <xsd:import namespace="7295ecc6-665d-405d-bb51-589e91971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5ecc6-665d-405d-bb51-589e91971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1D0C32-01F0-4129-9577-DA6991EC9C00}"/>
</file>

<file path=customXml/itemProps2.xml><?xml version="1.0" encoding="utf-8"?>
<ds:datastoreItem xmlns:ds="http://schemas.openxmlformats.org/officeDocument/2006/customXml" ds:itemID="{81AC8FD1-3C44-420D-A079-C5B6BCD623C3}"/>
</file>

<file path=customXml/itemProps3.xml><?xml version="1.0" encoding="utf-8"?>
<ds:datastoreItem xmlns:ds="http://schemas.openxmlformats.org/officeDocument/2006/customXml" ds:itemID="{BA3FEFED-E577-4319-B0B6-74D1A7E78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Property Acquisition Model</dc:title>
  <dc:subject>Real Estate Financial Analysis</dc:subject>
  <dc:creator>Spencer Burton</dc:creator>
  <cp:keywords>retail, office, industrial, commercial real estate</cp:keywords>
  <dc:description/>
  <cp:lastModifiedBy/>
  <cp:revision/>
  <dcterms:created xsi:type="dcterms:W3CDTF">2015-04-17T17:17:24Z</dcterms:created>
  <dcterms:modified xsi:type="dcterms:W3CDTF">2025-08-20T21:48:35Z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0x0101008EC113921814534ABCEAAD117B6AA15B</vt:lpwstr>
  </property>
</Properties>
</file>